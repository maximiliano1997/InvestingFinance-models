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drawings/drawing7.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workbookPr codeName="ThisWorkbook" hidePivotFieldList="1" defaultThemeVersion="124226"/>
  <mc:AlternateContent xmlns:mc="http://schemas.openxmlformats.org/markup-compatibility/2006">
    <mc:Choice Requires="x15">
      <x15ac:absPath xmlns:x15ac="http://schemas.microsoft.com/office/spreadsheetml/2010/11/ac" url="C:\Users\User\Desktop\InvestingFinance-models\Investing and finance lessons\Excel Finance Modeling\Mike Girvin - Slaying Excel Dragons\"/>
    </mc:Choice>
  </mc:AlternateContent>
  <xr:revisionPtr revIDLastSave="0" documentId="13_ncr:1_{EE80C829-8E4C-413F-A018-E391FB352AB1}" xr6:coauthVersionLast="47" xr6:coauthVersionMax="47" xr10:uidLastSave="{00000000-0000-0000-0000-000000000000}"/>
  <bookViews>
    <workbookView xWindow="0" yWindow="600" windowWidth="14400" windowHeight="15600" tabRatio="781" firstSheet="8" activeTab="12" xr2:uid="{00000000-000D-0000-FFFF-FFFF00000000}"/>
  </bookViews>
  <sheets>
    <sheet name="INDEX for Book" sheetId="192" r:id="rId1"/>
    <sheet name="Setup" sheetId="4" r:id="rId2"/>
    <sheet name="CopiedTable" sheetId="193" r:id="rId3"/>
    <sheet name="KeyB" sheetId="162" r:id="rId4"/>
    <sheet name="KeyB(2)" sheetId="163" r:id="rId5"/>
    <sheet name="KeyB(3)" sheetId="165" r:id="rId6"/>
    <sheet name="SUMIFS" sheetId="5" r:id="rId7"/>
    <sheet name="PT2" sheetId="196" r:id="rId8"/>
    <sheet name="PT" sheetId="6" r:id="rId9"/>
    <sheet name="Tables" sheetId="7" r:id="rId10"/>
    <sheet name="Decimals" sheetId="8" r:id="rId11"/>
    <sheet name="DateMath" sheetId="9" r:id="rId12"/>
    <sheet name="TimeMath" sheetId="10" r:id="rId13"/>
    <sheet name="Percentage(1)" sheetId="11" r:id="rId14"/>
    <sheet name="Percentage(2)" sheetId="12" r:id="rId15"/>
    <sheet name="Align(1)" sheetId="13" r:id="rId16"/>
    <sheet name="Align(2)" sheetId="14" r:id="rId17"/>
    <sheet name="Align(3)" sheetId="15" r:id="rId18"/>
    <sheet name="Store 1" sheetId="16" r:id="rId19"/>
    <sheet name="Store 2" sheetId="17" r:id="rId20"/>
    <sheet name="Jones - Amortization Table" sheetId="18" r:id="rId21"/>
    <sheet name="Styles(1)" sheetId="19" r:id="rId22"/>
    <sheet name="Styles(2)" sheetId="20" r:id="rId23"/>
    <sheet name="Formula(1)" sheetId="21" r:id="rId24"/>
    <sheet name="Formula(2)" sheetId="22" r:id="rId25"/>
    <sheet name="MathOperators" sheetId="23" r:id="rId26"/>
    <sheet name="OrderOfOperations" sheetId="24" r:id="rId27"/>
    <sheet name="OOO" sheetId="25" r:id="rId28"/>
    <sheet name="3WaysToGetCR" sheetId="26" r:id="rId29"/>
    <sheet name="CR(1)" sheetId="27" r:id="rId30"/>
    <sheet name="CR(2)" sheetId="28" r:id="rId31"/>
    <sheet name="CR(3)" sheetId="29" r:id="rId32"/>
    <sheet name="CR(4)" sheetId="30" r:id="rId33"/>
    <sheet name="CR(5)" sheetId="31" r:id="rId34"/>
    <sheet name="CR(6)" sheetId="32" r:id="rId35"/>
    <sheet name="CR(7)" sheetId="33" r:id="rId36"/>
    <sheet name="Assumption" sheetId="34" r:id="rId37"/>
    <sheet name="Scenarios" sheetId="35" r:id="rId38"/>
    <sheet name="CR(8)" sheetId="36" r:id="rId39"/>
    <sheet name="CAR" sheetId="37" r:id="rId40"/>
    <sheet name="CR(9)" sheetId="38" r:id="rId41"/>
    <sheet name="Corp" sheetId="39" r:id="rId42"/>
    <sheet name="Oak" sheetId="40" r:id="rId43"/>
    <sheet name="Sea" sheetId="41" r:id="rId44"/>
    <sheet name="Tac" sheetId="42" r:id="rId45"/>
    <sheet name="Ranges" sheetId="43" r:id="rId46"/>
    <sheet name="Functions(1)" sheetId="44" r:id="rId47"/>
    <sheet name="Functions(2)" sheetId="45" r:id="rId48"/>
    <sheet name="SUMPRODUCT" sheetId="46" r:id="rId49"/>
    <sheet name="SP(2)" sheetId="47" r:id="rId50"/>
    <sheet name="IF(1)" sheetId="48" r:id="rId51"/>
    <sheet name="IF(2)" sheetId="49" r:id="rId52"/>
    <sheet name="IF(3)" sheetId="50" r:id="rId53"/>
    <sheet name="IF(4)" sheetId="51" r:id="rId54"/>
    <sheet name="IF(5)" sheetId="52" r:id="rId55"/>
    <sheet name="IF(6)" sheetId="53" r:id="rId56"/>
    <sheet name="IF(7)" sheetId="54" r:id="rId57"/>
    <sheet name="VLOOKUP(1)" sheetId="55" r:id="rId58"/>
    <sheet name="VLOOKUP(2)" sheetId="56" r:id="rId59"/>
    <sheet name="V(3)" sheetId="57" r:id="rId60"/>
    <sheet name="V(4)" sheetId="58" r:id="rId61"/>
    <sheet name="V(5)" sheetId="59" r:id="rId62"/>
    <sheet name="CTable" sheetId="60" r:id="rId63"/>
    <sheet name="2wl" sheetId="61" r:id="rId64"/>
    <sheet name="MasterList" sheetId="62" r:id="rId65"/>
    <sheet name="I(1)" sheetId="63" r:id="rId66"/>
    <sheet name="I(2)" sheetId="64" r:id="rId67"/>
    <sheet name="I(3)" sheetId="65" r:id="rId68"/>
    <sheet name="ROUND" sheetId="66" r:id="rId69"/>
    <sheet name="ROUND information" sheetId="154" r:id="rId70"/>
    <sheet name="AVE" sheetId="67" r:id="rId71"/>
    <sheet name="MED" sheetId="68" r:id="rId72"/>
    <sheet name="MODE" sheetId="69" r:id="rId73"/>
    <sheet name="RANK" sheetId="70" r:id="rId74"/>
    <sheet name="GS" sheetId="155" r:id="rId75"/>
    <sheet name="Array(1)" sheetId="158" r:id="rId76"/>
    <sheet name="Array(2)" sheetId="157" r:id="rId77"/>
    <sheet name="Array(3)" sheetId="160" r:id="rId78"/>
    <sheet name="Array(4)" sheetId="161" r:id="rId79"/>
    <sheet name="CNF(notes)" sheetId="168" r:id="rId80"/>
    <sheet name="CNF(1)" sheetId="170" r:id="rId81"/>
    <sheet name="Errors" sheetId="167" r:id="rId82"/>
    <sheet name="S(1)" sheetId="71" r:id="rId83"/>
    <sheet name="S(2)" sheetId="72" r:id="rId84"/>
    <sheet name="S(3)" sheetId="73" r:id="rId85"/>
    <sheet name="S(4)" sheetId="74" r:id="rId86"/>
    <sheet name="S(5)" sheetId="75" r:id="rId87"/>
    <sheet name="S(6)" sheetId="76" r:id="rId88"/>
    <sheet name="S(7)" sheetId="77" r:id="rId89"/>
    <sheet name="S(8)" sheetId="78" r:id="rId90"/>
    <sheet name="S(9)" sheetId="79" r:id="rId91"/>
    <sheet name="S(10)" sheetId="80" r:id="rId92"/>
    <sheet name="S(11)" sheetId="81" r:id="rId93"/>
    <sheet name="ST(1)" sheetId="82" r:id="rId94"/>
    <sheet name="STpaste" sheetId="83" r:id="rId95"/>
    <sheet name="ST(2)" sheetId="84" r:id="rId96"/>
    <sheet name="ST PT C" sheetId="85" r:id="rId97"/>
    <sheet name="PTData" sheetId="87" r:id="rId98"/>
    <sheet name="FormulaS" sheetId="88" r:id="rId99"/>
    <sheet name="PTData (2)" sheetId="90" r:id="rId100"/>
    <sheet name="PTData (3)" sheetId="92" r:id="rId101"/>
    <sheet name="PTData (4)" sheetId="94" r:id="rId102"/>
    <sheet name="Visualize" sheetId="95" r:id="rId103"/>
    <sheet name="PT(5)" sheetId="101" r:id="rId104"/>
    <sheet name="PTData (5)" sheetId="102" r:id="rId105"/>
    <sheet name="PTData (6)" sheetId="105" r:id="rId106"/>
    <sheet name="PTData (7)" sheetId="107" r:id="rId107"/>
    <sheet name="PTData (8)" sheetId="109" r:id="rId108"/>
    <sheet name="PT(11)" sheetId="164" r:id="rId109"/>
    <sheet name="PTData (9)" sheetId="112" r:id="rId110"/>
    <sheet name="Filter" sheetId="113" r:id="rId111"/>
    <sheet name="PFilter" sheetId="114" r:id="rId112"/>
    <sheet name="FilterC" sheetId="115" r:id="rId113"/>
    <sheet name="FilterT" sheetId="116" r:id="rId114"/>
    <sheet name="FilterD" sheetId="117" r:id="rId115"/>
    <sheet name="FilterSales" sheetId="118" r:id="rId116"/>
    <sheet name="AF(1)" sheetId="119" r:id="rId117"/>
    <sheet name="AF(2)" sheetId="120" r:id="rId118"/>
    <sheet name="AF(3)" sheetId="121" r:id="rId119"/>
    <sheet name="AF(4)" sheetId="122" r:id="rId120"/>
    <sheet name="AF(5)" sheetId="123" r:id="rId121"/>
    <sheet name="AF(6)" sheetId="124" r:id="rId122"/>
    <sheet name="AF(7)" sheetId="125" r:id="rId123"/>
    <sheet name="Extract" sheetId="126" r:id="rId124"/>
    <sheet name="AF(8)" sheetId="127" r:id="rId125"/>
    <sheet name="TTC(1)" sheetId="128" r:id="rId126"/>
    <sheet name="TTC2" sheetId="129" r:id="rId127"/>
    <sheet name="ID(1)" sheetId="166" r:id="rId128"/>
    <sheet name="ID(2)" sheetId="131" r:id="rId129"/>
    <sheet name="ID(3)" sheetId="132" r:id="rId130"/>
    <sheet name="Ct(1)" sheetId="140" r:id="rId131"/>
    <sheet name="Ct(3)" sheetId="141" r:id="rId132"/>
    <sheet name="C(1)" sheetId="142" r:id="rId133"/>
    <sheet name="C(2)" sheetId="143" r:id="rId134"/>
    <sheet name="C(3)" sheetId="144" r:id="rId135"/>
    <sheet name="C(4)" sheetId="145" r:id="rId136"/>
    <sheet name="C(5)" sheetId="146" r:id="rId137"/>
    <sheet name="C(6)" sheetId="147" r:id="rId138"/>
    <sheet name="C(7)" sheetId="148" r:id="rId139"/>
    <sheet name="C(8)" sheetId="149" r:id="rId140"/>
    <sheet name="C(9)" sheetId="150" r:id="rId141"/>
    <sheet name="CF(1)" sheetId="133" r:id="rId142"/>
    <sheet name="CF(2)" sheetId="134" r:id="rId143"/>
    <sheet name="Logical" sheetId="135" r:id="rId144"/>
    <sheet name="CF(3)" sheetId="136" r:id="rId145"/>
    <sheet name="CF(4)" sheetId="137" r:id="rId146"/>
    <sheet name="CF(5)" sheetId="138" r:id="rId147"/>
    <sheet name="CF(6)" sheetId="139" r:id="rId148"/>
    <sheet name="F&amp;R&amp;GotTo" sheetId="151" r:id="rId149"/>
    <sheet name="Notes(52)" sheetId="171" r:id="rId150"/>
    <sheet name="Notes" sheetId="172" r:id="rId151"/>
    <sheet name="M(1)" sheetId="173" r:id="rId152"/>
    <sheet name="M(1.1)" sheetId="174" r:id="rId153"/>
    <sheet name="M(1.2)" sheetId="175" r:id="rId154"/>
    <sheet name="M(1.3)" sheetId="176" r:id="rId155"/>
    <sheet name="M(1.4)" sheetId="177" r:id="rId156"/>
    <sheet name="M(2)" sheetId="178" r:id="rId157"/>
    <sheet name="M(2.1)" sheetId="179" r:id="rId158"/>
    <sheet name="M(2.2)" sheetId="180" r:id="rId159"/>
    <sheet name="M(2.3)" sheetId="181" r:id="rId160"/>
    <sheet name="M(2.4)" sheetId="182" r:id="rId161"/>
    <sheet name="M(2.5)" sheetId="183" r:id="rId162"/>
    <sheet name="M(3.1)" sheetId="184" r:id="rId163"/>
    <sheet name="M(3.2)" sheetId="185" r:id="rId164"/>
    <sheet name="M(3.3)" sheetId="187" r:id="rId165"/>
    <sheet name="M(4.1)" sheetId="188" r:id="rId166"/>
    <sheet name="M(4.2)" sheetId="189" r:id="rId167"/>
    <sheet name="M(4.3)" sheetId="190" r:id="rId168"/>
    <sheet name="LastVideo" sheetId="191" r:id="rId169"/>
  </sheets>
  <definedNames>
    <definedName name="_xlnm._FilterDatabase" localSheetId="116" hidden="1">'AF(1)'!$A$9:$D$18</definedName>
    <definedName name="_xlnm._FilterDatabase" localSheetId="117" hidden="1">'AF(2)'!$A$9:$D$18</definedName>
    <definedName name="_xlnm._FilterDatabase" localSheetId="118" hidden="1">'AF(3)'!$A$9:$D$18</definedName>
    <definedName name="_xlnm._FilterDatabase" localSheetId="119" hidden="1">'AF(4)'!$A$9:$D$18</definedName>
    <definedName name="_xlnm._FilterDatabase" localSheetId="120" hidden="1">'AF(5)'!$A$9:$D$18</definedName>
    <definedName name="_xlnm._FilterDatabase" localSheetId="121" hidden="1">'AF(6)'!$A$8:$D$17</definedName>
    <definedName name="_xlnm._FilterDatabase" localSheetId="122" hidden="1">'AF(7)'!$A$3:$D$12</definedName>
    <definedName name="_xlnm._FilterDatabase" localSheetId="124" hidden="1">'AF(8)'!$B$1:$B$106</definedName>
    <definedName name="_xlnm._FilterDatabase" localSheetId="35" hidden="1">'CR(7)'!$C$22:$C$127</definedName>
    <definedName name="_xlnm._FilterDatabase" localSheetId="110" hidden="1">Filter!$A$1:$H$106</definedName>
    <definedName name="_xlnm._FilterDatabase" localSheetId="112" hidden="1">FilterC!$A$1:$H$48</definedName>
    <definedName name="_xlnm._FilterDatabase" localSheetId="114" hidden="1">FilterD!$A$1:$B$106</definedName>
    <definedName name="_xlnm._FilterDatabase" localSheetId="115" hidden="1">FilterSales!$A$1:$B$106</definedName>
    <definedName name="_xlnm._FilterDatabase" localSheetId="113" hidden="1">FilterT!$A$1:$F$31</definedName>
    <definedName name="_xlnm._FilterDatabase" localSheetId="47" hidden="1">'Functions(2)'!$C$1:$C$106</definedName>
    <definedName name="_xlnm._FilterDatabase" localSheetId="111" hidden="1">PFilter!$A$1:$H$106</definedName>
    <definedName name="_xlnm._FilterDatabase" localSheetId="48" hidden="1">SUMPRODUCT!$B$30:$B$119</definedName>
    <definedName name="_xlnm._FilterDatabase" localSheetId="9" hidden="1">Tables!$B$1:$B$19</definedName>
    <definedName name="TextFormula">GET.CELL(6,!XFD1)</definedName>
  </definedNames>
  <calcPr calcId="191029"/>
  <pivotCaches>
    <pivotCache cacheId="0" r:id="rId170"/>
    <pivotCache cacheId="1" r:id="rId171"/>
    <pivotCache cacheId="2" r:id="rId172"/>
    <pivotCache cacheId="3" r:id="rId173"/>
    <pivotCache cacheId="29" r:id="rId17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10" l="1"/>
  <c r="B3" i="10"/>
  <c r="B4" i="10"/>
  <c r="B5" i="9"/>
  <c r="C9" i="8"/>
  <c r="A9" i="8"/>
  <c r="J2" i="7"/>
  <c r="J1" i="7"/>
  <c r="J3" i="7"/>
  <c r="C10" i="5"/>
  <c r="H4" i="163"/>
  <c r="G4" i="163"/>
  <c r="F4" i="163"/>
  <c r="E4" i="163"/>
  <c r="A8" i="163"/>
  <c r="C11" i="162"/>
  <c r="F15" i="193"/>
  <c r="E15" i="193"/>
  <c r="D15" i="193"/>
  <c r="C15" i="193"/>
  <c r="B15" i="193"/>
  <c r="G14" i="193"/>
  <c r="G13" i="193"/>
  <c r="G12" i="193"/>
  <c r="G15" i="193" s="1"/>
  <c r="G11" i="193"/>
  <c r="F7" i="193"/>
  <c r="E7" i="193"/>
  <c r="D7" i="193"/>
  <c r="C7" i="193"/>
  <c r="B7" i="193"/>
  <c r="F6" i="193"/>
  <c r="F5" i="193"/>
  <c r="F4" i="193"/>
  <c r="F3" i="193"/>
  <c r="F2" i="193"/>
  <c r="C4" i="160" l="1"/>
  <c r="C5" i="160"/>
  <c r="C3" i="160"/>
  <c r="B148" i="178" l="1"/>
  <c r="B147" i="178"/>
  <c r="B138" i="178"/>
  <c r="B137" i="178"/>
  <c r="B128" i="178"/>
  <c r="B127" i="178"/>
  <c r="B118" i="178"/>
  <c r="B117" i="178"/>
  <c r="B108" i="178"/>
  <c r="B107" i="178"/>
  <c r="B98" i="178"/>
  <c r="B97" i="178"/>
  <c r="B88" i="178"/>
  <c r="B87" i="178"/>
  <c r="B78" i="178"/>
  <c r="B77" i="178"/>
  <c r="B68" i="178"/>
  <c r="B67" i="178"/>
  <c r="B58" i="178"/>
  <c r="B57" i="178"/>
  <c r="B48" i="178"/>
  <c r="B47" i="178"/>
  <c r="B38" i="178"/>
  <c r="B37" i="178"/>
  <c r="B28" i="178"/>
  <c r="B27" i="178"/>
  <c r="B18" i="178"/>
  <c r="B17" i="178"/>
  <c r="A6" i="178"/>
  <c r="A5" i="178"/>
  <c r="A4" i="178"/>
  <c r="A3" i="178"/>
  <c r="A2" i="178"/>
  <c r="A1" i="178"/>
  <c r="B148" i="183"/>
  <c r="B147" i="183"/>
  <c r="B138" i="183"/>
  <c r="B137" i="183"/>
  <c r="B128" i="183"/>
  <c r="B127" i="183"/>
  <c r="B118" i="183"/>
  <c r="B117" i="183"/>
  <c r="B108" i="183"/>
  <c r="B107" i="183"/>
  <c r="B98" i="183"/>
  <c r="B97" i="183"/>
  <c r="B88" i="183"/>
  <c r="B87" i="183"/>
  <c r="B78" i="183"/>
  <c r="B77" i="183"/>
  <c r="B68" i="183"/>
  <c r="B67" i="183"/>
  <c r="B58" i="183"/>
  <c r="B57" i="183"/>
  <c r="B48" i="183"/>
  <c r="B47" i="183"/>
  <c r="B38" i="183"/>
  <c r="B37" i="183"/>
  <c r="B28" i="183"/>
  <c r="B27" i="183"/>
  <c r="B18" i="183"/>
  <c r="B17" i="183"/>
  <c r="A6" i="183"/>
  <c r="A5" i="183"/>
  <c r="A4" i="183"/>
  <c r="A3" i="183"/>
  <c r="A2" i="183"/>
  <c r="A1" i="183"/>
  <c r="B148" i="182"/>
  <c r="B147" i="182"/>
  <c r="B138" i="182"/>
  <c r="B137" i="182"/>
  <c r="B128" i="182"/>
  <c r="B127" i="182"/>
  <c r="B118" i="182"/>
  <c r="B117" i="182"/>
  <c r="B108" i="182"/>
  <c r="B107" i="182"/>
  <c r="B98" i="182"/>
  <c r="B97" i="182"/>
  <c r="B88" i="182"/>
  <c r="B87" i="182"/>
  <c r="B78" i="182"/>
  <c r="B77" i="182"/>
  <c r="B68" i="182"/>
  <c r="B67" i="182"/>
  <c r="B58" i="182"/>
  <c r="B57" i="182"/>
  <c r="B48" i="182"/>
  <c r="B47" i="182"/>
  <c r="B38" i="182"/>
  <c r="B37" i="182"/>
  <c r="B28" i="182"/>
  <c r="B27" i="182"/>
  <c r="B18" i="182"/>
  <c r="B17" i="182"/>
  <c r="A6" i="182"/>
  <c r="A5" i="182"/>
  <c r="A4" i="182"/>
  <c r="A3" i="182"/>
  <c r="A2" i="182"/>
  <c r="A1" i="182"/>
  <c r="B148" i="181"/>
  <c r="B147" i="181"/>
  <c r="B138" i="181"/>
  <c r="B137" i="181"/>
  <c r="B128" i="181"/>
  <c r="B127" i="181"/>
  <c r="B118" i="181"/>
  <c r="B117" i="181"/>
  <c r="B108" i="181"/>
  <c r="B107" i="181"/>
  <c r="B98" i="181"/>
  <c r="B97" i="181"/>
  <c r="B88" i="181"/>
  <c r="B87" i="181"/>
  <c r="B78" i="181"/>
  <c r="B77" i="181"/>
  <c r="B68" i="181"/>
  <c r="B67" i="181"/>
  <c r="B58" i="181"/>
  <c r="B57" i="181"/>
  <c r="B48" i="181"/>
  <c r="B47" i="181"/>
  <c r="B38" i="181"/>
  <c r="B37" i="181"/>
  <c r="B28" i="181"/>
  <c r="B27" i="181"/>
  <c r="B18" i="181"/>
  <c r="B17" i="181"/>
  <c r="A6" i="181"/>
  <c r="A5" i="181"/>
  <c r="A4" i="181"/>
  <c r="A3" i="181"/>
  <c r="A2" i="181"/>
  <c r="A1" i="181"/>
  <c r="B148" i="180"/>
  <c r="B147" i="180"/>
  <c r="B138" i="180"/>
  <c r="B137" i="180"/>
  <c r="B128" i="180"/>
  <c r="B127" i="180"/>
  <c r="B118" i="180"/>
  <c r="B117" i="180"/>
  <c r="B108" i="180"/>
  <c r="B107" i="180"/>
  <c r="B98" i="180"/>
  <c r="B97" i="180"/>
  <c r="B88" i="180"/>
  <c r="B87" i="180"/>
  <c r="B78" i="180"/>
  <c r="B77" i="180"/>
  <c r="B68" i="180"/>
  <c r="B67" i="180"/>
  <c r="B58" i="180"/>
  <c r="B57" i="180"/>
  <c r="B48" i="180"/>
  <c r="B47" i="180"/>
  <c r="B38" i="180"/>
  <c r="B37" i="180"/>
  <c r="B28" i="180"/>
  <c r="B27" i="180"/>
  <c r="B18" i="180"/>
  <c r="B17" i="180"/>
  <c r="A6" i="180"/>
  <c r="A5" i="180"/>
  <c r="A4" i="180"/>
  <c r="A3" i="180"/>
  <c r="A2" i="180"/>
  <c r="A1" i="180"/>
  <c r="B148" i="179"/>
  <c r="B147" i="179"/>
  <c r="B138" i="179"/>
  <c r="B137" i="179"/>
  <c r="B128" i="179"/>
  <c r="B127" i="179"/>
  <c r="B118" i="179"/>
  <c r="B117" i="179"/>
  <c r="B108" i="179"/>
  <c r="B107" i="179"/>
  <c r="B98" i="179"/>
  <c r="B97" i="179"/>
  <c r="B88" i="179"/>
  <c r="B87" i="179"/>
  <c r="B78" i="179"/>
  <c r="B77" i="179"/>
  <c r="B68" i="179"/>
  <c r="B67" i="179"/>
  <c r="B58" i="179"/>
  <c r="B57" i="179"/>
  <c r="B48" i="179"/>
  <c r="B47" i="179"/>
  <c r="B38" i="179"/>
  <c r="B37" i="179"/>
  <c r="B28" i="179"/>
  <c r="B27" i="179"/>
  <c r="B18" i="179"/>
  <c r="B17" i="179"/>
  <c r="A6" i="179"/>
  <c r="A5" i="179"/>
  <c r="A4" i="179"/>
  <c r="A3" i="179"/>
  <c r="A2" i="179"/>
  <c r="A1" i="179"/>
  <c r="J6" i="177"/>
  <c r="J5" i="177"/>
  <c r="J4" i="177"/>
  <c r="J3" i="177"/>
  <c r="J2" i="177"/>
  <c r="J1" i="177"/>
  <c r="J6" i="176"/>
  <c r="J5" i="176"/>
  <c r="J4" i="176"/>
  <c r="J3" i="176"/>
  <c r="J2" i="176"/>
  <c r="J1" i="176"/>
  <c r="J6" i="175"/>
  <c r="J5" i="175"/>
  <c r="J4" i="175"/>
  <c r="J3" i="175"/>
  <c r="J2" i="175"/>
  <c r="J1" i="175"/>
  <c r="J6" i="174"/>
  <c r="J5" i="174"/>
  <c r="J4" i="174"/>
  <c r="J3" i="174"/>
  <c r="J2" i="174"/>
  <c r="J1" i="174"/>
  <c r="J6" i="173"/>
  <c r="J5" i="173"/>
  <c r="J4" i="173"/>
  <c r="J3" i="173"/>
  <c r="J2" i="173"/>
  <c r="J1" i="173"/>
  <c r="A19" i="172"/>
  <c r="A18" i="172"/>
  <c r="A17" i="172"/>
  <c r="A16" i="172"/>
  <c r="A15" i="172"/>
  <c r="A14" i="172"/>
  <c r="A13" i="172"/>
  <c r="A12" i="172"/>
  <c r="A11" i="172"/>
  <c r="A10" i="172"/>
  <c r="A9" i="172"/>
  <c r="A8" i="172"/>
  <c r="A7" i="172"/>
  <c r="A6" i="172"/>
  <c r="A5" i="172"/>
  <c r="A4" i="172"/>
  <c r="A3" i="172"/>
  <c r="A2" i="172"/>
  <c r="A1" i="172"/>
  <c r="A22" i="171"/>
  <c r="A21" i="171"/>
  <c r="A20" i="171"/>
  <c r="A19" i="171"/>
  <c r="A18" i="171"/>
  <c r="A17" i="171"/>
  <c r="A16" i="171"/>
  <c r="A15" i="171"/>
  <c r="A14" i="171"/>
  <c r="A13" i="171"/>
  <c r="A12" i="171"/>
  <c r="A11" i="171"/>
  <c r="A10" i="171"/>
  <c r="A9" i="171"/>
  <c r="A8" i="171"/>
  <c r="A7" i="171"/>
  <c r="A6" i="171"/>
  <c r="A5" i="171"/>
  <c r="A4" i="171"/>
  <c r="A3" i="171"/>
  <c r="A2" i="171"/>
  <c r="A1" i="171"/>
  <c r="H8" i="112" l="1"/>
  <c r="H7" i="112"/>
  <c r="H6" i="112"/>
  <c r="H5" i="112"/>
  <c r="H4" i="112"/>
  <c r="H3" i="112"/>
  <c r="H2" i="112"/>
  <c r="A31" i="170"/>
  <c r="A27" i="170"/>
  <c r="D46" i="168"/>
  <c r="D45" i="168"/>
  <c r="F43" i="168"/>
  <c r="A10" i="168"/>
  <c r="A9" i="168"/>
  <c r="A8" i="168"/>
  <c r="A7" i="168"/>
  <c r="A6" i="168"/>
  <c r="A5" i="168"/>
  <c r="A4" i="168"/>
  <c r="A3" i="168"/>
  <c r="A2" i="168"/>
  <c r="A1" i="168"/>
  <c r="M32" i="160"/>
  <c r="L33" i="160" s="1"/>
  <c r="L32" i="160"/>
  <c r="N31" i="160"/>
  <c r="K31" i="160"/>
  <c r="J10" i="160"/>
  <c r="J9" i="160"/>
  <c r="C6" i="160"/>
  <c r="C2" i="160"/>
  <c r="N32" i="160" l="1"/>
  <c r="K32" i="160"/>
  <c r="M33" i="160"/>
  <c r="L34" i="160" l="1"/>
  <c r="M34" i="160"/>
  <c r="K33" i="160"/>
  <c r="J11" i="160"/>
  <c r="N33" i="160"/>
  <c r="J12" i="160" l="1"/>
  <c r="L35" i="160"/>
  <c r="M35" i="160"/>
  <c r="N34" i="160"/>
  <c r="K34" i="160"/>
  <c r="N35" i="160" l="1"/>
  <c r="K35" i="160"/>
  <c r="J13" i="160"/>
  <c r="L5" i="157" l="1"/>
  <c r="E4" i="157"/>
  <c r="M3" i="157"/>
  <c r="N3" i="157" s="1"/>
  <c r="E3" i="157"/>
  <c r="E2" i="157"/>
  <c r="F40" i="46" l="1"/>
  <c r="F39" i="46"/>
  <c r="F38" i="46"/>
  <c r="F37" i="46"/>
  <c r="F36" i="46"/>
  <c r="F35" i="46"/>
  <c r="F34" i="46"/>
  <c r="F33" i="46"/>
  <c r="H25" i="46"/>
  <c r="G25" i="46"/>
  <c r="F25" i="46"/>
  <c r="H24" i="46"/>
  <c r="G24" i="46"/>
  <c r="F24" i="46"/>
  <c r="H23" i="46"/>
  <c r="G23" i="46"/>
  <c r="F23" i="46"/>
  <c r="H22" i="46"/>
  <c r="G22" i="46"/>
  <c r="F22" i="46"/>
  <c r="B20" i="46"/>
  <c r="E16" i="46"/>
  <c r="E15" i="46"/>
  <c r="E14" i="46"/>
  <c r="B13" i="46"/>
  <c r="J10" i="46"/>
  <c r="H8" i="46"/>
  <c r="I8" i="46" s="1"/>
  <c r="F8" i="46"/>
  <c r="H7" i="46"/>
  <c r="I7" i="46" s="1"/>
  <c r="F7" i="46"/>
  <c r="H6" i="46"/>
  <c r="I6" i="46" s="1"/>
  <c r="F6" i="46"/>
  <c r="H5" i="46"/>
  <c r="I5" i="46" s="1"/>
  <c r="F5" i="46"/>
  <c r="AB4" i="46"/>
  <c r="AA7" i="46" s="1"/>
  <c r="H4" i="46"/>
  <c r="I4" i="46" s="1"/>
  <c r="F4" i="46"/>
  <c r="H3" i="46"/>
  <c r="I3" i="46" s="1"/>
  <c r="F3" i="46"/>
  <c r="AB2" i="46"/>
  <c r="H2" i="46"/>
  <c r="I2" i="46" s="1"/>
  <c r="F2" i="46"/>
  <c r="AB1" i="46"/>
  <c r="E28" i="46"/>
  <c r="E27" i="46"/>
  <c r="H26" i="46" l="1"/>
  <c r="F9" i="46"/>
  <c r="AA8" i="46"/>
  <c r="E13" i="46"/>
  <c r="E17" i="46" s="1"/>
  <c r="AA9" i="46" l="1"/>
  <c r="AA10" i="46" l="1"/>
  <c r="AA11" i="46" l="1"/>
  <c r="AA12" i="46" l="1"/>
  <c r="AA13" i="46" l="1"/>
  <c r="AA14" i="46" l="1"/>
  <c r="AA15" i="46" l="1"/>
  <c r="AA16" i="46" l="1"/>
  <c r="AA17" i="46" l="1"/>
  <c r="I10" i="24" l="1"/>
  <c r="I8" i="24"/>
  <c r="C83" i="22" l="1"/>
  <c r="D76" i="22"/>
  <c r="B29" i="44" l="1"/>
  <c r="J3" i="33" l="1"/>
  <c r="J4" i="33"/>
  <c r="J5" i="33"/>
  <c r="J6" i="33"/>
  <c r="J7" i="33"/>
  <c r="J8" i="33"/>
  <c r="J2" i="33"/>
  <c r="L3" i="33"/>
  <c r="L4" i="33"/>
  <c r="L5" i="33"/>
  <c r="L6" i="33"/>
  <c r="L7" i="33"/>
  <c r="L8" i="33"/>
  <c r="L2" i="33"/>
  <c r="A11" i="21" l="1"/>
  <c r="A6" i="21"/>
  <c r="A1" i="21"/>
  <c r="N5" i="140" l="1"/>
  <c r="N6" i="140"/>
  <c r="N4" i="140"/>
  <c r="N3" i="140"/>
  <c r="F7" i="135"/>
  <c r="F2" i="135"/>
  <c r="F6" i="135"/>
  <c r="F4" i="135"/>
  <c r="F5" i="135"/>
  <c r="F3" i="135"/>
  <c r="D2" i="88" l="1"/>
  <c r="E2" i="88"/>
  <c r="D3" i="88"/>
  <c r="E3" i="88"/>
  <c r="D4" i="88"/>
  <c r="E4" i="88"/>
  <c r="D5" i="88"/>
  <c r="E5" i="88"/>
  <c r="D6" i="88"/>
  <c r="E6" i="88"/>
  <c r="D7" i="88"/>
  <c r="E7" i="88"/>
  <c r="C2" i="88"/>
  <c r="C3" i="88"/>
  <c r="C4" i="88"/>
  <c r="C5" i="88"/>
  <c r="C6" i="88"/>
  <c r="C7" i="88"/>
  <c r="B3" i="88"/>
  <c r="B4" i="88"/>
  <c r="B5" i="88"/>
  <c r="B6" i="88"/>
  <c r="B7" i="88"/>
  <c r="B2" i="88"/>
  <c r="H3" i="74" l="1"/>
  <c r="H4" i="74"/>
  <c r="H5" i="74"/>
  <c r="I5" i="74" s="1"/>
  <c r="H6" i="74"/>
  <c r="I6" i="74" s="1"/>
  <c r="H7" i="74"/>
  <c r="H8" i="74"/>
  <c r="H9" i="74"/>
  <c r="I9" i="74" s="1"/>
  <c r="H10" i="74"/>
  <c r="I10" i="74" s="1"/>
  <c r="H11" i="74"/>
  <c r="H12" i="74"/>
  <c r="H13" i="74"/>
  <c r="I13" i="74" s="1"/>
  <c r="H14" i="74"/>
  <c r="H15" i="74"/>
  <c r="H16" i="74"/>
  <c r="H17" i="74"/>
  <c r="I17" i="74" s="1"/>
  <c r="H18" i="74"/>
  <c r="I18" i="74" s="1"/>
  <c r="H19" i="74"/>
  <c r="H20" i="74"/>
  <c r="H21" i="74"/>
  <c r="I21" i="74" s="1"/>
  <c r="H22" i="74"/>
  <c r="I22" i="74" s="1"/>
  <c r="H23" i="74"/>
  <c r="H24" i="74"/>
  <c r="H25" i="74"/>
  <c r="I25" i="74" s="1"/>
  <c r="H26" i="74"/>
  <c r="I26" i="74" s="1"/>
  <c r="H27" i="74"/>
  <c r="H28" i="74"/>
  <c r="H29" i="74"/>
  <c r="I29" i="74" s="1"/>
  <c r="H30" i="74"/>
  <c r="H31" i="74"/>
  <c r="H32" i="74"/>
  <c r="H33" i="74"/>
  <c r="I33" i="74" s="1"/>
  <c r="H34" i="74"/>
  <c r="I34" i="74" s="1"/>
  <c r="H35" i="74"/>
  <c r="H36" i="74"/>
  <c r="H37" i="74"/>
  <c r="I37" i="74" s="1"/>
  <c r="H38" i="74"/>
  <c r="I38" i="74" s="1"/>
  <c r="H39" i="74"/>
  <c r="H40" i="74"/>
  <c r="H41" i="74"/>
  <c r="I41" i="74" s="1"/>
  <c r="H42" i="74"/>
  <c r="I42" i="74" s="1"/>
  <c r="H43" i="74"/>
  <c r="H44" i="74"/>
  <c r="H45" i="74"/>
  <c r="I45" i="74" s="1"/>
  <c r="H46" i="74"/>
  <c r="H47" i="74"/>
  <c r="H48" i="74"/>
  <c r="H49" i="74"/>
  <c r="I49" i="74" s="1"/>
  <c r="H50" i="74"/>
  <c r="I50" i="74" s="1"/>
  <c r="H51" i="74"/>
  <c r="H52" i="74"/>
  <c r="H53" i="74"/>
  <c r="I53" i="74" s="1"/>
  <c r="H54" i="74"/>
  <c r="I54" i="74" s="1"/>
  <c r="H55" i="74"/>
  <c r="H56" i="74"/>
  <c r="H57" i="74"/>
  <c r="I57" i="74" s="1"/>
  <c r="H58" i="74"/>
  <c r="I58" i="74" s="1"/>
  <c r="H59" i="74"/>
  <c r="H60" i="74"/>
  <c r="H61" i="74"/>
  <c r="I61" i="74" s="1"/>
  <c r="H62" i="74"/>
  <c r="H63" i="74"/>
  <c r="H64" i="74"/>
  <c r="H65" i="74"/>
  <c r="I65" i="74" s="1"/>
  <c r="H66" i="74"/>
  <c r="I66" i="74" s="1"/>
  <c r="H67" i="74"/>
  <c r="H68" i="74"/>
  <c r="H69" i="74"/>
  <c r="I69" i="74" s="1"/>
  <c r="H70" i="74"/>
  <c r="I70" i="74" s="1"/>
  <c r="H71" i="74"/>
  <c r="H72" i="74"/>
  <c r="H73" i="74"/>
  <c r="I73" i="74" s="1"/>
  <c r="H74" i="74"/>
  <c r="I74" i="74" s="1"/>
  <c r="H75" i="74"/>
  <c r="H76" i="74"/>
  <c r="H77" i="74"/>
  <c r="I77" i="74" s="1"/>
  <c r="H78" i="74"/>
  <c r="H79" i="74"/>
  <c r="H80" i="74"/>
  <c r="H81" i="74"/>
  <c r="I81" i="74" s="1"/>
  <c r="H82" i="74"/>
  <c r="I82" i="74" s="1"/>
  <c r="H83" i="74"/>
  <c r="H84" i="74"/>
  <c r="H85" i="74"/>
  <c r="I85" i="74" s="1"/>
  <c r="H86" i="74"/>
  <c r="I86" i="74" s="1"/>
  <c r="H87" i="74"/>
  <c r="H88" i="74"/>
  <c r="H89" i="74"/>
  <c r="I89" i="74" s="1"/>
  <c r="H90" i="74"/>
  <c r="I90" i="74" s="1"/>
  <c r="H91" i="74"/>
  <c r="H92" i="74"/>
  <c r="H93" i="74"/>
  <c r="I93" i="74" s="1"/>
  <c r="H94" i="74"/>
  <c r="H95" i="74"/>
  <c r="H96" i="74"/>
  <c r="H97" i="74"/>
  <c r="I97" i="74" s="1"/>
  <c r="H98" i="74"/>
  <c r="I98" i="74" s="1"/>
  <c r="H99" i="74"/>
  <c r="H100" i="74"/>
  <c r="H101" i="74"/>
  <c r="I101" i="74" s="1"/>
  <c r="H102" i="74"/>
  <c r="I102" i="74" s="1"/>
  <c r="H103" i="74"/>
  <c r="H104" i="74"/>
  <c r="H105" i="74"/>
  <c r="I105" i="74" s="1"/>
  <c r="H106" i="74"/>
  <c r="I106" i="74" s="1"/>
  <c r="H107" i="74"/>
  <c r="H108" i="74"/>
  <c r="H109" i="74"/>
  <c r="I109" i="74" s="1"/>
  <c r="H110" i="74"/>
  <c r="H111" i="74"/>
  <c r="H112" i="74"/>
  <c r="H113" i="74"/>
  <c r="I113" i="74" s="1"/>
  <c r="H114" i="74"/>
  <c r="I114" i="74" s="1"/>
  <c r="H115" i="74"/>
  <c r="H116" i="74"/>
  <c r="H117" i="74"/>
  <c r="I117" i="74" s="1"/>
  <c r="H118" i="74"/>
  <c r="I118" i="74" s="1"/>
  <c r="H119" i="74"/>
  <c r="H120" i="74"/>
  <c r="H121" i="74"/>
  <c r="I121" i="74" s="1"/>
  <c r="H122" i="74"/>
  <c r="I122" i="74" s="1"/>
  <c r="H123" i="74"/>
  <c r="H124" i="74"/>
  <c r="H125" i="74"/>
  <c r="I125" i="74" s="1"/>
  <c r="H126" i="74"/>
  <c r="H127" i="74"/>
  <c r="H128" i="74"/>
  <c r="H129" i="74"/>
  <c r="I129" i="74" s="1"/>
  <c r="H130" i="74"/>
  <c r="I130" i="74" s="1"/>
  <c r="H131" i="74"/>
  <c r="H132" i="74"/>
  <c r="H133" i="74"/>
  <c r="I133" i="74" s="1"/>
  <c r="H134" i="74"/>
  <c r="I134" i="74" s="1"/>
  <c r="H135" i="74"/>
  <c r="H136" i="74"/>
  <c r="H137" i="74"/>
  <c r="I137" i="74" s="1"/>
  <c r="H138" i="74"/>
  <c r="I138" i="74" s="1"/>
  <c r="H139" i="74"/>
  <c r="H140" i="74"/>
  <c r="H141" i="74"/>
  <c r="I141" i="74" s="1"/>
  <c r="H142" i="74"/>
  <c r="H143" i="74"/>
  <c r="H144" i="74"/>
  <c r="H145" i="74"/>
  <c r="I145" i="74" s="1"/>
  <c r="H146" i="74"/>
  <c r="I146" i="74" s="1"/>
  <c r="H147" i="74"/>
  <c r="H148" i="74"/>
  <c r="H149" i="74"/>
  <c r="I149" i="74" s="1"/>
  <c r="H150" i="74"/>
  <c r="I150" i="74" s="1"/>
  <c r="H151" i="74"/>
  <c r="H152" i="74"/>
  <c r="H153" i="74"/>
  <c r="I153" i="74" s="1"/>
  <c r="H154" i="74"/>
  <c r="I154" i="74" s="1"/>
  <c r="H155" i="74"/>
  <c r="H156" i="74"/>
  <c r="H157" i="74"/>
  <c r="I157" i="74" s="1"/>
  <c r="H158" i="74"/>
  <c r="H159" i="74"/>
  <c r="H160" i="74"/>
  <c r="H161" i="74"/>
  <c r="I161" i="74" s="1"/>
  <c r="H162" i="74"/>
  <c r="I162" i="74" s="1"/>
  <c r="H163" i="74"/>
  <c r="H164" i="74"/>
  <c r="H165" i="74"/>
  <c r="I165" i="74" s="1"/>
  <c r="H166" i="74"/>
  <c r="I166" i="74" s="1"/>
  <c r="H167" i="74"/>
  <c r="H168" i="74"/>
  <c r="H169" i="74"/>
  <c r="I169" i="74" s="1"/>
  <c r="H170" i="74"/>
  <c r="I170" i="74" s="1"/>
  <c r="H171" i="74"/>
  <c r="H172" i="74"/>
  <c r="H173" i="74"/>
  <c r="I173" i="74" s="1"/>
  <c r="H174" i="74"/>
  <c r="H175" i="74"/>
  <c r="H176" i="74"/>
  <c r="H177" i="74"/>
  <c r="I177" i="74" s="1"/>
  <c r="H178" i="74"/>
  <c r="I178" i="74" s="1"/>
  <c r="H179" i="74"/>
  <c r="H180" i="74"/>
  <c r="H181" i="74"/>
  <c r="I181" i="74" s="1"/>
  <c r="H182" i="74"/>
  <c r="I182" i="74" s="1"/>
  <c r="H183" i="74"/>
  <c r="H184" i="74"/>
  <c r="H185" i="74"/>
  <c r="I185" i="74" s="1"/>
  <c r="H186" i="74"/>
  <c r="I186" i="74" s="1"/>
  <c r="H187" i="74"/>
  <c r="H188" i="74"/>
  <c r="H189" i="74"/>
  <c r="I189" i="74" s="1"/>
  <c r="H190" i="74"/>
  <c r="H191" i="74"/>
  <c r="H192" i="74"/>
  <c r="H193" i="74"/>
  <c r="I193" i="74" s="1"/>
  <c r="H194" i="74"/>
  <c r="I194" i="74" s="1"/>
  <c r="H195" i="74"/>
  <c r="H196" i="74"/>
  <c r="H197" i="74"/>
  <c r="I197" i="74" s="1"/>
  <c r="H198" i="74"/>
  <c r="I198" i="74" s="1"/>
  <c r="H199" i="74"/>
  <c r="H200" i="74"/>
  <c r="H201" i="74"/>
  <c r="I201" i="74" s="1"/>
  <c r="H202" i="74"/>
  <c r="I202" i="74" s="1"/>
  <c r="H203" i="74"/>
  <c r="H204" i="74"/>
  <c r="H205" i="74"/>
  <c r="I205" i="74" s="1"/>
  <c r="H206" i="74"/>
  <c r="H207" i="74"/>
  <c r="H208" i="74"/>
  <c r="H209" i="74"/>
  <c r="I209" i="74" s="1"/>
  <c r="H210" i="74"/>
  <c r="I210" i="74" s="1"/>
  <c r="H211" i="74"/>
  <c r="H212" i="74"/>
  <c r="H213" i="74"/>
  <c r="I213" i="74" s="1"/>
  <c r="H214" i="74"/>
  <c r="I214" i="74" s="1"/>
  <c r="H215" i="74"/>
  <c r="H216" i="74"/>
  <c r="H217" i="74"/>
  <c r="I217" i="74" s="1"/>
  <c r="H218" i="74"/>
  <c r="I218" i="74" s="1"/>
  <c r="H219" i="74"/>
  <c r="H220" i="74"/>
  <c r="H221" i="74"/>
  <c r="I221" i="74" s="1"/>
  <c r="H222" i="74"/>
  <c r="H223" i="74"/>
  <c r="H224" i="74"/>
  <c r="H225" i="74"/>
  <c r="I225" i="74" s="1"/>
  <c r="H226" i="74"/>
  <c r="I226" i="74" s="1"/>
  <c r="H227" i="74"/>
  <c r="H228" i="74"/>
  <c r="H229" i="74"/>
  <c r="I229" i="74" s="1"/>
  <c r="H230" i="74"/>
  <c r="I230" i="74" s="1"/>
  <c r="H231" i="74"/>
  <c r="H232" i="74"/>
  <c r="H233" i="74"/>
  <c r="I233" i="74" s="1"/>
  <c r="H234" i="74"/>
  <c r="I234" i="74" s="1"/>
  <c r="H235" i="74"/>
  <c r="H236" i="74"/>
  <c r="H237" i="74"/>
  <c r="I237" i="74" s="1"/>
  <c r="H238" i="74"/>
  <c r="H239" i="74"/>
  <c r="H240" i="74"/>
  <c r="H241" i="74"/>
  <c r="I241" i="74" s="1"/>
  <c r="H242" i="74"/>
  <c r="I242" i="74" s="1"/>
  <c r="H243" i="74"/>
  <c r="H244" i="74"/>
  <c r="H245" i="74"/>
  <c r="I245" i="74" s="1"/>
  <c r="H246" i="74"/>
  <c r="I246" i="74" s="1"/>
  <c r="H247" i="74"/>
  <c r="H248" i="74"/>
  <c r="H249" i="74"/>
  <c r="I249" i="74" s="1"/>
  <c r="H250" i="74"/>
  <c r="I250" i="74" s="1"/>
  <c r="H251" i="74"/>
  <c r="H252" i="74"/>
  <c r="H253" i="74"/>
  <c r="I253" i="74" s="1"/>
  <c r="H254" i="74"/>
  <c r="H255" i="74"/>
  <c r="H256" i="74"/>
  <c r="H2" i="74"/>
  <c r="I2" i="74" s="1"/>
  <c r="I3" i="74"/>
  <c r="I4" i="74"/>
  <c r="I7" i="74"/>
  <c r="I8" i="74"/>
  <c r="I11" i="74"/>
  <c r="I12" i="74"/>
  <c r="I14" i="74"/>
  <c r="I15" i="74"/>
  <c r="I16" i="74"/>
  <c r="I19" i="74"/>
  <c r="I20" i="74"/>
  <c r="I23" i="74"/>
  <c r="I24" i="74"/>
  <c r="I27" i="74"/>
  <c r="I28" i="74"/>
  <c r="I30" i="74"/>
  <c r="I31" i="74"/>
  <c r="I32" i="74"/>
  <c r="I35" i="74"/>
  <c r="I36" i="74"/>
  <c r="I39" i="74"/>
  <c r="I40" i="74"/>
  <c r="I43" i="74"/>
  <c r="I44" i="74"/>
  <c r="I46" i="74"/>
  <c r="I47" i="74"/>
  <c r="I48" i="74"/>
  <c r="I51" i="74"/>
  <c r="I52" i="74"/>
  <c r="I55" i="74"/>
  <c r="I56" i="74"/>
  <c r="I59" i="74"/>
  <c r="I60" i="74"/>
  <c r="I62" i="74"/>
  <c r="I63" i="74"/>
  <c r="I64" i="74"/>
  <c r="I67" i="74"/>
  <c r="I68" i="74"/>
  <c r="I71" i="74"/>
  <c r="I72" i="74"/>
  <c r="I75" i="74"/>
  <c r="I76" i="74"/>
  <c r="I78" i="74"/>
  <c r="I79" i="74"/>
  <c r="I80" i="74"/>
  <c r="I83" i="74"/>
  <c r="I84" i="74"/>
  <c r="I87" i="74"/>
  <c r="I88" i="74"/>
  <c r="I91" i="74"/>
  <c r="I92" i="74"/>
  <c r="I94" i="74"/>
  <c r="I95" i="74"/>
  <c r="I96" i="74"/>
  <c r="I99" i="74"/>
  <c r="I100" i="74"/>
  <c r="I103" i="74"/>
  <c r="I104" i="74"/>
  <c r="I107" i="74"/>
  <c r="I108" i="74"/>
  <c r="I110" i="74"/>
  <c r="I111" i="74"/>
  <c r="I112" i="74"/>
  <c r="I115" i="74"/>
  <c r="I116" i="74"/>
  <c r="I119" i="74"/>
  <c r="I120" i="74"/>
  <c r="I123" i="74"/>
  <c r="I124" i="74"/>
  <c r="I126" i="74"/>
  <c r="I127" i="74"/>
  <c r="I128" i="74"/>
  <c r="I131" i="74"/>
  <c r="I132" i="74"/>
  <c r="I135" i="74"/>
  <c r="I136" i="74"/>
  <c r="I139" i="74"/>
  <c r="I140" i="74"/>
  <c r="I142" i="74"/>
  <c r="I143" i="74"/>
  <c r="I144" i="74"/>
  <c r="I147" i="74"/>
  <c r="I148" i="74"/>
  <c r="I151" i="74"/>
  <c r="I152" i="74"/>
  <c r="I155" i="74"/>
  <c r="I156" i="74"/>
  <c r="I158" i="74"/>
  <c r="I159" i="74"/>
  <c r="I160" i="74"/>
  <c r="I163" i="74"/>
  <c r="I164" i="74"/>
  <c r="I167" i="74"/>
  <c r="I168" i="74"/>
  <c r="I171" i="74"/>
  <c r="I172" i="74"/>
  <c r="I174" i="74"/>
  <c r="I175" i="74"/>
  <c r="I176" i="74"/>
  <c r="I179" i="74"/>
  <c r="I180" i="74"/>
  <c r="I183" i="74"/>
  <c r="I184" i="74"/>
  <c r="I187" i="74"/>
  <c r="I188" i="74"/>
  <c r="I190" i="74"/>
  <c r="I191" i="74"/>
  <c r="I192" i="74"/>
  <c r="I195" i="74"/>
  <c r="I196" i="74"/>
  <c r="I199" i="74"/>
  <c r="I200" i="74"/>
  <c r="I203" i="74"/>
  <c r="I204" i="74"/>
  <c r="I206" i="74"/>
  <c r="I207" i="74"/>
  <c r="I208" i="74"/>
  <c r="I211" i="74"/>
  <c r="I212" i="74"/>
  <c r="I215" i="74"/>
  <c r="I216" i="74"/>
  <c r="I219" i="74"/>
  <c r="I220" i="74"/>
  <c r="I222" i="74"/>
  <c r="I223" i="74"/>
  <c r="I224" i="74"/>
  <c r="I227" i="74"/>
  <c r="I228" i="74"/>
  <c r="I231" i="74"/>
  <c r="I232" i="74"/>
  <c r="I235" i="74"/>
  <c r="I236" i="74"/>
  <c r="I238" i="74"/>
  <c r="I239" i="74"/>
  <c r="I240" i="74"/>
  <c r="I243" i="74"/>
  <c r="I244" i="74"/>
  <c r="I247" i="74"/>
  <c r="I248" i="74"/>
  <c r="I251" i="74"/>
  <c r="I252" i="74"/>
  <c r="I254" i="74"/>
  <c r="I255" i="74"/>
  <c r="I256" i="74"/>
  <c r="C3" i="74"/>
  <c r="C4" i="74"/>
  <c r="C5" i="74"/>
  <c r="C6" i="74"/>
  <c r="C8" i="74"/>
  <c r="C9" i="74"/>
  <c r="C10" i="74"/>
  <c r="C11" i="74"/>
  <c r="C12" i="74"/>
  <c r="C13" i="74"/>
  <c r="C2" i="74"/>
  <c r="E7" i="161" l="1"/>
  <c r="D7" i="161"/>
  <c r="C7" i="161"/>
  <c r="B7" i="161"/>
  <c r="F6" i="161"/>
  <c r="F5" i="161"/>
  <c r="F4" i="161"/>
  <c r="F3" i="161"/>
  <c r="F2" i="161"/>
  <c r="L7" i="162"/>
  <c r="K7" i="162"/>
  <c r="J7" i="162"/>
  <c r="I7" i="162"/>
  <c r="M6" i="162"/>
  <c r="M5" i="162"/>
  <c r="M4" i="162"/>
  <c r="M3" i="162"/>
  <c r="M2" i="162"/>
  <c r="M7" i="162" l="1"/>
  <c r="F7" i="161"/>
  <c r="H14" i="158" l="1"/>
  <c r="H15" i="158"/>
  <c r="H16" i="158"/>
  <c r="H17" i="158"/>
  <c r="H18" i="158"/>
  <c r="H19" i="158"/>
  <c r="H13" i="158"/>
  <c r="E2" i="158"/>
  <c r="E8" i="158"/>
  <c r="E7" i="158"/>
  <c r="E6" i="158"/>
  <c r="E5" i="158"/>
  <c r="E4" i="158"/>
  <c r="N3" i="158"/>
  <c r="P3" i="158" s="1"/>
  <c r="O3" i="158" s="1"/>
  <c r="M3" i="158"/>
  <c r="E3" i="158"/>
  <c r="E10" i="158" l="1"/>
  <c r="E132" i="158" s="1"/>
  <c r="B4" i="155" l="1"/>
  <c r="C28" i="154" l="1"/>
  <c r="C27" i="154"/>
  <c r="C26" i="154"/>
  <c r="A22" i="154"/>
  <c r="C15" i="154"/>
  <c r="F15" i="154" s="1"/>
  <c r="C14" i="154"/>
  <c r="D14" i="154" s="1"/>
  <c r="C13" i="154"/>
  <c r="F13" i="154" s="1"/>
  <c r="C12" i="154"/>
  <c r="D12" i="154" s="1"/>
  <c r="B8" i="154"/>
  <c r="C7" i="154"/>
  <c r="D7" i="154" s="1"/>
  <c r="C6" i="154"/>
  <c r="F6" i="154" s="1"/>
  <c r="C5" i="154"/>
  <c r="D5" i="154" s="1"/>
  <c r="C4" i="154"/>
  <c r="F4" i="154" s="1"/>
  <c r="C4" i="66"/>
  <c r="C5" i="66"/>
  <c r="C6" i="66"/>
  <c r="C7" i="66"/>
  <c r="D27" i="154"/>
  <c r="D26" i="154"/>
  <c r="D28" i="154"/>
  <c r="D13" i="154" l="1"/>
  <c r="D4" i="154"/>
  <c r="D6" i="154"/>
  <c r="D15" i="154"/>
  <c r="D16" i="154" s="1"/>
  <c r="F5" i="154"/>
  <c r="F7" i="154"/>
  <c r="C8" i="154"/>
  <c r="C10" i="154" a="1"/>
  <c r="C10" i="154" s="1"/>
  <c r="F12" i="154"/>
  <c r="F14" i="154"/>
  <c r="C16" i="154"/>
  <c r="D8" i="154" l="1"/>
  <c r="K6" i="55"/>
  <c r="B16" i="148"/>
  <c r="D9" i="148" s="1"/>
  <c r="A2" i="148"/>
  <c r="A3" i="148" s="1"/>
  <c r="K4" i="147"/>
  <c r="J4" i="147"/>
  <c r="I4" i="147"/>
  <c r="H4" i="147"/>
  <c r="A1" i="146"/>
  <c r="D6" i="145"/>
  <c r="C6" i="145"/>
  <c r="B6" i="145"/>
  <c r="E5" i="145"/>
  <c r="E4" i="145"/>
  <c r="E3" i="145"/>
  <c r="G15" i="144"/>
  <c r="G14" i="144"/>
  <c r="C3" i="144"/>
  <c r="D3" i="144" s="1"/>
  <c r="D44" i="144" s="1"/>
  <c r="D6" i="143"/>
  <c r="C6" i="143"/>
  <c r="B6" i="143"/>
  <c r="E5" i="143"/>
  <c r="E4" i="143"/>
  <c r="E3" i="143"/>
  <c r="B6" i="142"/>
  <c r="B16" i="141"/>
  <c r="D9" i="141" s="1"/>
  <c r="A2" i="141"/>
  <c r="B2" i="141" s="1"/>
  <c r="D7" i="140"/>
  <c r="C7" i="140"/>
  <c r="B7" i="140"/>
  <c r="E6" i="140"/>
  <c r="E5" i="140"/>
  <c r="E4" i="140"/>
  <c r="B16" i="139"/>
  <c r="B15" i="139"/>
  <c r="B14" i="139"/>
  <c r="B13" i="139"/>
  <c r="B12" i="139"/>
  <c r="B11" i="139"/>
  <c r="B10" i="139"/>
  <c r="B9" i="139"/>
  <c r="B8" i="139"/>
  <c r="B7" i="139"/>
  <c r="B6" i="139"/>
  <c r="B5" i="139"/>
  <c r="E7" i="135"/>
  <c r="E6" i="135"/>
  <c r="E5" i="135"/>
  <c r="E4" i="135"/>
  <c r="E3" i="135"/>
  <c r="E2" i="135"/>
  <c r="O13" i="133"/>
  <c r="L13" i="133"/>
  <c r="I13" i="133"/>
  <c r="O12" i="133"/>
  <c r="L12" i="133"/>
  <c r="I12" i="133"/>
  <c r="O11" i="133"/>
  <c r="L11" i="133"/>
  <c r="I11" i="133"/>
  <c r="O10" i="133"/>
  <c r="L10" i="133"/>
  <c r="I10" i="133"/>
  <c r="O9" i="133"/>
  <c r="L9" i="133"/>
  <c r="I9" i="133"/>
  <c r="O8" i="133"/>
  <c r="L8" i="133"/>
  <c r="I8" i="133"/>
  <c r="O7" i="133"/>
  <c r="L7" i="133"/>
  <c r="I7" i="133"/>
  <c r="O6" i="133"/>
  <c r="L6" i="133"/>
  <c r="I6" i="133"/>
  <c r="O5" i="133"/>
  <c r="L5" i="133"/>
  <c r="I5" i="133"/>
  <c r="O4" i="133"/>
  <c r="L4" i="133"/>
  <c r="I4" i="133"/>
  <c r="O3" i="133"/>
  <c r="L3" i="133"/>
  <c r="I3" i="133"/>
  <c r="F9" i="132"/>
  <c r="D9" i="132"/>
  <c r="F8" i="132"/>
  <c r="D8" i="132"/>
  <c r="F7" i="132"/>
  <c r="D7" i="132"/>
  <c r="F6" i="132"/>
  <c r="D6" i="132"/>
  <c r="F5" i="132"/>
  <c r="D5" i="132"/>
  <c r="F4" i="132"/>
  <c r="D4" i="132"/>
  <c r="F3" i="132"/>
  <c r="D3" i="132"/>
  <c r="F13" i="127"/>
  <c r="F12" i="127"/>
  <c r="F11" i="127"/>
  <c r="F10" i="127"/>
  <c r="F9" i="127"/>
  <c r="F8" i="127"/>
  <c r="F7" i="127"/>
  <c r="F6" i="127"/>
  <c r="F5" i="127"/>
  <c r="F4" i="127"/>
  <c r="F3" i="127"/>
  <c r="F2" i="127"/>
  <c r="T1" i="127"/>
  <c r="F1" i="127"/>
  <c r="K1" i="113"/>
  <c r="D5" i="95"/>
  <c r="F7" i="88"/>
  <c r="F6" i="88"/>
  <c r="F5" i="88"/>
  <c r="F4" i="88"/>
  <c r="F3" i="88"/>
  <c r="E8" i="88"/>
  <c r="D8" i="88"/>
  <c r="C8" i="88"/>
  <c r="B8" i="88"/>
  <c r="C11" i="79"/>
  <c r="C10" i="79"/>
  <c r="C9" i="79"/>
  <c r="C8" i="79"/>
  <c r="C7" i="79"/>
  <c r="C6" i="79"/>
  <c r="C5" i="79"/>
  <c r="C4" i="79"/>
  <c r="C3" i="79"/>
  <c r="C2" i="79"/>
  <c r="B3" i="76"/>
  <c r="B8" i="76"/>
  <c r="B5" i="76"/>
  <c r="B10" i="76"/>
  <c r="B9" i="76"/>
  <c r="B7" i="76"/>
  <c r="B6" i="76"/>
  <c r="B4" i="76"/>
  <c r="B2" i="76"/>
  <c r="A7" i="74"/>
  <c r="C7" i="74" s="1"/>
  <c r="T1" i="73"/>
  <c r="S1" i="73"/>
  <c r="Q1" i="73"/>
  <c r="P1" i="73"/>
  <c r="I1" i="72"/>
  <c r="B5" i="70"/>
  <c r="D8" i="70" s="1"/>
  <c r="E4" i="70"/>
  <c r="E2" i="70"/>
  <c r="A112" i="69"/>
  <c r="A111" i="69"/>
  <c r="A110" i="69"/>
  <c r="A109" i="69"/>
  <c r="A108" i="69"/>
  <c r="A107" i="69"/>
  <c r="A106" i="69"/>
  <c r="A105" i="69"/>
  <c r="A104" i="69"/>
  <c r="A103" i="69"/>
  <c r="A102" i="69"/>
  <c r="A101" i="69"/>
  <c r="A100" i="69"/>
  <c r="A99" i="69"/>
  <c r="A98" i="69"/>
  <c r="A97" i="69"/>
  <c r="A96" i="69"/>
  <c r="A95" i="69"/>
  <c r="A94" i="69"/>
  <c r="A93" i="69"/>
  <c r="A92" i="69"/>
  <c r="A91" i="69"/>
  <c r="A90" i="69"/>
  <c r="A89" i="69"/>
  <c r="A88" i="69"/>
  <c r="A87" i="69"/>
  <c r="A86" i="69"/>
  <c r="A85" i="69"/>
  <c r="A84" i="69"/>
  <c r="A83" i="69"/>
  <c r="A82" i="69"/>
  <c r="A81" i="69"/>
  <c r="A80" i="69"/>
  <c r="A79" i="69"/>
  <c r="A78" i="69"/>
  <c r="A77" i="69"/>
  <c r="A76" i="69"/>
  <c r="A75" i="69"/>
  <c r="A74" i="69"/>
  <c r="A73" i="69"/>
  <c r="A72" i="69"/>
  <c r="A71" i="69"/>
  <c r="A70" i="69"/>
  <c r="A69" i="69"/>
  <c r="A68" i="69"/>
  <c r="A67" i="69"/>
  <c r="A66" i="69"/>
  <c r="A65" i="69"/>
  <c r="A64" i="69"/>
  <c r="A63" i="69"/>
  <c r="A62" i="69"/>
  <c r="A61" i="69"/>
  <c r="A60" i="69"/>
  <c r="A59" i="69"/>
  <c r="A58" i="69"/>
  <c r="A57" i="69"/>
  <c r="A56" i="69"/>
  <c r="A55" i="69"/>
  <c r="A54" i="69"/>
  <c r="A53" i="69"/>
  <c r="A52" i="69"/>
  <c r="A51" i="69"/>
  <c r="A50" i="69"/>
  <c r="A49" i="69"/>
  <c r="A48" i="69"/>
  <c r="A47" i="69"/>
  <c r="A46" i="69"/>
  <c r="A45" i="69"/>
  <c r="A44" i="69"/>
  <c r="A43" i="69"/>
  <c r="A42" i="69"/>
  <c r="A41" i="69"/>
  <c r="A40" i="69"/>
  <c r="A39" i="69"/>
  <c r="A38" i="69"/>
  <c r="A37" i="69"/>
  <c r="A36" i="69"/>
  <c r="A35" i="69"/>
  <c r="A34" i="69"/>
  <c r="A33" i="69"/>
  <c r="A32" i="69"/>
  <c r="A31" i="69"/>
  <c r="A30" i="69"/>
  <c r="A29" i="69"/>
  <c r="A28" i="69"/>
  <c r="A27" i="69"/>
  <c r="A26" i="69"/>
  <c r="A25" i="69"/>
  <c r="A24" i="69"/>
  <c r="A23" i="69"/>
  <c r="A22" i="69"/>
  <c r="A21" i="69"/>
  <c r="A20" i="69"/>
  <c r="A19" i="69"/>
  <c r="A18" i="69"/>
  <c r="A17" i="69"/>
  <c r="A16" i="69"/>
  <c r="A15" i="69"/>
  <c r="A14" i="69"/>
  <c r="A13" i="69"/>
  <c r="A11" i="69"/>
  <c r="G9" i="69"/>
  <c r="G8" i="69"/>
  <c r="G7" i="69"/>
  <c r="G6" i="69"/>
  <c r="A3" i="69"/>
  <c r="E7" i="68"/>
  <c r="B3" i="68"/>
  <c r="G3" i="67"/>
  <c r="E2" i="67"/>
  <c r="E1" i="67"/>
  <c r="B8" i="66"/>
  <c r="D7" i="66"/>
  <c r="D6" i="66"/>
  <c r="D5" i="66"/>
  <c r="D4" i="66"/>
  <c r="F14" i="65"/>
  <c r="F13" i="65"/>
  <c r="F12" i="65"/>
  <c r="F11" i="65"/>
  <c r="F10" i="65"/>
  <c r="F9" i="65"/>
  <c r="F8" i="65"/>
  <c r="F7" i="65"/>
  <c r="F6" i="65"/>
  <c r="F5" i="65"/>
  <c r="F4" i="65"/>
  <c r="F3" i="65"/>
  <c r="B13" i="63"/>
  <c r="H10" i="63"/>
  <c r="G10" i="63"/>
  <c r="F10" i="63"/>
  <c r="E10" i="63"/>
  <c r="D10" i="63"/>
  <c r="H9" i="63"/>
  <c r="G9" i="63"/>
  <c r="F9" i="63"/>
  <c r="E9" i="63"/>
  <c r="D9" i="63"/>
  <c r="H8" i="63"/>
  <c r="G8" i="63"/>
  <c r="F8" i="63"/>
  <c r="E8" i="63"/>
  <c r="D8" i="63"/>
  <c r="H7" i="63"/>
  <c r="G7" i="63"/>
  <c r="F7" i="63"/>
  <c r="E7" i="63"/>
  <c r="D7" i="63"/>
  <c r="H6" i="63"/>
  <c r="G6" i="63"/>
  <c r="F6" i="63"/>
  <c r="E6" i="63"/>
  <c r="D6" i="63"/>
  <c r="H5" i="63"/>
  <c r="G5" i="63"/>
  <c r="F5" i="63"/>
  <c r="E5" i="63"/>
  <c r="D5" i="63"/>
  <c r="C5" i="63"/>
  <c r="C6" i="63" s="1"/>
  <c r="C7" i="63" s="1"/>
  <c r="H4" i="63"/>
  <c r="G4" i="63"/>
  <c r="F4" i="63"/>
  <c r="E4" i="63"/>
  <c r="D4" i="63"/>
  <c r="H2" i="63"/>
  <c r="G2" i="63"/>
  <c r="F2" i="63"/>
  <c r="E2" i="63"/>
  <c r="D2" i="63"/>
  <c r="D47" i="62"/>
  <c r="D46" i="62"/>
  <c r="D45" i="62"/>
  <c r="D44" i="62"/>
  <c r="D43" i="62"/>
  <c r="D42" i="62"/>
  <c r="D41" i="62"/>
  <c r="D40" i="62"/>
  <c r="D39" i="62"/>
  <c r="D38" i="62"/>
  <c r="D37" i="62"/>
  <c r="D36" i="62"/>
  <c r="D35" i="62"/>
  <c r="D31" i="62"/>
  <c r="D30" i="62"/>
  <c r="D29" i="62"/>
  <c r="D28" i="62"/>
  <c r="D27" i="62"/>
  <c r="D26" i="62"/>
  <c r="D25" i="62"/>
  <c r="D24" i="62"/>
  <c r="D23" i="62"/>
  <c r="D22" i="62"/>
  <c r="D21" i="62"/>
  <c r="D20" i="62"/>
  <c r="D19" i="62"/>
  <c r="N1" i="62"/>
  <c r="V3" i="61"/>
  <c r="U3" i="61"/>
  <c r="R3" i="61"/>
  <c r="F1" i="61"/>
  <c r="V3" i="60"/>
  <c r="U3" i="60"/>
  <c r="R3" i="60"/>
  <c r="G2" i="60"/>
  <c r="F2" i="60"/>
  <c r="E2" i="60"/>
  <c r="D2" i="60"/>
  <c r="C2" i="60"/>
  <c r="E23" i="58"/>
  <c r="B22" i="58"/>
  <c r="A22" i="58"/>
  <c r="E14" i="58"/>
  <c r="D14" i="58"/>
  <c r="C14" i="58"/>
  <c r="B14" i="58"/>
  <c r="A14" i="58"/>
  <c r="C9" i="58"/>
  <c r="B9" i="58"/>
  <c r="A9" i="58"/>
  <c r="A8" i="57"/>
  <c r="A7" i="57"/>
  <c r="A6" i="57"/>
  <c r="A5" i="57"/>
  <c r="A4" i="57"/>
  <c r="A3" i="57"/>
  <c r="D15" i="56"/>
  <c r="D14" i="56"/>
  <c r="D13" i="56"/>
  <c r="D12" i="56"/>
  <c r="D11" i="56"/>
  <c r="A8" i="56"/>
  <c r="A7" i="56"/>
  <c r="A6" i="56"/>
  <c r="A5" i="56"/>
  <c r="A4" i="56"/>
  <c r="A3" i="56"/>
  <c r="L6" i="55"/>
  <c r="L5" i="55"/>
  <c r="R4" i="55"/>
  <c r="K5" i="55" s="1"/>
  <c r="L4" i="55"/>
  <c r="R3" i="55"/>
  <c r="K4" i="55" s="1"/>
  <c r="L3" i="55"/>
  <c r="K3" i="55"/>
  <c r="R2" i="55"/>
  <c r="L2" i="55"/>
  <c r="T1" i="55"/>
  <c r="R1" i="55"/>
  <c r="K2" i="55" s="1"/>
  <c r="E33" i="54"/>
  <c r="C33" i="54"/>
  <c r="E32" i="54"/>
  <c r="C32" i="54"/>
  <c r="E31" i="54"/>
  <c r="C31" i="54"/>
  <c r="E30" i="54"/>
  <c r="C30" i="54"/>
  <c r="E29" i="54"/>
  <c r="C29" i="54"/>
  <c r="A26" i="54"/>
  <c r="A25" i="54"/>
  <c r="A24" i="54"/>
  <c r="A23" i="54"/>
  <c r="A22" i="54"/>
  <c r="A21" i="54"/>
  <c r="A4" i="54"/>
  <c r="G19" i="54" s="1"/>
  <c r="A3" i="54"/>
  <c r="G15" i="54" s="1"/>
  <c r="A2" i="54"/>
  <c r="B11" i="50"/>
  <c r="D5" i="50"/>
  <c r="K4" i="48"/>
  <c r="K3" i="48"/>
  <c r="C3" i="48"/>
  <c r="C4" i="48" s="1"/>
  <c r="B3" i="48"/>
  <c r="B4" i="48" s="1"/>
  <c r="A3" i="48"/>
  <c r="K2" i="48"/>
  <c r="E2" i="48"/>
  <c r="D2" i="48"/>
  <c r="F17" i="47"/>
  <c r="F16" i="47" a="1"/>
  <c r="F16" i="47" s="1"/>
  <c r="F15" i="47"/>
  <c r="F14" i="47"/>
  <c r="F13" i="47"/>
  <c r="F12" i="47"/>
  <c r="F11" i="47"/>
  <c r="P22" i="45"/>
  <c r="P19" i="45"/>
  <c r="P16" i="45"/>
  <c r="P13" i="45"/>
  <c r="P10" i="45"/>
  <c r="P4" i="45"/>
  <c r="B36" i="44"/>
  <c r="B35" i="44"/>
  <c r="H29" i="44"/>
  <c r="D3" i="43"/>
  <c r="D2" i="43"/>
  <c r="D1" i="43"/>
  <c r="E9" i="42"/>
  <c r="D9" i="42"/>
  <c r="C9" i="42"/>
  <c r="B9" i="42"/>
  <c r="F8" i="42"/>
  <c r="F7" i="42"/>
  <c r="F6" i="42"/>
  <c r="F5" i="42"/>
  <c r="F4" i="42"/>
  <c r="F3" i="42"/>
  <c r="A1" i="42"/>
  <c r="E9" i="41"/>
  <c r="D9" i="41"/>
  <c r="C9" i="41"/>
  <c r="B9" i="41"/>
  <c r="F8" i="41"/>
  <c r="F7" i="41"/>
  <c r="F6" i="41"/>
  <c r="F5" i="41"/>
  <c r="F4" i="41"/>
  <c r="F3" i="41"/>
  <c r="A1" i="41"/>
  <c r="E9" i="40"/>
  <c r="D9" i="40"/>
  <c r="C9" i="40"/>
  <c r="B9" i="40"/>
  <c r="F8" i="40"/>
  <c r="F7" i="40"/>
  <c r="F6" i="40"/>
  <c r="F5" i="40"/>
  <c r="F4" i="40"/>
  <c r="F3" i="40"/>
  <c r="A1" i="40"/>
  <c r="E9" i="39"/>
  <c r="D9" i="39"/>
  <c r="C9" i="39"/>
  <c r="B9" i="39"/>
  <c r="F8" i="39"/>
  <c r="F7" i="39"/>
  <c r="F6" i="39"/>
  <c r="F5" i="39"/>
  <c r="F4" i="39"/>
  <c r="F3" i="39"/>
  <c r="A1" i="39"/>
  <c r="B9" i="38"/>
  <c r="A5" i="37"/>
  <c r="B11" i="36"/>
  <c r="G10" i="35"/>
  <c r="G11" i="35" s="1"/>
  <c r="F10" i="35"/>
  <c r="F11" i="35" s="1"/>
  <c r="E10" i="35"/>
  <c r="E11" i="35" s="1"/>
  <c r="D10" i="35"/>
  <c r="D11" i="35" s="1"/>
  <c r="C10" i="35"/>
  <c r="C11" i="35" s="1"/>
  <c r="B10" i="35"/>
  <c r="B11" i="35" s="1"/>
  <c r="H9" i="35"/>
  <c r="A9" i="35"/>
  <c r="H8" i="35"/>
  <c r="A8" i="35"/>
  <c r="H7" i="35"/>
  <c r="A7" i="35"/>
  <c r="H6" i="35"/>
  <c r="A6" i="35"/>
  <c r="H5" i="35"/>
  <c r="A5" i="35"/>
  <c r="H4" i="35"/>
  <c r="A4" i="35"/>
  <c r="H3" i="35"/>
  <c r="G10" i="34"/>
  <c r="G11" i="34" s="1"/>
  <c r="F10" i="34"/>
  <c r="F11" i="34" s="1"/>
  <c r="E10" i="34"/>
  <c r="E11" i="34" s="1"/>
  <c r="D10" i="34"/>
  <c r="D11" i="34" s="1"/>
  <c r="C10" i="34"/>
  <c r="C11" i="34" s="1"/>
  <c r="B10" i="34"/>
  <c r="B11" i="34" s="1"/>
  <c r="H9" i="34"/>
  <c r="A9" i="34"/>
  <c r="H8" i="34"/>
  <c r="A8" i="34"/>
  <c r="H7" i="34"/>
  <c r="A7" i="34"/>
  <c r="H6" i="34"/>
  <c r="A6" i="34"/>
  <c r="H5" i="34"/>
  <c r="A5" i="34"/>
  <c r="H4" i="34"/>
  <c r="A4" i="34"/>
  <c r="H3" i="34"/>
  <c r="N39" i="33"/>
  <c r="M39" i="33"/>
  <c r="L39" i="33"/>
  <c r="K39" i="33"/>
  <c r="N38" i="33"/>
  <c r="M38" i="33"/>
  <c r="L38" i="33"/>
  <c r="K38" i="33"/>
  <c r="N37" i="33"/>
  <c r="M37" i="33"/>
  <c r="L37" i="33"/>
  <c r="K37" i="33"/>
  <c r="N36" i="33"/>
  <c r="M36" i="33"/>
  <c r="L36" i="33"/>
  <c r="K36" i="33"/>
  <c r="N35" i="33"/>
  <c r="M35" i="33"/>
  <c r="L35" i="33"/>
  <c r="K35" i="33"/>
  <c r="B15" i="32"/>
  <c r="B14" i="32"/>
  <c r="B13" i="32"/>
  <c r="B12" i="32"/>
  <c r="B11" i="32"/>
  <c r="B10" i="32"/>
  <c r="B9" i="32"/>
  <c r="B8" i="32"/>
  <c r="B7" i="32"/>
  <c r="B6" i="32"/>
  <c r="B5" i="32"/>
  <c r="B4" i="32"/>
  <c r="N3" i="32"/>
  <c r="M3" i="32"/>
  <c r="L3" i="32"/>
  <c r="K3" i="32"/>
  <c r="J3" i="32"/>
  <c r="I3" i="32"/>
  <c r="H3" i="32"/>
  <c r="G3" i="32"/>
  <c r="F3" i="32"/>
  <c r="E3" i="32"/>
  <c r="D3" i="32"/>
  <c r="C3" i="32"/>
  <c r="A5" i="31"/>
  <c r="A6" i="31" s="1"/>
  <c r="A7" i="31" s="1"/>
  <c r="A8" i="31" s="1"/>
  <c r="A9" i="31" s="1"/>
  <c r="A10" i="31" s="1"/>
  <c r="A11" i="31" s="1"/>
  <c r="A12" i="31" s="1"/>
  <c r="A13" i="31" s="1"/>
  <c r="B4" i="31"/>
  <c r="C4" i="31" s="1"/>
  <c r="D4" i="31" s="1"/>
  <c r="E4" i="31" s="1"/>
  <c r="F4" i="31" s="1"/>
  <c r="G4" i="31" s="1"/>
  <c r="A18" i="28"/>
  <c r="A8" i="28"/>
  <c r="A7" i="28"/>
  <c r="A6" i="28"/>
  <c r="A5" i="28"/>
  <c r="A4" i="28"/>
  <c r="A3" i="28"/>
  <c r="B2" i="28"/>
  <c r="B8" i="28" s="1"/>
  <c r="C4" i="26"/>
  <c r="D4" i="26" s="1"/>
  <c r="C3" i="26"/>
  <c r="D3" i="26" s="1"/>
  <c r="C2" i="26"/>
  <c r="D2" i="26" s="1"/>
  <c r="J4" i="25"/>
  <c r="D4" i="25"/>
  <c r="J3" i="25"/>
  <c r="D3" i="25"/>
  <c r="J2" i="25"/>
  <c r="D2" i="25"/>
  <c r="F19" i="24"/>
  <c r="F18" i="24"/>
  <c r="F17" i="24"/>
  <c r="K6" i="24"/>
  <c r="K5" i="24"/>
  <c r="K4" i="24"/>
  <c r="I4" i="24"/>
  <c r="I2" i="24"/>
  <c r="A4" i="22"/>
  <c r="A3" i="22"/>
  <c r="D9" i="21"/>
  <c r="B4" i="21"/>
  <c r="D26" i="20"/>
  <c r="E25" i="20"/>
  <c r="D25" i="20"/>
  <c r="E24" i="20"/>
  <c r="D24" i="20"/>
  <c r="E23" i="20"/>
  <c r="D23" i="20"/>
  <c r="E22" i="20"/>
  <c r="E26" i="20" s="1"/>
  <c r="D22" i="20"/>
  <c r="E21" i="20"/>
  <c r="D21" i="20"/>
  <c r="E20" i="20"/>
  <c r="D20" i="20"/>
  <c r="G15" i="20"/>
  <c r="F15" i="20"/>
  <c r="E15" i="20"/>
  <c r="D15" i="20"/>
  <c r="C15" i="20"/>
  <c r="B15" i="20"/>
  <c r="G6" i="20"/>
  <c r="F6" i="20"/>
  <c r="E6" i="20"/>
  <c r="D6" i="20"/>
  <c r="C6" i="20"/>
  <c r="B6" i="20"/>
  <c r="G5" i="20"/>
  <c r="F5" i="20"/>
  <c r="E5" i="20"/>
  <c r="D5" i="20"/>
  <c r="C5" i="20"/>
  <c r="B5" i="20"/>
  <c r="G4" i="20"/>
  <c r="F4" i="20"/>
  <c r="E4" i="20"/>
  <c r="D4" i="20"/>
  <c r="C4" i="20"/>
  <c r="B4" i="20"/>
  <c r="G3" i="20"/>
  <c r="F3" i="20"/>
  <c r="E3" i="20"/>
  <c r="E7" i="20" s="1"/>
  <c r="D3" i="20"/>
  <c r="C3" i="20"/>
  <c r="B3" i="20"/>
  <c r="B7" i="20" s="1"/>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C6" i="18"/>
  <c r="A6" i="18"/>
  <c r="B6" i="18" s="1"/>
  <c r="D6" i="18" s="1"/>
  <c r="E6" i="18" s="1"/>
  <c r="A5" i="18"/>
  <c r="G15" i="17"/>
  <c r="F15" i="17"/>
  <c r="E15" i="17"/>
  <c r="D15" i="17"/>
  <c r="C15" i="17"/>
  <c r="B15" i="17"/>
  <c r="G6" i="17"/>
  <c r="F6" i="17"/>
  <c r="E6" i="17"/>
  <c r="D6" i="17"/>
  <c r="C6" i="17"/>
  <c r="B6" i="17"/>
  <c r="G5" i="17"/>
  <c r="F5" i="17"/>
  <c r="E5" i="17"/>
  <c r="D5" i="17"/>
  <c r="C5" i="17"/>
  <c r="B5" i="17"/>
  <c r="G4" i="17"/>
  <c r="F4" i="17"/>
  <c r="E4" i="17"/>
  <c r="D4" i="17"/>
  <c r="C4" i="17"/>
  <c r="B4" i="17"/>
  <c r="G3" i="17"/>
  <c r="F3" i="17"/>
  <c r="F7" i="17" s="1"/>
  <c r="E3" i="17"/>
  <c r="E7" i="17" s="1"/>
  <c r="D3" i="17"/>
  <c r="C3" i="17"/>
  <c r="B3" i="17"/>
  <c r="B7" i="17" s="1"/>
  <c r="G7" i="16"/>
  <c r="F7" i="16"/>
  <c r="E7" i="16"/>
  <c r="D7" i="16"/>
  <c r="C7" i="16"/>
  <c r="B7" i="16"/>
  <c r="C9" i="15"/>
  <c r="A9" i="15"/>
  <c r="A20" i="14"/>
  <c r="B9" i="11"/>
  <c r="J8" i="10"/>
  <c r="I7" i="10"/>
  <c r="J7" i="10" s="1"/>
  <c r="J6" i="10"/>
  <c r="J5" i="10"/>
  <c r="I4" i="10"/>
  <c r="J4" i="10" s="1"/>
  <c r="J3" i="10"/>
  <c r="J2" i="10"/>
  <c r="G3" i="9"/>
  <c r="G7" i="47"/>
  <c r="E2" i="43"/>
  <c r="G2" i="47"/>
  <c r="G15" i="47"/>
  <c r="G16" i="47"/>
  <c r="G17" i="47"/>
  <c r="G6" i="47"/>
  <c r="F2" i="48"/>
  <c r="F4" i="48"/>
  <c r="G14" i="47"/>
  <c r="E3" i="43"/>
  <c r="G12" i="47"/>
  <c r="G11" i="47"/>
  <c r="E1" i="43"/>
  <c r="G1" i="47"/>
  <c r="G13" i="47"/>
  <c r="F3" i="48"/>
  <c r="G18" i="47"/>
  <c r="D4" i="141" l="1"/>
  <c r="D2" i="148"/>
  <c r="D7" i="17"/>
  <c r="D7" i="20"/>
  <c r="E28" i="20"/>
  <c r="F9" i="42"/>
  <c r="A3" i="141"/>
  <c r="A4" i="141" s="1"/>
  <c r="A5" i="141" s="1"/>
  <c r="D10" i="141"/>
  <c r="E6" i="145"/>
  <c r="D8" i="148"/>
  <c r="F7" i="20"/>
  <c r="C2" i="28"/>
  <c r="D2" i="28" s="1"/>
  <c r="F9" i="40"/>
  <c r="E3" i="48"/>
  <c r="D6" i="141"/>
  <c r="D4" i="148"/>
  <c r="C7" i="17"/>
  <c r="G7" i="17"/>
  <c r="C7" i="20"/>
  <c r="G7" i="20"/>
  <c r="D2" i="141"/>
  <c r="C2" i="141" s="1"/>
  <c r="E2" i="141" s="1"/>
  <c r="D8" i="141"/>
  <c r="D6" i="148"/>
  <c r="G17" i="54"/>
  <c r="E3" i="67"/>
  <c r="D3" i="67"/>
  <c r="G4" i="132"/>
  <c r="G6" i="132"/>
  <c r="G8" i="132"/>
  <c r="G9" i="132"/>
  <c r="E7" i="140"/>
  <c r="E6" i="143"/>
  <c r="F3" i="144"/>
  <c r="B2" i="148"/>
  <c r="D3" i="148"/>
  <c r="D5" i="148"/>
  <c r="D7" i="148"/>
  <c r="D10" i="148"/>
  <c r="G3" i="132"/>
  <c r="G5" i="132"/>
  <c r="G7" i="132"/>
  <c r="C7" i="18"/>
  <c r="B7" i="18"/>
  <c r="D7" i="18" s="1"/>
  <c r="E7" i="18" s="1"/>
  <c r="H10" i="34"/>
  <c r="G18" i="54"/>
  <c r="G16" i="54"/>
  <c r="C8" i="63"/>
  <c r="C9" i="63" s="1"/>
  <c r="C10" i="63" s="1"/>
  <c r="C9" i="69"/>
  <c r="A1" i="69" s="1"/>
  <c r="C8" i="69"/>
  <c r="C7" i="69"/>
  <c r="C6" i="69"/>
  <c r="E3" i="70"/>
  <c r="D5" i="70"/>
  <c r="D6" i="70"/>
  <c r="D7" i="70"/>
  <c r="D8" i="28"/>
  <c r="D7" i="28"/>
  <c r="D6" i="28"/>
  <c r="D5" i="28"/>
  <c r="D4" i="28"/>
  <c r="D3" i="28"/>
  <c r="C3" i="28"/>
  <c r="C4" i="28"/>
  <c r="C5" i="28"/>
  <c r="C6" i="28"/>
  <c r="C7" i="28"/>
  <c r="C8" i="28"/>
  <c r="H11" i="34"/>
  <c r="H10" i="35"/>
  <c r="H11" i="35" s="1"/>
  <c r="F9" i="39"/>
  <c r="F9" i="41"/>
  <c r="A4" i="48"/>
  <c r="D3" i="48"/>
  <c r="B5" i="63"/>
  <c r="D8" i="66"/>
  <c r="C8" i="66"/>
  <c r="E8" i="70"/>
  <c r="E7" i="70"/>
  <c r="E6" i="70"/>
  <c r="E5" i="70"/>
  <c r="D4" i="70"/>
  <c r="D3" i="70"/>
  <c r="D2" i="70"/>
  <c r="B3" i="28"/>
  <c r="B4" i="28"/>
  <c r="B5" i="28"/>
  <c r="B6" i="28"/>
  <c r="B7" i="28"/>
  <c r="F2" i="88"/>
  <c r="F8" i="88" s="1"/>
  <c r="A4" i="148"/>
  <c r="B3" i="148"/>
  <c r="D3" i="141"/>
  <c r="D5" i="141"/>
  <c r="D7" i="141"/>
  <c r="C4" i="144"/>
  <c r="C44" i="144"/>
  <c r="C2" i="148"/>
  <c r="E2" i="148" s="1"/>
  <c r="B4" i="63" l="1"/>
  <c r="B3" i="141"/>
  <c r="B4" i="141"/>
  <c r="C4" i="141" s="1"/>
  <c r="E4" i="141" s="1"/>
  <c r="C16" i="63"/>
  <c r="B8" i="63"/>
  <c r="B9" i="63"/>
  <c r="B7" i="63"/>
  <c r="B8" i="18"/>
  <c r="C8" i="18"/>
  <c r="A6" i="141"/>
  <c r="B5" i="141"/>
  <c r="D4" i="144"/>
  <c r="F4" i="144" s="1"/>
  <c r="C3" i="141"/>
  <c r="E3" i="141" s="1"/>
  <c r="C3" i="148"/>
  <c r="E3" i="148" s="1"/>
  <c r="B6" i="63"/>
  <c r="B10" i="63"/>
  <c r="A5" i="148"/>
  <c r="B4" i="148"/>
  <c r="E4" i="48"/>
  <c r="D4" i="48"/>
  <c r="D8" i="18" l="1"/>
  <c r="E8" i="18" s="1"/>
  <c r="B9" i="18" s="1"/>
  <c r="C4" i="148"/>
  <c r="E4" i="148" s="1"/>
  <c r="A6" i="148"/>
  <c r="B5" i="148"/>
  <c r="C45" i="144"/>
  <c r="C5" i="144"/>
  <c r="D45" i="144"/>
  <c r="A7" i="141"/>
  <c r="B6" i="141"/>
  <c r="C5" i="141"/>
  <c r="E5" i="141" s="1"/>
  <c r="C9" i="18"/>
  <c r="D9" i="18" l="1"/>
  <c r="E9" i="18" s="1"/>
  <c r="A8" i="141"/>
  <c r="B7" i="141"/>
  <c r="D5" i="144"/>
  <c r="D46" i="144" s="1"/>
  <c r="C5" i="148"/>
  <c r="E5" i="148" s="1"/>
  <c r="C6" i="141"/>
  <c r="E6" i="141" s="1"/>
  <c r="A7" i="148"/>
  <c r="B6" i="148"/>
  <c r="A9" i="141" l="1"/>
  <c r="B8" i="141"/>
  <c r="A8" i="148"/>
  <c r="B7" i="148"/>
  <c r="C46" i="144"/>
  <c r="C6" i="144"/>
  <c r="C6" i="148"/>
  <c r="E6" i="148" s="1"/>
  <c r="F5" i="144"/>
  <c r="C7" i="141"/>
  <c r="E7" i="141" s="1"/>
  <c r="B10" i="18"/>
  <c r="D10" i="18" s="1"/>
  <c r="E10" i="18" s="1"/>
  <c r="C10" i="18"/>
  <c r="C11" i="18" l="1"/>
  <c r="B11" i="18"/>
  <c r="D11" i="18" s="1"/>
  <c r="E11" i="18" s="1"/>
  <c r="D6" i="144"/>
  <c r="F6" i="144" s="1"/>
  <c r="C7" i="148"/>
  <c r="E7" i="148" s="1"/>
  <c r="C8" i="141"/>
  <c r="E8" i="141" s="1"/>
  <c r="A9" i="148"/>
  <c r="B8" i="148"/>
  <c r="A10" i="141"/>
  <c r="B10" i="141" s="1"/>
  <c r="B9" i="141"/>
  <c r="B12" i="18" l="1"/>
  <c r="D12" i="18" s="1"/>
  <c r="E12" i="18" s="1"/>
  <c r="C12" i="18"/>
  <c r="C9" i="141"/>
  <c r="E9" i="141" s="1"/>
  <c r="C8" i="148"/>
  <c r="E8" i="148" s="1"/>
  <c r="C10" i="141"/>
  <c r="E10" i="141" s="1"/>
  <c r="A10" i="148"/>
  <c r="B10" i="148" s="1"/>
  <c r="B9" i="148"/>
  <c r="C47" i="144"/>
  <c r="C7" i="144"/>
  <c r="D47" i="144"/>
  <c r="C10" i="148" l="1"/>
  <c r="E10" i="148" s="1"/>
  <c r="D48" i="144"/>
  <c r="D7" i="144"/>
  <c r="C9" i="148"/>
  <c r="E9" i="148" s="1"/>
  <c r="C13" i="18"/>
  <c r="B13" i="18"/>
  <c r="D13" i="18" l="1"/>
  <c r="E13" i="18" s="1"/>
  <c r="B14" i="18" s="1"/>
  <c r="C48" i="144"/>
  <c r="C8" i="144"/>
  <c r="F7" i="144"/>
  <c r="C14" i="18" l="1"/>
  <c r="D14" i="18"/>
  <c r="E14" i="18" s="1"/>
  <c r="C15" i="18" s="1"/>
  <c r="D49" i="144"/>
  <c r="D8" i="144"/>
  <c r="B15" i="18" l="1"/>
  <c r="D15" i="18" s="1"/>
  <c r="E15" i="18" s="1"/>
  <c r="B16" i="18" s="1"/>
  <c r="C49" i="144"/>
  <c r="C9" i="144"/>
  <c r="F8" i="144"/>
  <c r="C16" i="18" l="1"/>
  <c r="D16" i="18"/>
  <c r="E16" i="18" s="1"/>
  <c r="C17" i="18" s="1"/>
  <c r="D50" i="144"/>
  <c r="D9" i="144"/>
  <c r="B17" i="18" l="1"/>
  <c r="D17" i="18" s="1"/>
  <c r="E17" i="18" s="1"/>
  <c r="C50" i="144"/>
  <c r="C10" i="144"/>
  <c r="F9" i="144"/>
  <c r="B18" i="18" l="1"/>
  <c r="D18" i="18" s="1"/>
  <c r="E18" i="18" s="1"/>
  <c r="C18" i="18"/>
  <c r="D10" i="144"/>
  <c r="B19" i="18" l="1"/>
  <c r="D19" i="18" s="1"/>
  <c r="E19" i="18" s="1"/>
  <c r="C20" i="18" s="1"/>
  <c r="C19" i="18"/>
  <c r="F10" i="144"/>
  <c r="C51" i="144"/>
  <c r="C11" i="144"/>
  <c r="D51" i="144"/>
  <c r="B20" i="18" l="1"/>
  <c r="D20" i="18" s="1"/>
  <c r="E20" i="18" s="1"/>
  <c r="D11" i="144"/>
  <c r="F11" i="144" s="1"/>
  <c r="C21" i="18" l="1"/>
  <c r="B21" i="18"/>
  <c r="D21" i="18" s="1"/>
  <c r="E21" i="18" s="1"/>
  <c r="C52" i="144"/>
  <c r="C12" i="144"/>
  <c r="D52" i="144"/>
  <c r="C22" i="18" l="1"/>
  <c r="B22" i="18"/>
  <c r="D22" i="18" s="1"/>
  <c r="E22" i="18" s="1"/>
  <c r="D53" i="144"/>
  <c r="D12" i="144"/>
  <c r="C53" i="144" s="1"/>
  <c r="C23" i="18" l="1"/>
  <c r="B23" i="18"/>
  <c r="D23" i="18" s="1"/>
  <c r="E23" i="18" s="1"/>
  <c r="F12" i="144"/>
  <c r="B24" i="18" l="1"/>
  <c r="D24" i="18" s="1"/>
  <c r="E24" i="18" s="1"/>
  <c r="C25" i="18" s="1"/>
  <c r="C24" i="18"/>
  <c r="B25" i="18" l="1"/>
  <c r="D25" i="18" s="1"/>
  <c r="E25" i="18" s="1"/>
  <c r="B26" i="18" s="1"/>
  <c r="C26" i="18" l="1"/>
  <c r="D26" i="18" s="1"/>
  <c r="E26" i="18" s="1"/>
  <c r="C27" i="18" l="1"/>
  <c r="B27" i="18"/>
  <c r="D27" i="18" s="1"/>
  <c r="E27" i="18" s="1"/>
  <c r="B28" i="18" s="1"/>
  <c r="C28" i="18" l="1"/>
  <c r="D28" i="18" s="1"/>
  <c r="E28" i="18" s="1"/>
  <c r="C29" i="18" l="1"/>
  <c r="B29" i="18"/>
  <c r="D29" i="18" s="1"/>
  <c r="E29" i="18" s="1"/>
  <c r="B30" i="18" s="1"/>
  <c r="C30" i="18" l="1"/>
  <c r="D30" i="18" s="1"/>
  <c r="E30" i="18" s="1"/>
  <c r="C31" i="18" l="1"/>
  <c r="B31" i="18"/>
  <c r="D31" i="18" s="1"/>
  <c r="E31" i="18" s="1"/>
  <c r="B32" i="18" s="1"/>
  <c r="C32" i="18" l="1"/>
  <c r="D32" i="18" s="1"/>
  <c r="E32" i="18" s="1"/>
  <c r="C33" i="18" l="1"/>
  <c r="B33" i="18"/>
  <c r="D33" i="18" s="1"/>
  <c r="E33" i="18" s="1"/>
  <c r="B34" i="18" s="1"/>
  <c r="C34" i="18" l="1"/>
  <c r="D34" i="18" s="1"/>
  <c r="E34" i="18" s="1"/>
  <c r="C35" i="18" l="1"/>
  <c r="B35" i="18"/>
  <c r="D35" i="18" l="1"/>
  <c r="E35" i="18" s="1"/>
  <c r="B36" i="18" l="1"/>
  <c r="D36" i="18" s="1"/>
  <c r="E36" i="18" s="1"/>
  <c r="C36" i="18"/>
  <c r="C37" i="18" l="1"/>
  <c r="B37" i="18"/>
  <c r="D37" i="18" s="1"/>
  <c r="E37" i="18" s="1"/>
  <c r="C38" i="18" l="1"/>
  <c r="B38" i="18"/>
  <c r="D38" i="18" s="1"/>
  <c r="E38" i="18" s="1"/>
  <c r="B39" i="18" l="1"/>
  <c r="D39" i="18" s="1"/>
  <c r="E39" i="18" s="1"/>
  <c r="C39" i="18"/>
  <c r="B40" i="18" l="1"/>
  <c r="D40" i="18" s="1"/>
  <c r="E40" i="18" s="1"/>
  <c r="C40" i="18"/>
  <c r="C41" i="18" l="1"/>
  <c r="B41" i="18"/>
  <c r="D41" i="18" s="1"/>
  <c r="E41" i="18" s="1"/>
  <c r="B42" i="18" l="1"/>
  <c r="D42" i="18" s="1"/>
  <c r="E42" i="18" s="1"/>
  <c r="C42" i="18"/>
  <c r="C43" i="18" l="1"/>
  <c r="B43" i="18"/>
  <c r="D43" i="18" s="1"/>
  <c r="E43" i="18" s="1"/>
  <c r="B44" i="18" l="1"/>
  <c r="D44" i="18" s="1"/>
  <c r="E44" i="18" s="1"/>
  <c r="C44" i="18"/>
  <c r="C45" i="18" l="1"/>
  <c r="B45" i="18"/>
  <c r="D45" i="18" s="1"/>
  <c r="E45" i="18" s="1"/>
  <c r="B46" i="18" l="1"/>
  <c r="D46" i="18" s="1"/>
  <c r="E46" i="18" s="1"/>
  <c r="C46" i="18"/>
  <c r="C47" i="18" l="1"/>
  <c r="B47" i="18"/>
  <c r="D47" i="18" s="1"/>
  <c r="E47" i="18" s="1"/>
  <c r="B48" i="18" l="1"/>
  <c r="D48" i="18" s="1"/>
  <c r="E48" i="18" s="1"/>
  <c r="C48" i="18"/>
  <c r="C49" i="18" l="1"/>
  <c r="B49" i="18"/>
  <c r="D49" i="18" s="1"/>
  <c r="E49" i="18" s="1"/>
  <c r="C50" i="18" l="1"/>
  <c r="B50" i="18"/>
  <c r="D50" i="18" s="1"/>
  <c r="E50" i="18" s="1"/>
  <c r="C51" i="18" l="1"/>
  <c r="B51" i="18"/>
  <c r="D51" i="18" s="1"/>
  <c r="E51" i="18" s="1"/>
  <c r="B52" i="18" l="1"/>
  <c r="D52" i="18" s="1"/>
  <c r="E52" i="18" s="1"/>
  <c r="C52" i="18"/>
  <c r="C53" i="18" l="1"/>
  <c r="B53" i="18"/>
  <c r="D53" i="18" s="1"/>
  <c r="E53" i="18" s="1"/>
  <c r="B54" i="18" l="1"/>
  <c r="D54" i="18" s="1"/>
  <c r="E54" i="18" s="1"/>
  <c r="C54" i="18"/>
  <c r="C55" i="18" l="1"/>
  <c r="B55" i="18"/>
  <c r="D55" i="18" s="1"/>
  <c r="E55" i="18" s="1"/>
  <c r="B56" i="18" l="1"/>
  <c r="D56" i="18" s="1"/>
  <c r="E56" i="18" s="1"/>
  <c r="C56" i="18"/>
  <c r="C57" i="18" l="1"/>
  <c r="B57" i="18"/>
  <c r="D57" i="18" s="1"/>
  <c r="E57" i="18" s="1"/>
  <c r="B58" i="18" l="1"/>
  <c r="D58" i="18" s="1"/>
  <c r="E58" i="18" s="1"/>
  <c r="C58" i="18"/>
  <c r="C59" i="18" l="1"/>
  <c r="B59" i="18"/>
  <c r="D59" i="18" s="1"/>
  <c r="E59" i="18" s="1"/>
  <c r="B60" i="18" l="1"/>
  <c r="D60" i="18" s="1"/>
  <c r="E60" i="18" s="1"/>
  <c r="C60" i="18"/>
  <c r="C61" i="18" l="1"/>
  <c r="B61" i="18"/>
  <c r="D61" i="18" s="1"/>
  <c r="E61" i="18" s="1"/>
  <c r="C62" i="18" l="1"/>
  <c r="B62" i="18"/>
  <c r="D62" i="18" s="1"/>
  <c r="E62" i="18" s="1"/>
  <c r="C63" i="18" l="1"/>
  <c r="B63" i="18"/>
  <c r="D63" i="18" s="1"/>
  <c r="E63" i="18" s="1"/>
  <c r="B64" i="18" l="1"/>
  <c r="D64" i="18" s="1"/>
  <c r="E64" i="18" s="1"/>
  <c r="C64" i="18"/>
  <c r="C65" i="18" l="1"/>
  <c r="B65" i="18"/>
  <c r="D65" i="18" s="1"/>
  <c r="E65" i="18" s="1"/>
  <c r="B66" i="18" l="1"/>
  <c r="D66" i="18" s="1"/>
  <c r="E66" i="18" s="1"/>
  <c r="C66" i="18"/>
  <c r="C67" i="18" l="1"/>
  <c r="B67" i="18"/>
  <c r="D67" i="18" s="1"/>
  <c r="E67" i="18" s="1"/>
  <c r="B68" i="18" l="1"/>
  <c r="D68" i="18" s="1"/>
  <c r="E68" i="18" s="1"/>
  <c r="C68" i="18"/>
  <c r="C69" i="18" l="1"/>
  <c r="B69" i="18"/>
  <c r="D69" i="18" s="1"/>
  <c r="E69" i="18" s="1"/>
  <c r="B70" i="18" l="1"/>
  <c r="D70" i="18" s="1"/>
  <c r="E70" i="18" s="1"/>
  <c r="C70" i="18"/>
  <c r="C71" i="18" l="1"/>
  <c r="B71" i="18"/>
  <c r="D71" i="18" s="1"/>
  <c r="E71" i="18" s="1"/>
  <c r="B72" i="18" l="1"/>
  <c r="D72" i="18" s="1"/>
  <c r="E72" i="18" s="1"/>
  <c r="C72" i="18"/>
  <c r="C73" i="18" l="1"/>
  <c r="B73" i="18"/>
  <c r="D73" i="18" s="1"/>
  <c r="E73" i="18" s="1"/>
  <c r="B74" i="18" l="1"/>
  <c r="D74" i="18" s="1"/>
  <c r="E74" i="18" s="1"/>
  <c r="C74" i="18"/>
  <c r="C75" i="18" l="1"/>
  <c r="B75" i="18"/>
  <c r="D75" i="18" s="1"/>
  <c r="E75" i="18" s="1"/>
  <c r="B76" i="18" l="1"/>
  <c r="D76" i="18" s="1"/>
  <c r="E76" i="18" s="1"/>
  <c r="C76" i="18"/>
  <c r="C77" i="18" l="1"/>
  <c r="B77" i="18"/>
  <c r="D77" i="18" s="1"/>
  <c r="E77" i="18" s="1"/>
  <c r="B78" i="18" l="1"/>
  <c r="D78" i="18" s="1"/>
  <c r="E78" i="18" s="1"/>
  <c r="C78" i="18"/>
  <c r="C79" i="18" l="1"/>
  <c r="B79" i="18"/>
  <c r="D79" i="18" s="1"/>
  <c r="E79" i="18" s="1"/>
  <c r="B80" i="18" l="1"/>
  <c r="D80" i="18" s="1"/>
  <c r="E80" i="18" s="1"/>
  <c r="C80" i="18"/>
  <c r="C81" i="18" l="1"/>
  <c r="B81" i="18"/>
  <c r="D81" i="18" s="1"/>
  <c r="E81" i="18" s="1"/>
  <c r="B82" i="18" l="1"/>
  <c r="D82" i="18" s="1"/>
  <c r="E82" i="18" s="1"/>
  <c r="C82" i="18"/>
  <c r="C83" i="18" l="1"/>
  <c r="B83" i="18"/>
  <c r="D83" i="18" s="1"/>
  <c r="E83" i="18" s="1"/>
  <c r="B84" i="18" l="1"/>
  <c r="D84" i="18" s="1"/>
  <c r="E84" i="18" s="1"/>
  <c r="C84" i="18"/>
  <c r="C85" i="18" l="1"/>
  <c r="B85" i="18"/>
  <c r="D85" i="18" s="1"/>
  <c r="E85" i="18" s="1"/>
  <c r="B86" i="18" l="1"/>
  <c r="D86" i="18" s="1"/>
  <c r="E86" i="18" s="1"/>
  <c r="C86" i="18"/>
  <c r="C87" i="18" l="1"/>
  <c r="B87" i="18"/>
  <c r="D87" i="18" s="1"/>
  <c r="E87" i="18" s="1"/>
  <c r="B88" i="18" l="1"/>
  <c r="D88" i="18" s="1"/>
  <c r="E88" i="18" s="1"/>
  <c r="C88" i="18"/>
  <c r="C89" i="18" l="1"/>
  <c r="B89" i="18"/>
  <c r="D89" i="18" s="1"/>
  <c r="E89" i="18" s="1"/>
  <c r="B90" i="18" l="1"/>
  <c r="D90" i="18" s="1"/>
  <c r="E90" i="18" s="1"/>
  <c r="C90" i="18"/>
  <c r="C91" i="18" l="1"/>
  <c r="B91" i="18"/>
  <c r="D91" i="18" s="1"/>
  <c r="E91" i="18" s="1"/>
  <c r="C92" i="18" l="1"/>
  <c r="B92" i="18"/>
  <c r="D92" i="18" s="1"/>
  <c r="E92" i="18" s="1"/>
  <c r="B93" i="18" l="1"/>
  <c r="D93" i="18" s="1"/>
  <c r="E93" i="18" s="1"/>
  <c r="C93" i="18"/>
  <c r="C94" i="18" l="1"/>
  <c r="B94" i="18"/>
  <c r="D94" i="18" s="1"/>
  <c r="E94" i="18" s="1"/>
  <c r="C95" i="18" l="1"/>
  <c r="B95" i="18"/>
  <c r="D95" i="18" s="1"/>
  <c r="E95" i="18" s="1"/>
  <c r="B96" i="18" l="1"/>
  <c r="D96" i="18" s="1"/>
  <c r="E96" i="18" s="1"/>
  <c r="C96" i="18"/>
  <c r="C97" i="18" l="1"/>
  <c r="B97" i="18"/>
  <c r="D97" i="18" s="1"/>
  <c r="E97" i="18" s="1"/>
  <c r="B98" i="18" l="1"/>
  <c r="D98" i="18" s="1"/>
  <c r="E98" i="18" s="1"/>
  <c r="C98" i="18"/>
  <c r="C99" i="18" l="1"/>
  <c r="B99" i="18"/>
  <c r="D99" i="18" s="1"/>
  <c r="E99" i="18" s="1"/>
  <c r="B100" i="18" l="1"/>
  <c r="D100" i="18" s="1"/>
  <c r="E100" i="18" s="1"/>
  <c r="C100" i="18"/>
  <c r="C101" i="18" l="1"/>
  <c r="B101" i="18"/>
  <c r="D101" i="18" s="1"/>
  <c r="E101" i="18" s="1"/>
  <c r="B102" i="18" l="1"/>
  <c r="D102" i="18" s="1"/>
  <c r="E102" i="18" s="1"/>
  <c r="C102" i="18"/>
  <c r="C103" i="18" l="1"/>
  <c r="B103" i="18"/>
  <c r="D103" i="18" s="1"/>
  <c r="E103" i="18" s="1"/>
  <c r="B104" i="18" l="1"/>
  <c r="D104" i="18" s="1"/>
  <c r="E104" i="18" s="1"/>
  <c r="C104" i="18"/>
  <c r="B105" i="18" l="1"/>
  <c r="D105" i="18" s="1"/>
  <c r="E105" i="18" s="1"/>
  <c r="C105" i="18"/>
  <c r="B106" i="18" l="1"/>
  <c r="D106" i="18" s="1"/>
  <c r="E106" i="18" s="1"/>
  <c r="C106" i="18"/>
  <c r="C107" i="18" l="1"/>
  <c r="B107" i="18"/>
  <c r="D107" i="18" s="1"/>
  <c r="E107" i="18" s="1"/>
  <c r="B108" i="18" l="1"/>
  <c r="D108" i="18" s="1"/>
  <c r="E108" i="18" s="1"/>
  <c r="C108" i="18"/>
  <c r="C109" i="18" l="1"/>
  <c r="B109" i="18"/>
  <c r="D109" i="18" s="1"/>
  <c r="E109" i="18" s="1"/>
  <c r="B110" i="18" l="1"/>
  <c r="D110" i="18" s="1"/>
  <c r="E110" i="18" s="1"/>
  <c r="C110" i="18"/>
  <c r="C111" i="18" l="1"/>
  <c r="B111" i="18"/>
  <c r="D111" i="18" s="1"/>
  <c r="E111" i="18" s="1"/>
  <c r="B112" i="18" l="1"/>
  <c r="D112" i="18" s="1"/>
  <c r="E112" i="18" s="1"/>
  <c r="C112" i="18"/>
  <c r="C113" i="18" l="1"/>
  <c r="B113" i="18"/>
  <c r="D113" i="18" s="1"/>
  <c r="E113" i="18" s="1"/>
  <c r="B114" i="18" l="1"/>
  <c r="D114" i="18" s="1"/>
  <c r="E114" i="18" s="1"/>
  <c r="C114" i="18"/>
  <c r="C115" i="18" l="1"/>
  <c r="B115" i="18"/>
  <c r="D115" i="18" s="1"/>
  <c r="E115" i="18" s="1"/>
  <c r="B116" i="18" l="1"/>
  <c r="D116" i="18" s="1"/>
  <c r="E116" i="18" s="1"/>
  <c r="C116" i="18"/>
  <c r="C117" i="18" l="1"/>
  <c r="B117" i="18"/>
  <c r="D117" i="18" s="1"/>
  <c r="E117" i="18" s="1"/>
  <c r="B118" i="18" l="1"/>
  <c r="D118" i="18" s="1"/>
  <c r="E118" i="18" s="1"/>
  <c r="C118" i="18"/>
  <c r="B119" i="18" l="1"/>
  <c r="D119" i="18" s="1"/>
  <c r="E119" i="18" s="1"/>
  <c r="C119" i="18"/>
  <c r="C120" i="18" l="1"/>
  <c r="B120" i="18"/>
  <c r="D120" i="18" s="1"/>
  <c r="E120" i="18" s="1"/>
  <c r="B121" i="18" l="1"/>
  <c r="D121" i="18" s="1"/>
  <c r="E121" i="18" s="1"/>
  <c r="C121" i="18"/>
  <c r="C122" i="18" l="1"/>
  <c r="B122" i="18"/>
  <c r="D122" i="18" s="1"/>
  <c r="E122" i="18" s="1"/>
  <c r="C123" i="18" l="1"/>
  <c r="B123" i="18"/>
  <c r="D123" i="18" s="1"/>
  <c r="E123" i="18" s="1"/>
  <c r="B124" i="18" l="1"/>
  <c r="D124" i="18" s="1"/>
  <c r="E124" i="18" s="1"/>
  <c r="C124" i="18"/>
  <c r="C125" i="18" l="1"/>
  <c r="B125" i="18"/>
  <c r="D125" i="18" s="1"/>
  <c r="E125" i="18" s="1"/>
  <c r="C126" i="18" l="1"/>
  <c r="B126" i="18"/>
  <c r="D126" i="18" s="1"/>
  <c r="E126" i="18" s="1"/>
  <c r="B127" i="18" l="1"/>
  <c r="D127" i="18" s="1"/>
  <c r="E127" i="18" s="1"/>
  <c r="C127" i="18"/>
  <c r="B128" i="18" l="1"/>
  <c r="D128" i="18" s="1"/>
  <c r="E128" i="18" s="1"/>
  <c r="C128" i="18"/>
  <c r="C129" i="18" l="1"/>
  <c r="B129" i="18"/>
  <c r="D129" i="18" s="1"/>
  <c r="E129" i="18" s="1"/>
  <c r="C130" i="18" l="1"/>
  <c r="B130" i="18"/>
  <c r="D130" i="18" s="1"/>
  <c r="E130" i="18" s="1"/>
  <c r="B131" i="18" l="1"/>
  <c r="D131" i="18" s="1"/>
  <c r="E131" i="18" s="1"/>
  <c r="C131" i="18"/>
  <c r="B132" i="18" l="1"/>
  <c r="D132" i="18" s="1"/>
  <c r="E132" i="18" s="1"/>
  <c r="C132" i="18"/>
  <c r="C133" i="18" l="1"/>
  <c r="B133" i="18"/>
  <c r="D133" i="18" s="1"/>
  <c r="E133" i="18" s="1"/>
  <c r="C134" i="18" l="1"/>
  <c r="B134" i="18"/>
  <c r="D134" i="18" s="1"/>
  <c r="E134" i="18" s="1"/>
  <c r="C135" i="18" l="1"/>
  <c r="B135" i="18"/>
  <c r="D135" i="18" s="1"/>
  <c r="E135" i="18" s="1"/>
  <c r="C136" i="18" l="1"/>
  <c r="B136" i="18"/>
  <c r="D136" i="18" s="1"/>
  <c r="E136" i="18" s="1"/>
  <c r="C137" i="18" l="1"/>
  <c r="B137" i="18"/>
  <c r="D137" i="18" s="1"/>
  <c r="E137" i="18" s="1"/>
  <c r="B138" i="18" l="1"/>
  <c r="D138" i="18" s="1"/>
  <c r="E138" i="18" s="1"/>
  <c r="C138" i="18"/>
  <c r="B139" i="18" l="1"/>
  <c r="D139" i="18" s="1"/>
  <c r="E139" i="18" s="1"/>
  <c r="C139" i="18"/>
  <c r="B140" i="18" l="1"/>
  <c r="D140" i="18" s="1"/>
  <c r="E140" i="18" s="1"/>
  <c r="C140" i="18"/>
  <c r="B141" i="18" l="1"/>
  <c r="D141" i="18" s="1"/>
  <c r="E141" i="18" s="1"/>
  <c r="C141" i="18"/>
  <c r="B142" i="18" l="1"/>
  <c r="D142" i="18" s="1"/>
  <c r="E142" i="18" s="1"/>
  <c r="C142" i="18"/>
  <c r="B143" i="18" l="1"/>
  <c r="D143" i="18" s="1"/>
  <c r="E143" i="18" s="1"/>
  <c r="C143" i="18"/>
  <c r="B144" i="18" l="1"/>
  <c r="D144" i="18" s="1"/>
  <c r="E144" i="18" s="1"/>
  <c r="C144" i="18"/>
  <c r="C145" i="18" l="1"/>
  <c r="B145" i="18"/>
  <c r="D145" i="18" s="1"/>
  <c r="E145" i="18" s="1"/>
  <c r="C146" i="18" l="1"/>
  <c r="B146" i="18"/>
  <c r="D146" i="18" s="1"/>
  <c r="E146" i="18" s="1"/>
  <c r="B147" i="18" l="1"/>
  <c r="D147" i="18" s="1"/>
  <c r="E147" i="18" s="1"/>
  <c r="C147" i="18"/>
  <c r="B148" i="18" l="1"/>
  <c r="D148" i="18" s="1"/>
  <c r="E148" i="18" s="1"/>
  <c r="C148" i="18"/>
  <c r="C149" i="18" l="1"/>
  <c r="B149" i="18"/>
  <c r="D149" i="18" s="1"/>
  <c r="E149" i="18" s="1"/>
  <c r="C150" i="18" l="1"/>
  <c r="B150" i="18"/>
  <c r="D150" i="18" s="1"/>
  <c r="E150" i="18" s="1"/>
  <c r="B151" i="18" l="1"/>
  <c r="D151" i="18" s="1"/>
  <c r="E151" i="18" s="1"/>
  <c r="C151" i="18"/>
  <c r="B152" i="18" l="1"/>
  <c r="D152" i="18" s="1"/>
  <c r="E152" i="18" s="1"/>
  <c r="C152" i="18"/>
  <c r="B153" i="18" l="1"/>
  <c r="D153" i="18" s="1"/>
  <c r="E153" i="18" s="1"/>
  <c r="C153" i="18"/>
  <c r="B154" i="18" l="1"/>
  <c r="D154" i="18" s="1"/>
  <c r="E154" i="18" s="1"/>
  <c r="C154" i="18"/>
  <c r="B155" i="18" l="1"/>
  <c r="D155" i="18" s="1"/>
  <c r="E155" i="18" s="1"/>
  <c r="C155" i="18"/>
  <c r="B156" i="18" l="1"/>
  <c r="D156" i="18" s="1"/>
  <c r="E156" i="18" s="1"/>
  <c r="C156" i="18"/>
  <c r="B157" i="18" l="1"/>
  <c r="D157" i="18" s="1"/>
  <c r="E157" i="18" s="1"/>
  <c r="C157" i="18"/>
  <c r="B158" i="18" l="1"/>
  <c r="D158" i="18" s="1"/>
  <c r="E158" i="18" s="1"/>
  <c r="C158" i="18"/>
  <c r="B159" i="18" l="1"/>
  <c r="D159" i="18" s="1"/>
  <c r="E159" i="18" s="1"/>
  <c r="C159" i="18"/>
  <c r="B160" i="18" l="1"/>
  <c r="D160" i="18" s="1"/>
  <c r="E160" i="18" s="1"/>
  <c r="C160" i="18"/>
  <c r="B161" i="18" l="1"/>
  <c r="C161" i="18"/>
  <c r="D161" i="18" l="1"/>
  <c r="E161" i="18" s="1"/>
  <c r="B162" i="18" l="1"/>
  <c r="D162" i="18" s="1"/>
  <c r="E162" i="18" s="1"/>
  <c r="C162" i="18"/>
  <c r="C163" i="18" l="1"/>
  <c r="B163" i="18"/>
  <c r="D163" i="18" s="1"/>
  <c r="E163" i="18" s="1"/>
  <c r="C164" i="18" l="1"/>
  <c r="B164" i="18"/>
  <c r="D164" i="18" s="1"/>
  <c r="E164" i="18" s="1"/>
  <c r="C165" i="18" l="1"/>
  <c r="B165" i="18"/>
  <c r="D165" i="18" s="1"/>
  <c r="E165" i="18" s="1"/>
  <c r="C166" i="18" l="1"/>
  <c r="B166" i="18"/>
  <c r="D166" i="18" s="1"/>
  <c r="E166" i="18" s="1"/>
  <c r="C167" i="18" l="1"/>
  <c r="B167" i="18"/>
  <c r="D167" i="18" s="1"/>
  <c r="E167" i="18" s="1"/>
  <c r="C168" i="18" l="1"/>
  <c r="B168" i="18"/>
  <c r="D168" i="18" s="1"/>
  <c r="E168" i="18" s="1"/>
  <c r="C169" i="18" l="1"/>
  <c r="B169" i="18"/>
  <c r="D169" i="18" s="1"/>
  <c r="E169" i="18" s="1"/>
  <c r="B170" i="18" l="1"/>
  <c r="D170" i="18" s="1"/>
  <c r="E170" i="18" s="1"/>
  <c r="C170" i="18"/>
  <c r="B171" i="18" l="1"/>
  <c r="D171" i="18" s="1"/>
  <c r="E171" i="18" s="1"/>
  <c r="C171" i="18"/>
  <c r="C172" i="18" l="1"/>
  <c r="B172" i="18"/>
  <c r="D172" i="18" s="1"/>
  <c r="E172" i="18" s="1"/>
  <c r="C173" i="18" l="1"/>
  <c r="B173" i="18"/>
  <c r="D173" i="18" s="1"/>
  <c r="E173" i="18" s="1"/>
  <c r="B174" i="18" l="1"/>
  <c r="D174" i="18" s="1"/>
  <c r="E174" i="18" s="1"/>
  <c r="C174" i="18"/>
  <c r="B175" i="18" l="1"/>
  <c r="D175" i="18" s="1"/>
  <c r="E175" i="18" s="1"/>
  <c r="C175" i="18"/>
  <c r="C176" i="18" l="1"/>
  <c r="B176" i="18"/>
  <c r="D176" i="18" s="1"/>
  <c r="E176" i="18" s="1"/>
  <c r="C177" i="18" l="1"/>
  <c r="B177" i="18"/>
  <c r="D177" i="18" s="1"/>
  <c r="E177" i="18" s="1"/>
  <c r="B178" i="18" l="1"/>
  <c r="D178" i="18" s="1"/>
  <c r="E178" i="18" s="1"/>
  <c r="C178" i="18"/>
  <c r="C179" i="18" l="1"/>
  <c r="B179" i="18"/>
  <c r="D179" i="18" s="1"/>
  <c r="E179" i="18" s="1"/>
  <c r="C180" i="18" l="1"/>
  <c r="B180" i="18"/>
  <c r="D180" i="18" s="1"/>
  <c r="E180" i="18" s="1"/>
  <c r="B181" i="18" l="1"/>
  <c r="D181" i="18" s="1"/>
  <c r="E181" i="18" s="1"/>
  <c r="C181" i="18"/>
  <c r="C182" i="18" l="1"/>
  <c r="B182" i="18"/>
  <c r="D182" i="18" s="1"/>
  <c r="E182" i="18" s="1"/>
  <c r="B183" i="18" l="1"/>
  <c r="D183" i="18" s="1"/>
  <c r="E183" i="18" s="1"/>
  <c r="C183" i="18"/>
  <c r="C184" i="18" l="1"/>
  <c r="B184" i="18"/>
  <c r="D184" i="18" s="1"/>
  <c r="E184" i="18" s="1"/>
  <c r="B185" i="18" l="1"/>
  <c r="D185" i="18" s="1"/>
  <c r="E185" i="18" s="1"/>
  <c r="C185" i="18"/>
  <c r="C186" i="18" l="1"/>
  <c r="B186" i="18"/>
  <c r="D186" i="18" s="1"/>
  <c r="E186" i="18" s="1"/>
  <c r="B187" i="18" l="1"/>
  <c r="D187" i="18" s="1"/>
  <c r="E187" i="18" s="1"/>
  <c r="C187" i="18"/>
  <c r="C188" i="18" l="1"/>
  <c r="B188" i="18"/>
  <c r="D188" i="18" s="1"/>
  <c r="E188" i="18" s="1"/>
  <c r="B189" i="18" l="1"/>
  <c r="D189" i="18" s="1"/>
  <c r="E189" i="18" s="1"/>
  <c r="C189" i="18"/>
  <c r="C190" i="18" l="1"/>
  <c r="B190" i="18"/>
  <c r="D190" i="18" s="1"/>
  <c r="E190" i="18" s="1"/>
  <c r="B191" i="18" l="1"/>
  <c r="D191" i="18" s="1"/>
  <c r="E191" i="18" s="1"/>
  <c r="C191" i="18"/>
  <c r="C192" i="18" l="1"/>
  <c r="B192" i="18"/>
  <c r="D192" i="18" s="1"/>
  <c r="E192" i="18" s="1"/>
  <c r="B193" i="18" l="1"/>
  <c r="D193" i="18" s="1"/>
  <c r="E193" i="18" s="1"/>
  <c r="C193" i="18"/>
  <c r="C194" i="18" l="1"/>
  <c r="B194" i="18"/>
  <c r="D194" i="18" s="1"/>
  <c r="E194" i="18" s="1"/>
  <c r="B195" i="18" l="1"/>
  <c r="D195" i="18" s="1"/>
  <c r="E195" i="18" s="1"/>
  <c r="C195" i="18"/>
  <c r="C196" i="18" l="1"/>
  <c r="B196" i="18"/>
  <c r="D196" i="18" s="1"/>
  <c r="E196" i="18" s="1"/>
  <c r="B197" i="18" l="1"/>
  <c r="D197" i="18" s="1"/>
  <c r="E197" i="18" s="1"/>
  <c r="C197" i="18"/>
  <c r="C198" i="18" l="1"/>
  <c r="B198" i="18"/>
  <c r="D198" i="18" s="1"/>
  <c r="E198" i="18" s="1"/>
  <c r="B199" i="18" l="1"/>
  <c r="D199" i="18" s="1"/>
  <c r="E199" i="18" s="1"/>
  <c r="C199" i="18"/>
  <c r="C200" i="18" l="1"/>
  <c r="B200" i="18"/>
  <c r="D200" i="18" s="1"/>
  <c r="E200" i="18" s="1"/>
  <c r="B201" i="18" l="1"/>
  <c r="D201" i="18" s="1"/>
  <c r="E201" i="18" s="1"/>
  <c r="C201" i="18"/>
  <c r="C202" i="18" l="1"/>
  <c r="B202" i="18"/>
  <c r="D202" i="18" s="1"/>
  <c r="E202" i="18" s="1"/>
  <c r="B203" i="18" l="1"/>
  <c r="D203" i="18" s="1"/>
  <c r="E203" i="18" s="1"/>
  <c r="C203" i="18"/>
  <c r="C204" i="18" l="1"/>
  <c r="B204" i="18"/>
  <c r="D204" i="18" s="1"/>
  <c r="E204" i="18" s="1"/>
  <c r="B205" i="18" l="1"/>
  <c r="D205" i="18" s="1"/>
  <c r="E205" i="18" s="1"/>
  <c r="C205" i="18"/>
  <c r="C206" i="18" l="1"/>
  <c r="B206" i="18"/>
  <c r="D206" i="18" s="1"/>
  <c r="E206" i="18" s="1"/>
  <c r="B207" i="18" l="1"/>
  <c r="D207" i="18" s="1"/>
  <c r="E207" i="18" s="1"/>
  <c r="C207" i="18"/>
  <c r="C208" i="18" l="1"/>
  <c r="B208" i="18"/>
  <c r="D208" i="18" s="1"/>
  <c r="E208" i="18" s="1"/>
  <c r="C209" i="18" l="1"/>
  <c r="B209" i="18"/>
  <c r="D209" i="18" s="1"/>
  <c r="E209" i="18" s="1"/>
  <c r="C210" i="18" l="1"/>
  <c r="B210" i="18"/>
  <c r="D210" i="18" s="1"/>
  <c r="E210" i="18" s="1"/>
  <c r="C211" i="18" l="1"/>
  <c r="B211" i="18"/>
  <c r="D211" i="18" s="1"/>
  <c r="E211" i="18" s="1"/>
  <c r="C212" i="18" l="1"/>
  <c r="B212" i="18"/>
  <c r="D212" i="18" s="1"/>
  <c r="E212" i="18" s="1"/>
  <c r="B213" i="18" l="1"/>
  <c r="D213" i="18" s="1"/>
  <c r="E213" i="18" s="1"/>
  <c r="C213" i="18"/>
  <c r="B214" i="18" l="1"/>
  <c r="D214" i="18" s="1"/>
  <c r="E214" i="18" s="1"/>
  <c r="C214" i="18"/>
  <c r="B215" i="18" l="1"/>
  <c r="D215" i="18" s="1"/>
  <c r="E215" i="18" s="1"/>
  <c r="C215" i="18"/>
  <c r="C216" i="18" l="1"/>
  <c r="B216" i="18"/>
  <c r="D216" i="18" s="1"/>
  <c r="E216" i="18" s="1"/>
  <c r="C217" i="18" l="1"/>
  <c r="B217" i="18"/>
  <c r="D217" i="18" s="1"/>
  <c r="E217" i="18" s="1"/>
  <c r="C218" i="18" l="1"/>
  <c r="B218" i="18"/>
  <c r="D218" i="18" s="1"/>
  <c r="E218" i="18" s="1"/>
  <c r="B219" i="18" l="1"/>
  <c r="D219" i="18" s="1"/>
  <c r="E219" i="18" s="1"/>
  <c r="C219" i="18"/>
  <c r="B220" i="18" l="1"/>
  <c r="D220" i="18" s="1"/>
  <c r="E220" i="18" s="1"/>
  <c r="C220" i="18"/>
  <c r="B221" i="18" l="1"/>
  <c r="D221" i="18" s="1"/>
  <c r="E221" i="18" s="1"/>
  <c r="C221" i="18"/>
  <c r="C222" i="18" l="1"/>
  <c r="B222" i="18"/>
  <c r="D222" i="18" s="1"/>
  <c r="E222" i="18" s="1"/>
  <c r="B223" i="18" l="1"/>
  <c r="D223" i="18" s="1"/>
  <c r="E223" i="18" s="1"/>
  <c r="C223" i="18"/>
  <c r="C224" i="18" l="1"/>
  <c r="B224" i="18"/>
  <c r="D224" i="18" s="1"/>
  <c r="E224" i="18" s="1"/>
  <c r="C225" i="18" l="1"/>
  <c r="B225" i="18"/>
  <c r="D225" i="18" s="1"/>
  <c r="E225" i="18" s="1"/>
  <c r="C226" i="18" l="1"/>
  <c r="B226" i="18"/>
  <c r="D226" i="18" s="1"/>
  <c r="E226" i="18" s="1"/>
  <c r="C227" i="18" l="1"/>
  <c r="B227" i="18"/>
  <c r="D227" i="18" s="1"/>
  <c r="E227" i="18" s="1"/>
  <c r="C228" i="18" l="1"/>
  <c r="B228" i="18"/>
  <c r="D228" i="18" s="1"/>
  <c r="E228" i="18" s="1"/>
  <c r="B229" i="18" l="1"/>
  <c r="D229" i="18" s="1"/>
  <c r="E229" i="18" s="1"/>
  <c r="C229" i="18"/>
  <c r="C230" i="18" l="1"/>
  <c r="B230" i="18"/>
  <c r="D230" i="18" s="1"/>
  <c r="E230" i="18" s="1"/>
  <c r="B231" i="18" l="1"/>
  <c r="D231" i="18" s="1"/>
  <c r="E231" i="18" s="1"/>
  <c r="C231" i="18"/>
  <c r="C232" i="18" l="1"/>
  <c r="B232" i="18"/>
  <c r="D232" i="18" s="1"/>
  <c r="E232" i="18" s="1"/>
  <c r="B233" i="18" l="1"/>
  <c r="D233" i="18" s="1"/>
  <c r="E233" i="18" s="1"/>
  <c r="C233" i="18"/>
  <c r="C234" i="18" l="1"/>
  <c r="B234" i="18"/>
  <c r="D234" i="18" s="1"/>
  <c r="E234" i="18" s="1"/>
  <c r="B235" i="18" l="1"/>
  <c r="D235" i="18" s="1"/>
  <c r="E235" i="18" s="1"/>
  <c r="C235" i="18"/>
  <c r="C236" i="18" l="1"/>
  <c r="B236" i="18"/>
  <c r="D236" i="18" s="1"/>
  <c r="E236" i="18" s="1"/>
  <c r="C237" i="18" l="1"/>
  <c r="B237" i="18"/>
  <c r="D237" i="18" s="1"/>
  <c r="E237" i="18" s="1"/>
  <c r="C238" i="18" l="1"/>
  <c r="B238" i="18"/>
  <c r="D238" i="18" s="1"/>
  <c r="E238" i="18" s="1"/>
  <c r="B239" i="18" l="1"/>
  <c r="D239" i="18" s="1"/>
  <c r="E239" i="18" s="1"/>
  <c r="C239" i="18"/>
  <c r="C240" i="18" l="1"/>
  <c r="B240" i="18"/>
  <c r="D240" i="18" s="1"/>
  <c r="E240" i="18" s="1"/>
  <c r="B241" i="18" l="1"/>
  <c r="D241" i="18" s="1"/>
  <c r="E241" i="18" s="1"/>
  <c r="C241" i="18"/>
  <c r="C242" i="18" l="1"/>
  <c r="B242" i="18"/>
  <c r="D242" i="18" s="1"/>
  <c r="E242" i="18" s="1"/>
  <c r="B243" i="18" l="1"/>
  <c r="D243" i="18" s="1"/>
  <c r="E243" i="18" s="1"/>
  <c r="C243" i="18"/>
  <c r="C244" i="18" l="1"/>
  <c r="B244" i="18"/>
  <c r="D244" i="18" s="1"/>
  <c r="E244" i="18" s="1"/>
  <c r="B245" i="18" l="1"/>
  <c r="D245" i="18" s="1"/>
  <c r="E245" i="18" s="1"/>
  <c r="C245" i="18"/>
  <c r="C246" i="18" l="1"/>
  <c r="B246" i="18"/>
  <c r="D246" i="18" s="1"/>
  <c r="E246" i="18" s="1"/>
  <c r="B247" i="18" l="1"/>
  <c r="D247" i="18" s="1"/>
  <c r="E247" i="18" s="1"/>
  <c r="C247" i="18"/>
  <c r="C248" i="18" l="1"/>
  <c r="B248" i="18"/>
  <c r="D248" i="18" s="1"/>
  <c r="E248" i="18" s="1"/>
  <c r="B249" i="18" l="1"/>
  <c r="D249" i="18" s="1"/>
  <c r="E249" i="18" s="1"/>
  <c r="C249" i="18"/>
  <c r="C250" i="18" l="1"/>
  <c r="B250" i="18"/>
  <c r="D250" i="18" s="1"/>
  <c r="E250" i="18" s="1"/>
  <c r="B251" i="18" l="1"/>
  <c r="D251" i="18" s="1"/>
  <c r="E251" i="18" s="1"/>
  <c r="C251" i="18"/>
  <c r="B252" i="18" l="1"/>
  <c r="D252" i="18" s="1"/>
  <c r="E252" i="18" s="1"/>
  <c r="C252" i="18"/>
  <c r="B253" i="18" l="1"/>
  <c r="C253" i="18"/>
  <c r="D253" i="18" l="1"/>
  <c r="E253" i="18" s="1"/>
  <c r="C254" i="18" l="1"/>
  <c r="B254" i="18"/>
  <c r="D254" i="18" s="1"/>
  <c r="E254" i="18" s="1"/>
  <c r="C255" i="18" l="1"/>
  <c r="B255" i="18"/>
  <c r="D255" i="18" s="1"/>
  <c r="E255" i="18" s="1"/>
  <c r="C256" i="18" l="1"/>
  <c r="B256" i="18"/>
  <c r="D256" i="18" s="1"/>
  <c r="E256" i="18" s="1"/>
  <c r="B257" i="18" l="1"/>
  <c r="D257" i="18" s="1"/>
  <c r="E257" i="18" s="1"/>
  <c r="C257" i="18"/>
  <c r="C258" i="18" l="1"/>
  <c r="B258" i="18"/>
  <c r="D258" i="18" s="1"/>
  <c r="E258" i="18" s="1"/>
  <c r="B259" i="18" l="1"/>
  <c r="D259" i="18" s="1"/>
  <c r="E259" i="18" s="1"/>
  <c r="C259" i="18"/>
  <c r="C260" i="18" l="1"/>
  <c r="B260" i="18"/>
  <c r="D260" i="18" s="1"/>
  <c r="E260" i="18" s="1"/>
  <c r="B261" i="18" l="1"/>
  <c r="D261" i="18" s="1"/>
  <c r="E261" i="18" s="1"/>
  <c r="C261" i="18"/>
  <c r="C262" i="18" l="1"/>
  <c r="B262" i="18"/>
  <c r="D262" i="18" s="1"/>
  <c r="E262" i="18" s="1"/>
  <c r="C263" i="18" l="1"/>
  <c r="B263" i="18"/>
  <c r="D263" i="18" s="1"/>
  <c r="E263" i="18" s="1"/>
  <c r="C264" i="18" l="1"/>
  <c r="B264" i="18"/>
  <c r="D264" i="18" s="1"/>
  <c r="E264" i="18" s="1"/>
  <c r="B265" i="18" l="1"/>
  <c r="D265" i="18" s="1"/>
  <c r="E265" i="18" s="1"/>
  <c r="C265" i="18"/>
  <c r="C266" i="18" l="1"/>
  <c r="B266" i="18"/>
  <c r="D266" i="18" s="1"/>
  <c r="E266" i="18" s="1"/>
  <c r="B267" i="18" l="1"/>
  <c r="D267" i="18" s="1"/>
  <c r="E267" i="18" s="1"/>
  <c r="C267" i="18"/>
  <c r="C268" i="18" l="1"/>
  <c r="B268" i="18"/>
  <c r="D268" i="18" s="1"/>
  <c r="E268" i="18" s="1"/>
  <c r="B269" i="18" l="1"/>
  <c r="D269" i="18" s="1"/>
  <c r="E269" i="18" s="1"/>
  <c r="C269" i="18"/>
  <c r="C270" i="18" l="1"/>
  <c r="B270" i="18"/>
  <c r="D270" i="18" s="1"/>
  <c r="E270" i="18" s="1"/>
  <c r="C271" i="18" l="1"/>
  <c r="B271" i="18"/>
  <c r="D271" i="18" s="1"/>
  <c r="E271" i="18" s="1"/>
  <c r="C272" i="18" l="1"/>
  <c r="B272" i="18"/>
  <c r="D272" i="18" s="1"/>
  <c r="E272" i="18" s="1"/>
  <c r="C273" i="18" l="1"/>
  <c r="B273" i="18"/>
  <c r="D273" i="18" s="1"/>
  <c r="E273" i="18" s="1"/>
  <c r="B274" i="18" l="1"/>
  <c r="D274" i="18" s="1"/>
  <c r="E274" i="18" s="1"/>
  <c r="C274" i="18"/>
  <c r="B275" i="18" l="1"/>
  <c r="D275" i="18" s="1"/>
  <c r="E275" i="18" s="1"/>
  <c r="C275" i="18"/>
  <c r="C276" i="18" l="1"/>
  <c r="B276" i="18"/>
  <c r="D276" i="18" s="1"/>
  <c r="E276" i="18" s="1"/>
  <c r="B277" i="18" l="1"/>
  <c r="D277" i="18" s="1"/>
  <c r="E277" i="18" s="1"/>
  <c r="C277" i="18"/>
  <c r="C278" i="18" l="1"/>
  <c r="B278" i="18"/>
  <c r="D278" i="18" s="1"/>
  <c r="E278" i="18" s="1"/>
  <c r="B279" i="18" l="1"/>
  <c r="D279" i="18" s="1"/>
  <c r="E279" i="18" s="1"/>
  <c r="C279" i="18"/>
  <c r="C280" i="18" l="1"/>
  <c r="B280" i="18"/>
  <c r="D280" i="18" s="1"/>
  <c r="E280" i="18" s="1"/>
  <c r="B281" i="18" l="1"/>
  <c r="C281" i="18"/>
  <c r="D281" i="18" l="1"/>
  <c r="E281" i="18" s="1"/>
  <c r="C282" i="18" l="1"/>
  <c r="B282" i="18"/>
  <c r="D282" i="18" s="1"/>
  <c r="E282" i="18" s="1"/>
  <c r="B283" i="18" l="1"/>
  <c r="D283" i="18" s="1"/>
  <c r="E283" i="18" s="1"/>
  <c r="C283" i="18"/>
  <c r="C284" i="18" l="1"/>
  <c r="B284" i="18"/>
  <c r="D284" i="18" s="1"/>
  <c r="E284" i="18" s="1"/>
  <c r="B285" i="18" l="1"/>
  <c r="D285" i="18" s="1"/>
  <c r="E285" i="18" s="1"/>
  <c r="C285" i="18"/>
  <c r="C286" i="18" l="1"/>
  <c r="B286" i="18"/>
  <c r="D286" i="18" s="1"/>
  <c r="E286" i="18" s="1"/>
  <c r="B287" i="18" l="1"/>
  <c r="D287" i="18" s="1"/>
  <c r="E287" i="18" s="1"/>
  <c r="C287" i="18"/>
  <c r="C288" i="18" l="1"/>
  <c r="B288" i="18"/>
  <c r="D288" i="18" s="1"/>
  <c r="E288" i="18" s="1"/>
  <c r="B289" i="18" l="1"/>
  <c r="C289" i="18"/>
  <c r="D289" i="18" l="1"/>
  <c r="E289" i="18" s="1"/>
  <c r="C290" i="18" l="1"/>
  <c r="B290" i="18"/>
  <c r="D290" i="18" s="1"/>
  <c r="E290" i="18" s="1"/>
  <c r="B291" i="18" l="1"/>
  <c r="D291" i="18" s="1"/>
  <c r="E291" i="18" s="1"/>
  <c r="C291" i="18"/>
  <c r="C292" i="18" l="1"/>
  <c r="B292" i="18"/>
  <c r="D292" i="18" s="1"/>
  <c r="E292" i="18" s="1"/>
  <c r="B293" i="18" l="1"/>
  <c r="C293" i="18"/>
  <c r="D293" i="18" l="1"/>
  <c r="E293" i="18" s="1"/>
  <c r="C294" i="18" l="1"/>
  <c r="B294" i="18"/>
  <c r="D294" i="18" s="1"/>
  <c r="E294" i="18" s="1"/>
  <c r="B295" i="18" l="1"/>
  <c r="D295" i="18" s="1"/>
  <c r="E295" i="18" s="1"/>
  <c r="C295" i="18"/>
  <c r="C296" i="18" l="1"/>
  <c r="B296" i="18"/>
  <c r="D296" i="18" s="1"/>
  <c r="E296" i="18" s="1"/>
  <c r="B297" i="18" l="1"/>
  <c r="D297" i="18" s="1"/>
  <c r="E297" i="18" s="1"/>
  <c r="C297" i="18"/>
  <c r="C298" i="18" l="1"/>
  <c r="B298" i="18"/>
  <c r="D298" i="18" s="1"/>
  <c r="E298" i="18" s="1"/>
  <c r="B299" i="18" l="1"/>
  <c r="D299" i="18" s="1"/>
  <c r="E299" i="18" s="1"/>
  <c r="C299" i="18"/>
  <c r="C300" i="18" l="1"/>
  <c r="B300" i="18"/>
  <c r="D300" i="18" s="1"/>
  <c r="E300" i="18" s="1"/>
  <c r="B301" i="18" l="1"/>
  <c r="D301" i="18" s="1"/>
  <c r="E301" i="18" s="1"/>
  <c r="C301" i="18"/>
  <c r="C302" i="18" l="1"/>
  <c r="B302" i="18"/>
  <c r="D302" i="18" s="1"/>
  <c r="E302" i="18" s="1"/>
  <c r="B303" i="18" l="1"/>
  <c r="D303" i="18" s="1"/>
  <c r="E303" i="18" s="1"/>
  <c r="C303" i="18"/>
  <c r="C304" i="18" l="1"/>
  <c r="B304" i="18"/>
  <c r="D304" i="18" s="1"/>
  <c r="E304" i="18" s="1"/>
  <c r="B305" i="18" l="1"/>
  <c r="C305" i="18"/>
  <c r="D305" i="18" l="1"/>
  <c r="E305" i="18" s="1"/>
  <c r="C306" i="18" l="1"/>
  <c r="B306" i="18"/>
  <c r="D306" i="18" s="1"/>
  <c r="E306" i="18" s="1"/>
  <c r="B307" i="18" l="1"/>
  <c r="D307" i="18" s="1"/>
  <c r="E307" i="18" s="1"/>
  <c r="C307" i="18"/>
  <c r="C308" i="18" l="1"/>
  <c r="B308" i="18"/>
  <c r="D308" i="18" s="1"/>
  <c r="E308" i="18" s="1"/>
  <c r="B309" i="18" l="1"/>
  <c r="D309" i="18" s="1"/>
  <c r="E309" i="18" s="1"/>
  <c r="C309" i="18"/>
  <c r="C310" i="18" l="1"/>
  <c r="B310" i="18"/>
  <c r="D310" i="18" s="1"/>
  <c r="E310" i="18" s="1"/>
  <c r="B311" i="18" l="1"/>
  <c r="D311" i="18" s="1"/>
  <c r="E311" i="18" s="1"/>
  <c r="C311" i="18"/>
  <c r="C312" i="18" l="1"/>
  <c r="B312" i="18"/>
  <c r="D312" i="18" s="1"/>
  <c r="E312" i="18" s="1"/>
  <c r="C313" i="18" l="1"/>
  <c r="B313" i="18"/>
  <c r="D313" i="18" s="1"/>
  <c r="E313" i="18" s="1"/>
  <c r="C314" i="18" l="1"/>
  <c r="B314" i="18"/>
  <c r="D314" i="18" s="1"/>
  <c r="E314" i="18" s="1"/>
  <c r="B315" i="18" l="1"/>
  <c r="D315" i="18" s="1"/>
  <c r="E315" i="18" s="1"/>
  <c r="C315" i="18"/>
  <c r="C316" i="18" l="1"/>
  <c r="B316" i="18"/>
  <c r="D316" i="18" s="1"/>
  <c r="E316" i="18" s="1"/>
  <c r="B317" i="18" l="1"/>
  <c r="D317" i="18" s="1"/>
  <c r="E317" i="18" s="1"/>
  <c r="C317" i="18"/>
  <c r="C318" i="18" l="1"/>
  <c r="B318" i="18"/>
  <c r="D318" i="18" s="1"/>
  <c r="E318" i="18" s="1"/>
  <c r="B319" i="18" l="1"/>
  <c r="D319" i="18" s="1"/>
  <c r="E319" i="18" s="1"/>
  <c r="C319" i="18"/>
  <c r="C320" i="18" l="1"/>
  <c r="B320" i="18"/>
  <c r="D320" i="18" s="1"/>
  <c r="E320" i="18" s="1"/>
  <c r="B321" i="18" l="1"/>
  <c r="D321" i="18" s="1"/>
  <c r="E321" i="18" s="1"/>
  <c r="C321" i="18"/>
  <c r="C322" i="18" l="1"/>
  <c r="B322" i="18"/>
  <c r="D322" i="18" s="1"/>
  <c r="E322" i="18" s="1"/>
  <c r="B323" i="18" l="1"/>
  <c r="D323" i="18" s="1"/>
  <c r="E323" i="18" s="1"/>
  <c r="C323" i="18"/>
  <c r="C324" i="18" l="1"/>
  <c r="B324" i="18"/>
  <c r="D324" i="18" s="1"/>
  <c r="E324" i="18" s="1"/>
  <c r="B325" i="18" l="1"/>
  <c r="D325" i="18" s="1"/>
  <c r="E325" i="18" s="1"/>
  <c r="C325" i="18"/>
  <c r="C326" i="18" l="1"/>
  <c r="B326" i="18"/>
  <c r="D326" i="18" s="1"/>
  <c r="E326" i="18" s="1"/>
  <c r="B327" i="18" l="1"/>
  <c r="D327" i="18" s="1"/>
  <c r="E327" i="18" s="1"/>
  <c r="C327" i="18"/>
  <c r="C328" i="18" l="1"/>
  <c r="B328" i="18"/>
  <c r="D328" i="18" s="1"/>
  <c r="E328" i="18" s="1"/>
  <c r="B329" i="18" l="1"/>
  <c r="D329" i="18" s="1"/>
  <c r="E329" i="18" s="1"/>
  <c r="C329" i="18"/>
  <c r="C330" i="18" l="1"/>
  <c r="B330" i="18"/>
  <c r="D330" i="18" s="1"/>
  <c r="E330" i="18" s="1"/>
  <c r="B331" i="18" l="1"/>
  <c r="D331" i="18" s="1"/>
  <c r="E331" i="18" s="1"/>
  <c r="C331" i="18"/>
  <c r="B332" i="18" l="1"/>
  <c r="D332" i="18" s="1"/>
  <c r="E332" i="18" s="1"/>
  <c r="C332" i="18"/>
  <c r="B333" i="18" l="1"/>
  <c r="D333" i="18" s="1"/>
  <c r="E333" i="18" s="1"/>
  <c r="C333" i="18"/>
  <c r="C334" i="18" l="1"/>
  <c r="B334" i="18"/>
  <c r="D334" i="18" s="1"/>
  <c r="E334" i="18" s="1"/>
  <c r="B335" i="18" l="1"/>
  <c r="D335" i="18" s="1"/>
  <c r="E335" i="18" s="1"/>
  <c r="C335" i="18"/>
  <c r="C336" i="18" l="1"/>
  <c r="B336" i="18"/>
  <c r="D336" i="18" s="1"/>
  <c r="E336" i="18" s="1"/>
  <c r="B337" i="18" l="1"/>
  <c r="D337" i="18" s="1"/>
  <c r="E337" i="18" s="1"/>
  <c r="C337" i="18"/>
  <c r="C338" i="18" l="1"/>
  <c r="B338" i="18"/>
  <c r="D338" i="18" s="1"/>
  <c r="E338" i="18" s="1"/>
  <c r="B339" i="18" l="1"/>
  <c r="D339" i="18" s="1"/>
  <c r="E339" i="18" s="1"/>
  <c r="C339" i="18"/>
  <c r="C340" i="18" l="1"/>
  <c r="B340" i="18"/>
  <c r="D340" i="18" s="1"/>
  <c r="E340" i="18" s="1"/>
  <c r="B341" i="18" l="1"/>
  <c r="D341" i="18" s="1"/>
  <c r="E341" i="18" s="1"/>
  <c r="C341" i="18"/>
  <c r="B342" i="18" l="1"/>
  <c r="D342" i="18" s="1"/>
  <c r="E342" i="18" s="1"/>
  <c r="C342" i="18"/>
  <c r="C343" i="18" l="1"/>
  <c r="B343" i="18"/>
  <c r="D343" i="18" s="1"/>
  <c r="E343" i="18" s="1"/>
  <c r="B344" i="18" l="1"/>
  <c r="D344" i="18" s="1"/>
  <c r="E344" i="18" s="1"/>
  <c r="C344" i="18"/>
  <c r="C345" i="18" l="1"/>
  <c r="B345" i="18"/>
  <c r="D345" i="18" s="1"/>
  <c r="E345" i="18" s="1"/>
  <c r="B346" i="18" l="1"/>
  <c r="D346" i="18" s="1"/>
  <c r="E346" i="18" s="1"/>
  <c r="C346" i="18"/>
  <c r="C347" i="18" l="1"/>
  <c r="B347" i="18"/>
  <c r="D347" i="18" s="1"/>
  <c r="E347" i="18" s="1"/>
  <c r="B348" i="18" l="1"/>
  <c r="D348" i="18" s="1"/>
  <c r="E348" i="18" s="1"/>
  <c r="C348" i="18"/>
  <c r="C349" i="18" l="1"/>
  <c r="B349" i="18"/>
  <c r="D349" i="18" s="1"/>
  <c r="E349" i="18" s="1"/>
  <c r="B350" i="18" l="1"/>
  <c r="D350" i="18" s="1"/>
  <c r="E350" i="18" s="1"/>
  <c r="C350" i="18"/>
  <c r="C351" i="18" l="1"/>
  <c r="B351" i="18"/>
  <c r="D351" i="18" s="1"/>
  <c r="E351" i="18" s="1"/>
  <c r="B352" i="18" l="1"/>
  <c r="D352" i="18" s="1"/>
  <c r="E352" i="18" s="1"/>
  <c r="C352" i="18"/>
  <c r="C353" i="18" l="1"/>
  <c r="B353" i="18"/>
  <c r="D353" i="18" s="1"/>
  <c r="E353" i="18" s="1"/>
  <c r="B354" i="18" l="1"/>
  <c r="D354" i="18" s="1"/>
  <c r="E354" i="18" s="1"/>
  <c r="C354" i="18"/>
  <c r="C355" i="18" l="1"/>
  <c r="B355" i="18"/>
  <c r="D355" i="18" s="1"/>
  <c r="E355" i="18" s="1"/>
  <c r="B356" i="18" l="1"/>
  <c r="D356" i="18" s="1"/>
  <c r="E356" i="18" s="1"/>
  <c r="C356" i="18"/>
  <c r="C357" i="18" l="1"/>
  <c r="B357" i="18"/>
  <c r="D357" i="18" s="1"/>
  <c r="E357" i="18" s="1"/>
  <c r="B358" i="18" l="1"/>
  <c r="D358" i="18" s="1"/>
  <c r="E358" i="18" s="1"/>
  <c r="C358" i="18"/>
  <c r="C359" i="18" l="1"/>
  <c r="B359" i="18"/>
  <c r="D359" i="18" s="1"/>
  <c r="E359" i="18" s="1"/>
  <c r="B360" i="18" l="1"/>
  <c r="D360" i="18" s="1"/>
  <c r="E360" i="18" s="1"/>
  <c r="C360" i="18"/>
  <c r="C361" i="18" l="1"/>
  <c r="B361" i="18"/>
  <c r="D361" i="18" s="1"/>
  <c r="E361" i="18" s="1"/>
  <c r="B362" i="18" l="1"/>
  <c r="D362" i="18" s="1"/>
  <c r="E362" i="18" s="1"/>
  <c r="C362" i="18"/>
  <c r="C363" i="18" l="1"/>
  <c r="B363" i="18"/>
  <c r="D363" i="18" s="1"/>
  <c r="E363" i="18" s="1"/>
  <c r="B364" i="18" l="1"/>
  <c r="C364" i="18"/>
  <c r="D364" i="18" l="1"/>
  <c r="E364" i="18" s="1"/>
  <c r="C365" i="18" l="1"/>
  <c r="B365" i="18"/>
  <c r="D365" i="18" s="1"/>
  <c r="E365" i="18" s="1"/>
</calcChain>
</file>

<file path=xl/sharedStrings.xml><?xml version="1.0" encoding="utf-8"?>
<sst xmlns="http://schemas.openxmlformats.org/spreadsheetml/2006/main" count="16714" uniqueCount="1797">
  <si>
    <t>Date</t>
  </si>
  <si>
    <t>SalesRep</t>
  </si>
  <si>
    <t>UnitsSold</t>
  </si>
  <si>
    <t>Sioux</t>
  </si>
  <si>
    <t>Tina</t>
  </si>
  <si>
    <t>Sales Period</t>
  </si>
  <si>
    <t>Week</t>
  </si>
  <si>
    <t>Chin</t>
  </si>
  <si>
    <t>ProductSold</t>
  </si>
  <si>
    <t>Total Sales</t>
  </si>
  <si>
    <t>Bob</t>
  </si>
  <si>
    <t>Boom 11</t>
  </si>
  <si>
    <t>Boom 5</t>
  </si>
  <si>
    <t>Shelia</t>
  </si>
  <si>
    <t>Boom 15</t>
  </si>
  <si>
    <t>Boom 8</t>
  </si>
  <si>
    <t>Donita</t>
  </si>
  <si>
    <t>Boom 6</t>
  </si>
  <si>
    <t>Boom 14</t>
  </si>
  <si>
    <t>Boom 2</t>
  </si>
  <si>
    <t>Boom 10</t>
  </si>
  <si>
    <t>Boom 13</t>
  </si>
  <si>
    <t>Boom 1</t>
  </si>
  <si>
    <t>Don</t>
  </si>
  <si>
    <t>Tax Collected</t>
  </si>
  <si>
    <t>Numbers you see</t>
  </si>
  <si>
    <t>Loan Issue Date</t>
  </si>
  <si>
    <t>Term</t>
  </si>
  <si>
    <t>days</t>
  </si>
  <si>
    <t>Maturity Date</t>
  </si>
  <si>
    <t>Time In</t>
  </si>
  <si>
    <t>Number</t>
  </si>
  <si>
    <t>Time</t>
  </si>
  <si>
    <t>Time Out</t>
  </si>
  <si>
    <t>Proportion of day worked</t>
  </si>
  <si>
    <t>Hours worked</t>
  </si>
  <si>
    <t>Tax Percentage</t>
  </si>
  <si>
    <t>Sales</t>
  </si>
  <si>
    <t>Tax</t>
  </si>
  <si>
    <t>Situation 1:</t>
  </si>
  <si>
    <t>Type .03 in cell, then add % format</t>
  </si>
  <si>
    <t>Situation 2:</t>
  </si>
  <si>
    <t>Type 3 in cell, then add % format</t>
  </si>
  <si>
    <t>Situation 3:</t>
  </si>
  <si>
    <t>Add % format, then type 3, Enter</t>
  </si>
  <si>
    <t>Situation 4:</t>
  </si>
  <si>
    <t>Add % format, then type .03, Enter</t>
  </si>
  <si>
    <t>Situation 5:</t>
  </si>
  <si>
    <t>Add % format as you type</t>
  </si>
  <si>
    <t>Situation 6:</t>
  </si>
  <si>
    <t>Type .025, then add % from ribbon</t>
  </si>
  <si>
    <t>By default, words are aligned left</t>
  </si>
  <si>
    <t>By default, numbers are aligned right</t>
  </si>
  <si>
    <t>By default, TRUE/FALSEs are aligned center</t>
  </si>
  <si>
    <t>Sales Data Imported as Text</t>
  </si>
  <si>
    <t>Dates</t>
  </si>
  <si>
    <t>$15.00</t>
  </si>
  <si>
    <t>$25.00</t>
  </si>
  <si>
    <t>9/25/2009</t>
  </si>
  <si>
    <t>$62.00</t>
  </si>
  <si>
    <t>9/24/2009</t>
  </si>
  <si>
    <t>$52.00</t>
  </si>
  <si>
    <t xml:space="preserve"> 9/30/2009</t>
  </si>
  <si>
    <t>$32.00</t>
  </si>
  <si>
    <t>Sales Data Formatted as Text</t>
  </si>
  <si>
    <t>2011 Units Sold - Wind Sport Inc.</t>
  </si>
  <si>
    <t>Jan</t>
  </si>
  <si>
    <t>Feb</t>
  </si>
  <si>
    <t>Mar</t>
  </si>
  <si>
    <t>Apr</t>
  </si>
  <si>
    <t>May</t>
  </si>
  <si>
    <t>Jun</t>
  </si>
  <si>
    <t>Boomerangs</t>
  </si>
  <si>
    <t>Kites</t>
  </si>
  <si>
    <t>Toys</t>
  </si>
  <si>
    <t>Accessories</t>
  </si>
  <si>
    <t>Total</t>
  </si>
  <si>
    <t>Wind Sport Inc.</t>
  </si>
  <si>
    <t>Jul</t>
  </si>
  <si>
    <t>Aug</t>
  </si>
  <si>
    <t>Sep</t>
  </si>
  <si>
    <t>Oct</t>
  </si>
  <si>
    <t>Nov</t>
  </si>
  <si>
    <t>Dec</t>
  </si>
  <si>
    <t>Years</t>
  </si>
  <si>
    <t>Periods per year</t>
  </si>
  <si>
    <t>Period</t>
  </si>
  <si>
    <t>PMT</t>
  </si>
  <si>
    <t>Interest</t>
  </si>
  <si>
    <t>Principal Paid</t>
  </si>
  <si>
    <t>Balance</t>
  </si>
  <si>
    <t>Annual Rate</t>
  </si>
  <si>
    <t>Lump Sum (Reduces PMT)</t>
  </si>
  <si>
    <t>Invoice #</t>
  </si>
  <si>
    <t>Product sold</t>
  </si>
  <si>
    <t>Bill</t>
  </si>
  <si>
    <t>Boom 9</t>
  </si>
  <si>
    <t>Boom 4</t>
  </si>
  <si>
    <t>Boom 7</t>
  </si>
  <si>
    <t>Cash Account</t>
  </si>
  <si>
    <t>DR</t>
  </si>
  <si>
    <t>CR</t>
  </si>
  <si>
    <t>carry forward</t>
  </si>
  <si>
    <t>Expenses</t>
  </si>
  <si>
    <t>Net Income</t>
  </si>
  <si>
    <t>LEN function tells how many characters are in the cell</t>
  </si>
  <si>
    <t xml:space="preserve"> =B7-B8</t>
  </si>
  <si>
    <t>=B12-B13</t>
  </si>
  <si>
    <t>Equal Sign, Cell References And Math Operator (Multiply *)</t>
  </si>
  <si>
    <t>Item</t>
  </si>
  <si>
    <t>2 x 4 pine lumber</t>
  </si>
  <si>
    <t>Subtotal</t>
  </si>
  <si>
    <t>Equal Sign, Cell Reference, Math Operator, Number</t>
  </si>
  <si>
    <t>Annual Insurance</t>
  </si>
  <si>
    <t>Monthly Allocation</t>
  </si>
  <si>
    <t>Equal Sign, Built-in Function, Range of Cells</t>
  </si>
  <si>
    <t>Student 1</t>
  </si>
  <si>
    <t>Student 2</t>
  </si>
  <si>
    <t>Student 3</t>
  </si>
  <si>
    <t>Student 4</t>
  </si>
  <si>
    <t>Average</t>
  </si>
  <si>
    <t>Equal Sign, Cell Reference, Math Operator, Built-in Function</t>
  </si>
  <si>
    <t>Revenue</t>
  </si>
  <si>
    <t>Administrative Expense</t>
  </si>
  <si>
    <t>Operational Expenses</t>
  </si>
  <si>
    <t>Other Expenses</t>
  </si>
  <si>
    <t>Equal Sign, Cell Reference, Comparative Operators</t>
  </si>
  <si>
    <t>In Balance?</t>
  </si>
  <si>
    <t>Equal Sign, Cell Reference,
Join Symbol (Ampersand = Shift + 7 = &amp;),
Text in Quotes</t>
  </si>
  <si>
    <t>First</t>
  </si>
  <si>
    <t>Last</t>
  </si>
  <si>
    <t>First &amp; Last</t>
  </si>
  <si>
    <t>Smith</t>
  </si>
  <si>
    <t>Lim</t>
  </si>
  <si>
    <t>Sue</t>
  </si>
  <si>
    <t>Luong</t>
  </si>
  <si>
    <t>Pham</t>
  </si>
  <si>
    <t>Hurdle</t>
  </si>
  <si>
    <t>Number of Sales Greater Than $500.00</t>
  </si>
  <si>
    <t xml:space="preserve"> &lt;== Equal Sign, Text in Quotes, Join Symbol, Cell References, DOLLAR function</t>
  </si>
  <si>
    <t xml:space="preserve"> &lt;== Equal Sign, COUNTIF Function, Cell Range, Text in Quotes, Join Symbol, Cell Reference</t>
  </si>
  <si>
    <t>MAXIMUM Time Aloft Score Sheet</t>
  </si>
  <si>
    <t>Thrower</t>
  </si>
  <si>
    <t>Throw 1</t>
  </si>
  <si>
    <t>Throw 2</t>
  </si>
  <si>
    <t>Throw 3</t>
  </si>
  <si>
    <t>SUM of Best Two</t>
  </si>
  <si>
    <t>Daniel</t>
  </si>
  <si>
    <t>Richard</t>
  </si>
  <si>
    <t>Matt</t>
  </si>
  <si>
    <t>Stevie</t>
  </si>
  <si>
    <t>Math Operators</t>
  </si>
  <si>
    <t xml:space="preserve"> ( ) represents Parentheses</t>
  </si>
  <si>
    <t xml:space="preserve"> Shift + 9 and Shift + 0</t>
  </si>
  <si>
    <t xml:space="preserve"> ^ represents Exponents (powers and roots)</t>
  </si>
  <si>
    <t xml:space="preserve"> Shift + 6</t>
  </si>
  <si>
    <t xml:space="preserve"> * represents Multiplication</t>
  </si>
  <si>
    <t xml:space="preserve"> * on Number pad</t>
  </si>
  <si>
    <t xml:space="preserve"> /  represents Division</t>
  </si>
  <si>
    <t xml:space="preserve"> / on Number pad</t>
  </si>
  <si>
    <t xml:space="preserve"> + represents Addition</t>
  </si>
  <si>
    <t xml:space="preserve"> + on Number pad</t>
  </si>
  <si>
    <t xml:space="preserve"> – represents Subtraction</t>
  </si>
  <si>
    <t xml:space="preserve"> - on Number pad</t>
  </si>
  <si>
    <t>Comparative Operators</t>
  </si>
  <si>
    <t xml:space="preserve"> &gt; Greater Than</t>
  </si>
  <si>
    <t xml:space="preserve"> &gt;= Greater Than Or Equal To</t>
  </si>
  <si>
    <t xml:space="preserve"> &lt; Less Than</t>
  </si>
  <si>
    <t xml:space="preserve"> &lt;= Less Than Or Equal To</t>
  </si>
  <si>
    <t xml:space="preserve"> = Equal To</t>
  </si>
  <si>
    <t xml:space="preserve"> &lt;&gt; Not Equal To</t>
  </si>
  <si>
    <t>Order of Operations</t>
  </si>
  <si>
    <t>Beg Qty</t>
  </si>
  <si>
    <t>End Qty</t>
  </si>
  <si>
    <t>Value Each</t>
  </si>
  <si>
    <t>COGS</t>
  </si>
  <si>
    <t>Please</t>
  </si>
  <si>
    <t>Parenthesis</t>
  </si>
  <si>
    <t>( )</t>
  </si>
  <si>
    <t>Excuse</t>
  </si>
  <si>
    <t>Exponents</t>
  </si>
  <si>
    <t xml:space="preserve"> ^</t>
  </si>
  <si>
    <t>COGS calculation</t>
  </si>
  <si>
    <t>My Dear</t>
  </si>
  <si>
    <t>Multiply &amp; Divide (Left to Right)</t>
  </si>
  <si>
    <t xml:space="preserve"> * , /</t>
  </si>
  <si>
    <t>Aunt Sally</t>
  </si>
  <si>
    <t xml:space="preserve"> + , -</t>
  </si>
  <si>
    <t>Excel's Order of Operations:</t>
  </si>
  <si>
    <t>Parenthesis ( )</t>
  </si>
  <si>
    <t>Ranges use of colon symbol ":"</t>
  </si>
  <si>
    <t>Example: =SUM(A1:A4)</t>
  </si>
  <si>
    <t>Evaluate intersections with spaces</t>
  </si>
  <si>
    <t>Example: =E12:G12 F10:F15 (retrieve what is in F12)</t>
  </si>
  <si>
    <t>Evaluate unions (,)</t>
  </si>
  <si>
    <t>Example: =SUM(E10:G10,E14:G14)</t>
  </si>
  <si>
    <t>Negation (-)</t>
  </si>
  <si>
    <r>
      <t xml:space="preserve">Example: =-2^4 </t>
    </r>
    <r>
      <rPr>
        <sz val="12"/>
        <rFont val="Wingdings"/>
        <charset val="2"/>
      </rPr>
      <t>è</t>
    </r>
    <r>
      <rPr>
        <sz val="12"/>
        <rFont val="Times New Roman"/>
        <family val="1"/>
      </rPr>
      <t xml:space="preserve"> 16</t>
    </r>
  </si>
  <si>
    <r>
      <t xml:space="preserve">Example: =-(2^4) </t>
    </r>
    <r>
      <rPr>
        <sz val="12"/>
        <rFont val="Wingdings"/>
        <charset val="2"/>
      </rPr>
      <t>è</t>
    </r>
    <r>
      <rPr>
        <sz val="12"/>
        <rFont val="Times New Roman"/>
        <family val="1"/>
      </rPr>
      <t xml:space="preserve"> -16</t>
    </r>
  </si>
  <si>
    <t>Space</t>
  </si>
  <si>
    <r>
      <t xml:space="preserve">Converts % (1% </t>
    </r>
    <r>
      <rPr>
        <sz val="12"/>
        <rFont val="Wingdings"/>
        <charset val="2"/>
      </rPr>
      <t>è</t>
    </r>
    <r>
      <rPr>
        <sz val="12"/>
        <rFont val="Times New Roman"/>
        <family val="1"/>
      </rPr>
      <t xml:space="preserve"> .01)</t>
    </r>
  </si>
  <si>
    <t>Union</t>
  </si>
  <si>
    <t>Exponents (^)</t>
  </si>
  <si>
    <t>Example: 4^(1/2) = 2</t>
  </si>
  <si>
    <t>Example: 3^2 = 9</t>
  </si>
  <si>
    <t>Multiplication (*) and division (/), left to right</t>
  </si>
  <si>
    <t>Adding (+) and subtracting (-), left to right</t>
  </si>
  <si>
    <t>Ampersand (&amp;)</t>
  </si>
  <si>
    <t>Comparative symbols: =, &lt;&gt;, &gt;=, &lt;=, &lt;, &gt;</t>
  </si>
  <si>
    <t>If anything is still left, then left to right</t>
  </si>
  <si>
    <t>Profit Hurdle</t>
  </si>
  <si>
    <t>Question</t>
  </si>
  <si>
    <t>Pass Hurdle = Bonus</t>
  </si>
  <si>
    <t>value_if_true</t>
  </si>
  <si>
    <t>value_if_false</t>
  </si>
  <si>
    <t>Yes</t>
  </si>
  <si>
    <t>No</t>
  </si>
  <si>
    <t>Gross Profit</t>
  </si>
  <si>
    <t>Earned</t>
  </si>
  <si>
    <t>Bonus</t>
  </si>
  <si>
    <t>COGS %</t>
  </si>
  <si>
    <t>Month</t>
  </si>
  <si>
    <t>Total Revenue</t>
  </si>
  <si>
    <t>Total Expenses</t>
  </si>
  <si>
    <t>Retail Selling Price by Margin</t>
  </si>
  <si>
    <t>Items</t>
  </si>
  <si>
    <t>New Price</t>
  </si>
  <si>
    <t>Assumption Table</t>
  </si>
  <si>
    <t>Increase in Price</t>
  </si>
  <si>
    <t>Sofa</t>
  </si>
  <si>
    <t>Head Lamp</t>
  </si>
  <si>
    <t>Table</t>
  </si>
  <si>
    <t>Chair</t>
  </si>
  <si>
    <t>Dining Set</t>
  </si>
  <si>
    <t>Picture</t>
  </si>
  <si>
    <t>Increment</t>
  </si>
  <si>
    <t>Assumption Table
contains
Formula Inputs</t>
  </si>
  <si>
    <t>Commission Rate</t>
  </si>
  <si>
    <t>Earned Commision</t>
  </si>
  <si>
    <t>Abraham</t>
  </si>
  <si>
    <t>Hironobu</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</si>
  <si>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</si>
  <si>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</si>
  <si>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</si>
  <si>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</si>
  <si>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</si>
  <si>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</si>
  <si>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</si>
  <si>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</si>
  <si>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</si>
  <si>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</si>
  <si>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</si>
  <si>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</si>
  <si>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</si>
  <si>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</si>
  <si>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</si>
  <si>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</si>
  <si>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</si>
  <si>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</si>
  <si>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</si>
  <si>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</si>
  <si>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</si>
  <si>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</si>
  <si>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</si>
  <si>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</si>
  <si>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</si>
  <si>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</si>
  <si>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</si>
  <si>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</si>
  <si>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</si>
  <si>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</si>
  <si>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</si>
  <si>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</si>
  <si>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</si>
  <si>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</si>
  <si>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</si>
  <si>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</si>
  <si>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</si>
  <si>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</si>
  <si>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</si>
  <si>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</si>
  <si>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</si>
  <si>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</si>
  <si>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</si>
  <si>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</si>
  <si>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</si>
  <si>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January</t>
  </si>
  <si>
    <t>February</t>
  </si>
  <si>
    <t>March</t>
  </si>
  <si>
    <t>April</t>
  </si>
  <si>
    <t>June</t>
  </si>
  <si>
    <t>Increase each month</t>
  </si>
  <si>
    <t>Yearly PMT</t>
  </si>
  <si>
    <t>What will your Pension be worth when you retire?</t>
  </si>
  <si>
    <t>Years/Rate</t>
  </si>
  <si>
    <t>Start rate</t>
  </si>
  <si>
    <t>increment</t>
  </si>
  <si>
    <t>Start years</t>
  </si>
  <si>
    <t>Multiplication Table</t>
  </si>
  <si>
    <t>Column Headers</t>
  </si>
  <si>
    <t>Row Headers</t>
  </si>
  <si>
    <t>2003 and earlier formula</t>
  </si>
  <si>
    <t>Product</t>
  </si>
  <si>
    <t>Region</t>
  </si>
  <si>
    <t>Customer</t>
  </si>
  <si>
    <t>Units</t>
  </si>
  <si>
    <t>Product/Region</t>
  </si>
  <si>
    <t>East</t>
  </si>
  <si>
    <t>MidWest</t>
  </si>
  <si>
    <t>West</t>
  </si>
  <si>
    <t>South</t>
  </si>
  <si>
    <t>Sunshine</t>
  </si>
  <si>
    <t>Franks</t>
  </si>
  <si>
    <t>KBTB</t>
  </si>
  <si>
    <t>MNGD</t>
  </si>
  <si>
    <t>Carlota</t>
  </si>
  <si>
    <t>JAQ</t>
  </si>
  <si>
    <t>Sunset</t>
  </si>
  <si>
    <t>FRED</t>
  </si>
  <si>
    <t>Quad</t>
  </si>
  <si>
    <t>WFMI</t>
  </si>
  <si>
    <t>Bellen</t>
  </si>
  <si>
    <t>TTT</t>
  </si>
  <si>
    <t>ET</t>
  </si>
  <si>
    <t>FM</t>
  </si>
  <si>
    <t>EPP</t>
  </si>
  <si>
    <t>T</t>
  </si>
  <si>
    <t>LOP</t>
  </si>
  <si>
    <t>Gault</t>
  </si>
  <si>
    <t>PSA</t>
  </si>
  <si>
    <t>AST</t>
  </si>
  <si>
    <t>SFWK</t>
  </si>
  <si>
    <t>WSD</t>
  </si>
  <si>
    <t>QT</t>
  </si>
  <si>
    <t>DFR</t>
  </si>
  <si>
    <t>HII</t>
  </si>
  <si>
    <t>ITW</t>
  </si>
  <si>
    <t>AA</t>
  </si>
  <si>
    <t>WT</t>
  </si>
  <si>
    <t>PCC</t>
  </si>
  <si>
    <t>ZAT</t>
  </si>
  <si>
    <t>MBG</t>
  </si>
  <si>
    <t>TRU</t>
  </si>
  <si>
    <t>PLOT</t>
  </si>
  <si>
    <t>BBT</t>
  </si>
  <si>
    <t>DFGH</t>
  </si>
  <si>
    <t>GRR</t>
  </si>
  <si>
    <t>KPSA</t>
  </si>
  <si>
    <t>DDH</t>
  </si>
  <si>
    <t>Budget</t>
  </si>
  <si>
    <t>Assumptions - Formula Inputs</t>
  </si>
  <si>
    <t>Expense1</t>
  </si>
  <si>
    <t>Expense2</t>
  </si>
  <si>
    <t>Expense3</t>
  </si>
  <si>
    <t>Expense4</t>
  </si>
  <si>
    <t>Expense5</t>
  </si>
  <si>
    <t>Expense6</t>
  </si>
  <si>
    <t>Schedule Of Accounts Receivable</t>
  </si>
  <si>
    <t>Name</t>
  </si>
  <si>
    <t>Amount</t>
  </si>
  <si>
    <t>Name1</t>
  </si>
  <si>
    <t>Name2</t>
  </si>
  <si>
    <t>Name3</t>
  </si>
  <si>
    <t>Name4</t>
  </si>
  <si>
    <t>Name5</t>
  </si>
  <si>
    <t>Name6</t>
  </si>
  <si>
    <t>Name7</t>
  </si>
  <si>
    <t>Name8</t>
  </si>
  <si>
    <t>Total AR</t>
  </si>
  <si>
    <t>Check to See If In Balance</t>
  </si>
  <si>
    <t>Controling AR Account</t>
  </si>
  <si>
    <t>Rev</t>
  </si>
  <si>
    <t>E1</t>
  </si>
  <si>
    <t>E2</t>
  </si>
  <si>
    <t>E3</t>
  </si>
  <si>
    <t>E4</t>
  </si>
  <si>
    <t>E5</t>
  </si>
  <si>
    <t>E6</t>
  </si>
  <si>
    <t>Current Net Income</t>
  </si>
  <si>
    <t>May Net Income</t>
  </si>
  <si>
    <t>Change</t>
  </si>
  <si>
    <t>Pro1</t>
  </si>
  <si>
    <t>Pro2</t>
  </si>
  <si>
    <t>Pro3</t>
  </si>
  <si>
    <t>Pro4</t>
  </si>
  <si>
    <t>Pro5</t>
  </si>
  <si>
    <t>Pro6</t>
  </si>
  <si>
    <t>Inefficient formula because formula will not update when structural changes like inserting rows are made</t>
  </si>
  <si>
    <t>Efficient formula because formula will update when structural changes like inserting rows are made</t>
  </si>
  <si>
    <t>We got a lump sum of money ($14,000) that we don't need to use for five years. The CD contact says it will pay 5.5% annual interest compounded quarterly. Our goal is to find a built-in function that will calculate what this CD will be worth when we withdraw it.</t>
  </si>
  <si>
    <t>Yearly Contribution</t>
  </si>
  <si>
    <t>Assumed Annual Rate</t>
  </si>
  <si>
    <t>Years Invested</t>
  </si>
  <si>
    <t>Number of periods per year</t>
  </si>
  <si>
    <t>Period Rate</t>
  </si>
  <si>
    <t>Total Periods</t>
  </si>
  <si>
    <t>Investment Worth</t>
  </si>
  <si>
    <t>Names</t>
  </si>
  <si>
    <t>Scores</t>
  </si>
  <si>
    <t>Student 5</t>
  </si>
  <si>
    <t>Student 6</t>
  </si>
  <si>
    <t>Student 7</t>
  </si>
  <si>
    <t>Student 8</t>
  </si>
  <si>
    <t>Student 9</t>
  </si>
  <si>
    <t>Student 10</t>
  </si>
  <si>
    <t>Student 11</t>
  </si>
  <si>
    <t>Student 12</t>
  </si>
  <si>
    <t>Student 13</t>
  </si>
  <si>
    <t>Student 14</t>
  </si>
  <si>
    <t>Student 15</t>
  </si>
  <si>
    <t>Student 16</t>
  </si>
  <si>
    <t>Student 17</t>
  </si>
  <si>
    <t>Student 18</t>
  </si>
  <si>
    <t>Loan Amount</t>
  </si>
  <si>
    <t>Years To Pay Off Loan</t>
  </si>
  <si>
    <t>Monthly Paymnet</t>
  </si>
  <si>
    <t>MAX</t>
  </si>
  <si>
    <t>MAX for finding the largest value</t>
  </si>
  <si>
    <t>Formulas in this column are alternatives that will work in earlier versions of Excel.</t>
  </si>
  <si>
    <t>MIN</t>
  </si>
  <si>
    <t>MIN for finding the smallest value</t>
  </si>
  <si>
    <t>COUNTA</t>
  </si>
  <si>
    <t>SUMIFS</t>
  </si>
  <si>
    <t>SUMIFS for adding with two criteria</t>
  </si>
  <si>
    <t>Criteria 1</t>
  </si>
  <si>
    <t>Criteria 2</t>
  </si>
  <si>
    <t>COUNTIFS</t>
  </si>
  <si>
    <t>COUNTIFS for counting with two criteria</t>
  </si>
  <si>
    <t>HHH</t>
  </si>
  <si>
    <t>ITTW</t>
  </si>
  <si>
    <t>AVERAGEIFS</t>
  </si>
  <si>
    <t>AVERAGEIFS for averaging with two criteria</t>
  </si>
  <si>
    <t>YTR</t>
  </si>
  <si>
    <t>OR (One Or The Other) Criteria</t>
  </si>
  <si>
    <t>OR Criteria 1</t>
  </si>
  <si>
    <t>OR Criteria 2</t>
  </si>
  <si>
    <t>COUNTIF</t>
  </si>
  <si>
    <t>PriceOfProduct</t>
  </si>
  <si>
    <t>State of Economy</t>
  </si>
  <si>
    <t>Prob. Of State of Economy</t>
  </si>
  <si>
    <t>Stock A Return</t>
  </si>
  <si>
    <t>Boom</t>
  </si>
  <si>
    <t>Normal</t>
  </si>
  <si>
    <t>Reccession</t>
  </si>
  <si>
    <t>Depression</t>
  </si>
  <si>
    <r>
      <t>E(R</t>
    </r>
    <r>
      <rPr>
        <vertAlign val="subscript"/>
        <sz val="11"/>
        <color indexed="8"/>
        <rFont val="Calibri"/>
        <family val="2"/>
      </rPr>
      <t>i</t>
    </r>
    <r>
      <rPr>
        <sz val="11"/>
        <color theme="1"/>
        <rFont val="Calibri"/>
        <family val="2"/>
        <scheme val="minor"/>
      </rPr>
      <t>)</t>
    </r>
  </si>
  <si>
    <t>Stock A Return if State Occurs</t>
  </si>
  <si>
    <t>Stock B Return if State Occurs</t>
  </si>
  <si>
    <t>Stock C Return if State Occurs</t>
  </si>
  <si>
    <t>Weight</t>
  </si>
  <si>
    <t>Good</t>
  </si>
  <si>
    <t>Poor</t>
  </si>
  <si>
    <t>Bust</t>
  </si>
  <si>
    <t>Expected Return for Portfolio</t>
  </si>
  <si>
    <t>SUMPRODUCT function can only handle arrays that are the same size, so you must use * instead of commas,</t>
  </si>
  <si>
    <t>Count with COUNTIFS</t>
  </si>
  <si>
    <t>Count with SUMPRODUCT</t>
  </si>
  <si>
    <t>SalesRep Criteria 1</t>
  </si>
  <si>
    <t>Customer Criteria 2</t>
  </si>
  <si>
    <t>Sum with SUMIFS</t>
  </si>
  <si>
    <t>Sum with SUMPRODUCT</t>
  </si>
  <si>
    <t>Formula from E column</t>
  </si>
  <si>
    <t>Logical Formula or
logical_test</t>
  </si>
  <si>
    <t>IF used to put 1 of 2 words in cell</t>
  </si>
  <si>
    <t>IF used to put 1 of 2 numbers in cell</t>
  </si>
  <si>
    <t>Employee</t>
  </si>
  <si>
    <t>Bonus:
TRUE or FALSE</t>
  </si>
  <si>
    <t>Bonus:
"Yes" or "No"</t>
  </si>
  <si>
    <t>Bonus Amount</t>
  </si>
  <si>
    <t>Rod Barbaria</t>
  </si>
  <si>
    <t>Elinore Cromedy</t>
  </si>
  <si>
    <t>Twanda Spruce</t>
  </si>
  <si>
    <t>Darius Raffety</t>
  </si>
  <si>
    <t>Frida Vickerson</t>
  </si>
  <si>
    <t>Bonus Hurdle</t>
  </si>
  <si>
    <t>Bonus Amount If Hurdle Equaled or Passed</t>
  </si>
  <si>
    <t>IF function using = comparative operator and cell reference to put one of two "text strings" in a cell</t>
  </si>
  <si>
    <t>Sale</t>
  </si>
  <si>
    <t>IN/OUT House</t>
  </si>
  <si>
    <t>Out</t>
  </si>
  <si>
    <t>Customer Credit Analysis</t>
  </si>
  <si>
    <t>Net Worth</t>
  </si>
  <si>
    <t>Ave Yearly Sales</t>
  </si>
  <si>
    <t>Credit Score</t>
  </si>
  <si>
    <t>Pass Hurdles?</t>
  </si>
  <si>
    <t>Extend Credit?</t>
  </si>
  <si>
    <t>AMZ</t>
  </si>
  <si>
    <t>EIF</t>
  </si>
  <si>
    <t>ME</t>
  </si>
  <si>
    <t>Hurdles</t>
  </si>
  <si>
    <t>Comission</t>
  </si>
  <si>
    <t>Cleo Gajate</t>
  </si>
  <si>
    <t>Lane Haruta</t>
  </si>
  <si>
    <t>Com Rate</t>
  </si>
  <si>
    <t>Carlo Warrenfeltz</t>
  </si>
  <si>
    <t>Dick Thackaberry</t>
  </si>
  <si>
    <t>Lurlene Caira</t>
  </si>
  <si>
    <t>Cleotilde Metting</t>
  </si>
  <si>
    <t>Porsche Artola</t>
  </si>
  <si>
    <t>Aurelio Broody</t>
  </si>
  <si>
    <t>Win Aydt</t>
  </si>
  <si>
    <t>Collin Mesteth</t>
  </si>
  <si>
    <t>Rule For Commission</t>
  </si>
  <si>
    <t>Com. Rate</t>
  </si>
  <si>
    <t>Mike Tello</t>
  </si>
  <si>
    <r>
      <t xml:space="preserve"> _x001B_ We need 0.02 because $5,000 &lt;= </t>
    </r>
    <r>
      <rPr>
        <b/>
        <u/>
        <sz val="11"/>
        <color theme="1"/>
        <rFont val="Calibri"/>
        <family val="2"/>
        <scheme val="minor"/>
      </rPr>
      <t>$5,018</t>
    </r>
    <r>
      <rPr>
        <sz val="11"/>
        <color theme="1"/>
        <rFont val="Calibri"/>
        <family val="2"/>
        <scheme val="minor"/>
      </rPr>
      <t xml:space="preserve"> &lt; $7,000</t>
    </r>
  </si>
  <si>
    <t>One of two items in cell or formula: 1 IF function in formula</t>
  </si>
  <si>
    <t>Samuel George</t>
  </si>
  <si>
    <r>
      <t xml:space="preserve"> _x001B_ We need 0.00 because $0 &lt;= </t>
    </r>
    <r>
      <rPr>
        <b/>
        <u/>
        <sz val="11"/>
        <color theme="1"/>
        <rFont val="Calibri"/>
        <family val="2"/>
        <scheme val="minor"/>
      </rPr>
      <t>$4,125</t>
    </r>
    <r>
      <rPr>
        <sz val="11"/>
        <color theme="1"/>
        <rFont val="Calibri"/>
        <family val="2"/>
        <scheme val="minor"/>
      </rPr>
      <t xml:space="preserve"> &lt; $5,000</t>
    </r>
  </si>
  <si>
    <t>One of three items in cell or formula: 2 IF functions in formula</t>
  </si>
  <si>
    <t>Jeff Pannell</t>
  </si>
  <si>
    <r>
      <t xml:space="preserve"> _x001B_ We need 0.03 because </t>
    </r>
    <r>
      <rPr>
        <b/>
        <u/>
        <sz val="11"/>
        <color theme="1"/>
        <rFont val="Calibri"/>
        <family val="2"/>
        <scheme val="minor"/>
      </rPr>
      <t>$7,000</t>
    </r>
    <r>
      <rPr>
        <sz val="11"/>
        <color theme="1"/>
        <rFont val="Calibri"/>
        <family val="2"/>
        <scheme val="minor"/>
      </rPr>
      <t xml:space="preserve"> &gt;= $7,000</t>
    </r>
  </si>
  <si>
    <t>One of four items in cell or formula: 3 IF functions in formula</t>
  </si>
  <si>
    <t>Bruce Urrutia</t>
  </si>
  <si>
    <r>
      <t xml:space="preserve"> _x001B_ We need 0.00 because $0 &lt;= </t>
    </r>
    <r>
      <rPr>
        <b/>
        <u/>
        <sz val="11"/>
        <color theme="1"/>
        <rFont val="Calibri"/>
        <family val="2"/>
        <scheme val="minor"/>
      </rPr>
      <t>$3,012</t>
    </r>
    <r>
      <rPr>
        <sz val="11"/>
        <color theme="1"/>
        <rFont val="Calibri"/>
        <family val="2"/>
        <scheme val="minor"/>
      </rPr>
      <t xml:space="preserve"> &lt; $5,000</t>
    </r>
  </si>
  <si>
    <t>Etc…</t>
  </si>
  <si>
    <t>Keith Reno</t>
  </si>
  <si>
    <r>
      <t xml:space="preserve"> _x001B_ We need 0.03 because </t>
    </r>
    <r>
      <rPr>
        <b/>
        <u/>
        <sz val="11"/>
        <color theme="1"/>
        <rFont val="Calibri"/>
        <family val="2"/>
        <scheme val="minor"/>
      </rPr>
      <t>$9,558</t>
    </r>
    <r>
      <rPr>
        <sz val="11"/>
        <color theme="1"/>
        <rFont val="Calibri"/>
        <family val="2"/>
        <scheme val="minor"/>
      </rPr>
      <t xml:space="preserve"> &gt;= $7,000</t>
    </r>
  </si>
  <si>
    <t>Sales Category</t>
  </si>
  <si>
    <t>Math Categories to help understand VLOOKUP</t>
  </si>
  <si>
    <t>Category Lower Limit</t>
  </si>
  <si>
    <t>Subpar</t>
  </si>
  <si>
    <t>Lookup Table</t>
  </si>
  <si>
    <t>OK</t>
  </si>
  <si>
    <t>Great</t>
  </si>
  <si>
    <t>Exceptional</t>
  </si>
  <si>
    <t>VLOOKUP to calculate Commission Earned</t>
  </si>
  <si>
    <t>VLOOKUP to assign a grade</t>
  </si>
  <si>
    <t>Rule For Grade</t>
  </si>
  <si>
    <t>Score</t>
  </si>
  <si>
    <t>Grade</t>
  </si>
  <si>
    <t>Fail</t>
  </si>
  <si>
    <t>F</t>
  </si>
  <si>
    <t>Below Ave.</t>
  </si>
  <si>
    <t>D</t>
  </si>
  <si>
    <t>Ave.</t>
  </si>
  <si>
    <t>C</t>
  </si>
  <si>
    <t>Above Ave.</t>
  </si>
  <si>
    <t>B</t>
  </si>
  <si>
    <t>High Ach.</t>
  </si>
  <si>
    <t>A</t>
  </si>
  <si>
    <t>Top</t>
  </si>
  <si>
    <t>A+</t>
  </si>
  <si>
    <t>Leah Gamboa</t>
  </si>
  <si>
    <t>Patrick Dahlberg</t>
  </si>
  <si>
    <t>Kristen Sharpe</t>
  </si>
  <si>
    <t>Sean Mullens</t>
  </si>
  <si>
    <t>Gina Coronado</t>
  </si>
  <si>
    <t>Daisy Shepherd</t>
  </si>
  <si>
    <t>VLOOKUP to look up product information for invoice</t>
  </si>
  <si>
    <t>ProductID</t>
  </si>
  <si>
    <t>Description</t>
  </si>
  <si>
    <t>Price</t>
  </si>
  <si>
    <t>Cost</t>
  </si>
  <si>
    <t>Pro-650</t>
  </si>
  <si>
    <t>20 meters - 2</t>
  </si>
  <si>
    <t>Pro-643</t>
  </si>
  <si>
    <t>20 meters - 3</t>
  </si>
  <si>
    <t>Pro-187</t>
  </si>
  <si>
    <t>30 meters</t>
  </si>
  <si>
    <t>Pro-901</t>
  </si>
  <si>
    <t>Sunbell</t>
  </si>
  <si>
    <t>35 meters</t>
  </si>
  <si>
    <t>Pro-711</t>
  </si>
  <si>
    <t>45 meters</t>
  </si>
  <si>
    <t>VLOOKUP &amp; MATCH to look up product information for invoice</t>
  </si>
  <si>
    <t xml:space="preserve"> &lt;&lt;== Relative Position (or Ordinal Position) of Field Names</t>
  </si>
  <si>
    <t xml:space="preserve"> &lt;&lt;== Field Names</t>
  </si>
  <si>
    <t>Data Validation, VLOOKUP &amp; MATCH to lookup customer information when data is on different sheet.</t>
  </si>
  <si>
    <t>Account#</t>
  </si>
  <si>
    <t>Fname</t>
  </si>
  <si>
    <t>Lname</t>
  </si>
  <si>
    <t>E-mail</t>
  </si>
  <si>
    <t>1258-ViHo-1321</t>
  </si>
  <si>
    <t>Danielle</t>
  </si>
  <si>
    <t>Dowell</t>
  </si>
  <si>
    <t>1258-DaDo-7418</t>
  </si>
  <si>
    <t>DaDo@gmail.com</t>
  </si>
  <si>
    <t>Victor</t>
  </si>
  <si>
    <t>Horvath</t>
  </si>
  <si>
    <t>ViHo@gmail.com</t>
  </si>
  <si>
    <t>1258-HoSh-4750</t>
  </si>
  <si>
    <t>Howard</t>
  </si>
  <si>
    <t>Shah</t>
  </si>
  <si>
    <t>HoSh@gmail.com</t>
  </si>
  <si>
    <t>1258-MaKo-6449</t>
  </si>
  <si>
    <t>Mark</t>
  </si>
  <si>
    <t>Koehler</t>
  </si>
  <si>
    <t>MaKo@gmail.com</t>
  </si>
  <si>
    <t>1258-DeSt-7389</t>
  </si>
  <si>
    <t>Debbie</t>
  </si>
  <si>
    <t>Stephen</t>
  </si>
  <si>
    <t>DeSt@gmail.com</t>
  </si>
  <si>
    <t>1258-KuWe-1748</t>
  </si>
  <si>
    <t>Kurt</t>
  </si>
  <si>
    <t>Weckerly</t>
  </si>
  <si>
    <t>KuWe@gmail.com</t>
  </si>
  <si>
    <t>1258-GuSu-6102</t>
  </si>
  <si>
    <t>Guy</t>
  </si>
  <si>
    <t>Sur</t>
  </si>
  <si>
    <t>GuSu@gmail.com</t>
  </si>
  <si>
    <t>1258-OdLa-8740</t>
  </si>
  <si>
    <t>Odessa</t>
  </si>
  <si>
    <t>Lauria</t>
  </si>
  <si>
    <t>OdLa@gmail.com</t>
  </si>
  <si>
    <t>1258-ElRh-4436</t>
  </si>
  <si>
    <t>Elinor</t>
  </si>
  <si>
    <t>Rhames</t>
  </si>
  <si>
    <t>ElRh@gmail.com</t>
  </si>
  <si>
    <t>1258-NeSu-3274</t>
  </si>
  <si>
    <t>Neva</t>
  </si>
  <si>
    <t>Sumler</t>
  </si>
  <si>
    <t>NeSu@gmail.com</t>
  </si>
  <si>
    <t>1258-TyBr-8211</t>
  </si>
  <si>
    <t>Tyrone</t>
  </si>
  <si>
    <t>Brite</t>
  </si>
  <si>
    <t>TyBr@gmail.com</t>
  </si>
  <si>
    <t>1258-JaSe-8984</t>
  </si>
  <si>
    <t>Javier</t>
  </si>
  <si>
    <t>Segers</t>
  </si>
  <si>
    <t>JaSe@gmail.com</t>
  </si>
  <si>
    <t>1258-ClWi-5671</t>
  </si>
  <si>
    <t>Clare</t>
  </si>
  <si>
    <t>Wimbush</t>
  </si>
  <si>
    <t>ClWi@gmail.com</t>
  </si>
  <si>
    <t>1258-HiHi-3444</t>
  </si>
  <si>
    <t>Hillen</t>
  </si>
  <si>
    <t>HiHi@gmail.com</t>
  </si>
  <si>
    <t>1258-MaZo-8107</t>
  </si>
  <si>
    <t>Mathew</t>
  </si>
  <si>
    <t>Zobel</t>
  </si>
  <si>
    <t>MaZo@gmail.com</t>
  </si>
  <si>
    <t>1258-JeSo-6445</t>
  </si>
  <si>
    <t>Jeanie</t>
  </si>
  <si>
    <t>Solley</t>
  </si>
  <si>
    <t>JeSo@gmail.com</t>
  </si>
  <si>
    <t>1258-MaLe-7052</t>
  </si>
  <si>
    <t>Marcie</t>
  </si>
  <si>
    <t>Levis</t>
  </si>
  <si>
    <t>MaLe@gmail.com</t>
  </si>
  <si>
    <t>1258-ZeSe-6140</t>
  </si>
  <si>
    <t>Zelma</t>
  </si>
  <si>
    <t>Semones</t>
  </si>
  <si>
    <t>ZeSe@gmail.com</t>
  </si>
  <si>
    <t>1258-DaCa-8640</t>
  </si>
  <si>
    <t>Darryl</t>
  </si>
  <si>
    <t>Canela</t>
  </si>
  <si>
    <t>DaCa@gmail.com</t>
  </si>
  <si>
    <t>1258-JuGo-1604</t>
  </si>
  <si>
    <t>Julio</t>
  </si>
  <si>
    <t>Gondek</t>
  </si>
  <si>
    <t>JuGo@gmail.com</t>
  </si>
  <si>
    <t>1258-LoSt-8418</t>
  </si>
  <si>
    <t>Louisa</t>
  </si>
  <si>
    <t>Strecker</t>
  </si>
  <si>
    <t>LoSt@gmail.com</t>
  </si>
  <si>
    <t>1258-JaCl-8766</t>
  </si>
  <si>
    <t>Claflin</t>
  </si>
  <si>
    <t>JaCl@gmail.com</t>
  </si>
  <si>
    <t>1258-AnEv-6862</t>
  </si>
  <si>
    <t>Annabelle</t>
  </si>
  <si>
    <t>Everest</t>
  </si>
  <si>
    <t>AnEv@gmail.com</t>
  </si>
  <si>
    <t>1258-ElMe-1003</t>
  </si>
  <si>
    <t>Meinke</t>
  </si>
  <si>
    <t>ElMe@gmail.com</t>
  </si>
  <si>
    <t>1258-MaOp-8230</t>
  </si>
  <si>
    <t>Max</t>
  </si>
  <si>
    <t>Opp</t>
  </si>
  <si>
    <t>MaOp@gmail.com</t>
  </si>
  <si>
    <t>1258-TeOs-1454</t>
  </si>
  <si>
    <t>Ted</t>
  </si>
  <si>
    <t>Oscar</t>
  </si>
  <si>
    <t>TeOs@gmail.com</t>
  </si>
  <si>
    <t>1258-LoDe-6705</t>
  </si>
  <si>
    <t>Lonnie</t>
  </si>
  <si>
    <t>Debus</t>
  </si>
  <si>
    <t>LoDe@gmail.com</t>
  </si>
  <si>
    <t>1258-TaWa-4457</t>
  </si>
  <si>
    <t>Tania</t>
  </si>
  <si>
    <t>Warburton</t>
  </si>
  <si>
    <t>TaWa@gmail.com</t>
  </si>
  <si>
    <t>1258-HuPa-4126</t>
  </si>
  <si>
    <t>Hugh</t>
  </si>
  <si>
    <t>Patron</t>
  </si>
  <si>
    <t>HuPa@gmail.com</t>
  </si>
  <si>
    <t>1258-KeCa-5697</t>
  </si>
  <si>
    <t>Kelly</t>
  </si>
  <si>
    <t>Carn</t>
  </si>
  <si>
    <t>KeCa@gmail.com</t>
  </si>
  <si>
    <t>1258-JaEp-1979</t>
  </si>
  <si>
    <t>Jamie</t>
  </si>
  <si>
    <t>Epperly</t>
  </si>
  <si>
    <t>JaEp@gmail.com</t>
  </si>
  <si>
    <t>1258-ClMe-7851</t>
  </si>
  <si>
    <t>Clinton</t>
  </si>
  <si>
    <t>Mellen</t>
  </si>
  <si>
    <t>ClMe@gmail.com</t>
  </si>
  <si>
    <t>1258-JeKa-3017</t>
  </si>
  <si>
    <t>Jessie</t>
  </si>
  <si>
    <t>Kappler</t>
  </si>
  <si>
    <t>JeKa@gmail.com</t>
  </si>
  <si>
    <t>1258-JeKa-3825</t>
  </si>
  <si>
    <t>2 row ==&gt;&gt;</t>
  </si>
  <si>
    <t>Master List</t>
  </si>
  <si>
    <t>Current List</t>
  </si>
  <si>
    <t>New Item</t>
  </si>
  <si>
    <t>Clementina Compiseno Inc.</t>
  </si>
  <si>
    <t>Happy Hair Inc.</t>
  </si>
  <si>
    <t xml:space="preserve"> &lt;== Finds all records not in Master List</t>
  </si>
  <si>
    <t>Rolf Detterich Inc.</t>
  </si>
  <si>
    <t>Fran Grin Bus.</t>
  </si>
  <si>
    <t>Cedrick Dings Inc.</t>
  </si>
  <si>
    <t>Mine Spinner Inc.</t>
  </si>
  <si>
    <t>Cortez Emperor Bus.</t>
  </si>
  <si>
    <t>Samara Freedland Bus.</t>
  </si>
  <si>
    <t>Leuze Inc.</t>
  </si>
  <si>
    <t>Altha Pauza Com.</t>
  </si>
  <si>
    <t>Manda Guiao Com.</t>
  </si>
  <si>
    <t>Delana Andalora Bus.</t>
  </si>
  <si>
    <t>Elizbeth Latus Bus.</t>
  </si>
  <si>
    <t>Kristofer Laios Com.</t>
  </si>
  <si>
    <t>Delta Depippo Com.</t>
  </si>
  <si>
    <t>Mckenzie Jaggie Com.</t>
  </si>
  <si>
    <t>Jospeh Melstrom Bus.</t>
  </si>
  <si>
    <t>Porter Part Bus.</t>
  </si>
  <si>
    <t>Jazmine Brechbill Bus.</t>
  </si>
  <si>
    <t>Malik Machak Bus.</t>
  </si>
  <si>
    <t>Kenyetta Heggins Inc.</t>
  </si>
  <si>
    <t>Shu Alimo Bus.</t>
  </si>
  <si>
    <t>Heide Birnberg Bus.</t>
  </si>
  <si>
    <t>Rachele Marquina Bus.</t>
  </si>
  <si>
    <t>Kasey Aninion Bus.</t>
  </si>
  <si>
    <t>Hana Alsing Inc.</t>
  </si>
  <si>
    <t>Leandro Haerr Bus.</t>
  </si>
  <si>
    <t>Tomika Gazdecki Bus.</t>
  </si>
  <si>
    <t>Flavia Marque Bus.</t>
  </si>
  <si>
    <t>Jin Nemani Inc.</t>
  </si>
  <si>
    <t>Shu Marchizano Inc.</t>
  </si>
  <si>
    <t>Gaston Elgar Inc.</t>
  </si>
  <si>
    <t>Maida Melaro Inc.</t>
  </si>
  <si>
    <t xml:space="preserve"> &lt;== Finds all records in Master List</t>
  </si>
  <si>
    <t>Product Commission Rate</t>
  </si>
  <si>
    <t>Pro</t>
  </si>
  <si>
    <t>column</t>
  </si>
  <si>
    <t>row</t>
  </si>
  <si>
    <t>VLOOKUP:</t>
  </si>
  <si>
    <t>Use INDEX / MATCH as a substitute for VLOOKUP when the value you want to return is to the left of the lookup column.</t>
  </si>
  <si>
    <t>Customer Asks For a Boomerang That Flies A Certain Range</t>
  </si>
  <si>
    <t>Flying Range is 20</t>
  </si>
  <si>
    <t>Flying Range is 15</t>
  </si>
  <si>
    <t>Flying Range is 25</t>
  </si>
  <si>
    <t>Flying Range is 30</t>
  </si>
  <si>
    <t>Majestic Beaut</t>
  </si>
  <si>
    <t>Flying Range is 40</t>
  </si>
  <si>
    <t>Phenolic Sunshine</t>
  </si>
  <si>
    <t>Flying Range is 60</t>
  </si>
  <si>
    <t>We need to return an item
from this
column ==&gt;&gt;</t>
  </si>
  <si>
    <t>Lookup
Column ==&gt;&gt;</t>
  </si>
  <si>
    <t>Use INDEX, MIN &amp; MATCH to find vendor name with low bid</t>
  </si>
  <si>
    <t>Products/Vendors</t>
  </si>
  <si>
    <t>Vendor1</t>
  </si>
  <si>
    <t>Vendor2</t>
  </si>
  <si>
    <t>Vendor3</t>
  </si>
  <si>
    <t>Vendor4</t>
  </si>
  <si>
    <t>Low Bid</t>
  </si>
  <si>
    <t>Vendor for Low Bid</t>
  </si>
  <si>
    <t>Product1</t>
  </si>
  <si>
    <t>Product2</t>
  </si>
  <si>
    <t>Product3</t>
  </si>
  <si>
    <t>Product4</t>
  </si>
  <si>
    <t>Product5</t>
  </si>
  <si>
    <t>Product6</t>
  </si>
  <si>
    <t>Product7</t>
  </si>
  <si>
    <t>Product8</t>
  </si>
  <si>
    <t>Product9</t>
  </si>
  <si>
    <t>Product10</t>
  </si>
  <si>
    <t>Product11</t>
  </si>
  <si>
    <t>Product12</t>
  </si>
  <si>
    <t>Tax Rate</t>
  </si>
  <si>
    <t>Before Tax</t>
  </si>
  <si>
    <t>Tax (column not rounded)</t>
  </si>
  <si>
    <t>After Tax</t>
  </si>
  <si>
    <t>Jo</t>
  </si>
  <si>
    <t>Joe</t>
  </si>
  <si>
    <t>Totals</t>
  </si>
  <si>
    <t xml:space="preserve"> &lt;&lt;==Incorrect total because tax calculations were not rounded correctly</t>
  </si>
  <si>
    <t>Correct total ==&gt;&gt;</t>
  </si>
  <si>
    <t>Rules For Rounding:</t>
  </si>
  <si>
    <t>1) Choose 'position you want to round to'</t>
  </si>
  <si>
    <t>2) Look at decimal to right of 'position you want to round to':
if &gt;= 5, add 1 to 'position you want to round to'
if &lt; 5, add 0 to 'position you want to round to'</t>
  </si>
  <si>
    <t>3) Drop all decimals to right of 'position you want to round to'</t>
  </si>
  <si>
    <t>Example</t>
  </si>
  <si>
    <t>Number To Round</t>
  </si>
  <si>
    <t>ROUND function rounds</t>
  </si>
  <si>
    <t>Formula</t>
  </si>
  <si>
    <t>ROUND function 2nd argument
 'position you want to round to'</t>
  </si>
  <si>
    <t>Round to penny</t>
  </si>
  <si>
    <t>positive rounds to right of decimal</t>
  </si>
  <si>
    <t>Round to dollar</t>
  </si>
  <si>
    <t>0 (zero) rounds to integer (ones position)</t>
  </si>
  <si>
    <t>Round to thousands position</t>
  </si>
  <si>
    <t>negative rounds to left of decimal</t>
  </si>
  <si>
    <t>AVERAGE</t>
  </si>
  <si>
    <t>SUM</t>
  </si>
  <si>
    <t>COUNT</t>
  </si>
  <si>
    <t>Test Scores</t>
  </si>
  <si>
    <t>Tom</t>
  </si>
  <si>
    <t>Mike</t>
  </si>
  <si>
    <t>Your Name</t>
  </si>
  <si>
    <t>The reason that we have averages is so that we can have one number that will represent all the numbers in a data set. An average is a "typical value" that we can use in discussions, reports and for comparative purposes. For example, an average score on a test is a useful number for comparing how well you did on the test; an average miles/gallon for a car number is useful for advertising; and the medain house price in a neighborhood can be a guide for making a purchase decision.</t>
  </si>
  <si>
    <r>
      <rPr>
        <b/>
        <sz val="11"/>
        <color theme="1"/>
        <rFont val="Calibri"/>
        <family val="2"/>
        <scheme val="minor"/>
      </rPr>
      <t>AVERAGE</t>
    </r>
    <r>
      <rPr>
        <sz val="11"/>
        <color theme="1"/>
        <rFont val="Calibri"/>
        <family val="2"/>
        <scheme val="minor"/>
      </rPr>
      <t xml:space="preserve"> for calculating arithmetic mean - sum/count. Example: Average Score on a test.</t>
    </r>
  </si>
  <si>
    <r>
      <rPr>
        <b/>
        <sz val="11"/>
        <color theme="1"/>
        <rFont val="Calibri"/>
        <family val="2"/>
        <scheme val="minor"/>
      </rPr>
      <t>MEDIAN</t>
    </r>
    <r>
      <rPr>
        <sz val="11"/>
        <color theme="1"/>
        <rFont val="Calibri"/>
        <family val="2"/>
        <scheme val="minor"/>
      </rPr>
      <t xml:space="preserve"> for finding the value in the middle of a sorted list (good when there are a few unusually large or small values). Example: For real esate values, it is better to calculate the median because the average might be too large if you have a few $1,000,000 houses (a few values would pull the average up).</t>
    </r>
  </si>
  <si>
    <r>
      <rPr>
        <b/>
        <sz val="11"/>
        <color theme="1"/>
        <rFont val="Calibri"/>
        <family val="2"/>
        <scheme val="minor"/>
      </rPr>
      <t>MODE</t>
    </r>
    <r>
      <rPr>
        <sz val="11"/>
        <color theme="1"/>
        <rFont val="Calibri"/>
        <family val="2"/>
        <scheme val="minor"/>
      </rPr>
      <t xml:space="preserve"> finds the one that occurs most often (good when you need an average for counting situations). Example: Counts for Below Par, OK, Good, Great categories. You could not calculate an average (arithmetic mean) bwcasue the sum/count always equals 1.</t>
    </r>
  </si>
  <si>
    <t>AVERAGE &gt; MEDIAN.
Why?
Because the million dollar houses are
'pulling' the average up.</t>
  </si>
  <si>
    <t>MEDIAN</t>
  </si>
  <si>
    <t>House Values</t>
  </si>
  <si>
    <t>MODE</t>
  </si>
  <si>
    <t>Categories for Survey</t>
  </si>
  <si>
    <t>Num</t>
  </si>
  <si>
    <t>Count</t>
  </si>
  <si>
    <t>Below Par</t>
  </si>
  <si>
    <t>Survey Results</t>
  </si>
  <si>
    <t>RANK.EQ</t>
  </si>
  <si>
    <t>RANK</t>
  </si>
  <si>
    <t>RANK.AVE</t>
  </si>
  <si>
    <t>Assembling Product Times (Hours)</t>
  </si>
  <si>
    <t>Sample Times For Assemply Process (minutes)</t>
  </si>
  <si>
    <t>Quality of Assembly Rating</t>
  </si>
  <si>
    <t>**</t>
  </si>
  <si>
    <t>****</t>
  </si>
  <si>
    <t>*</t>
  </si>
  <si>
    <t>***</t>
  </si>
  <si>
    <t>Customers</t>
  </si>
  <si>
    <t>Address</t>
  </si>
  <si>
    <t>City</t>
  </si>
  <si>
    <t>State</t>
  </si>
  <si>
    <t>Zip</t>
  </si>
  <si>
    <t>WA</t>
  </si>
  <si>
    <t>Ghrist, Annita</t>
  </si>
  <si>
    <t>313 173rd Blvd.</t>
  </si>
  <si>
    <t>Kent</t>
  </si>
  <si>
    <t>981215</t>
  </si>
  <si>
    <t>FSO485@gmail.com</t>
  </si>
  <si>
    <t>Dahnke, Georgeann</t>
  </si>
  <si>
    <t>316 66th Blvd.</t>
  </si>
  <si>
    <t>981244</t>
  </si>
  <si>
    <t>RWN@fun.edu</t>
  </si>
  <si>
    <t>Herry, Bryon</t>
  </si>
  <si>
    <t>4358 23rd St.</t>
  </si>
  <si>
    <t>981225</t>
  </si>
  <si>
    <t>LGQ756@gmail.com</t>
  </si>
  <si>
    <t>Dillaman, Darius</t>
  </si>
  <si>
    <t>965 151st St.</t>
  </si>
  <si>
    <t>981162</t>
  </si>
  <si>
    <t>MJG@yahoo.com</t>
  </si>
  <si>
    <t>General, Marlin</t>
  </si>
  <si>
    <t>7900 173rd Lane</t>
  </si>
  <si>
    <t>981266</t>
  </si>
  <si>
    <t>KFP@yahoo.com</t>
  </si>
  <si>
    <t>Lomasney, Lavenia</t>
  </si>
  <si>
    <t>4047 15th Ave.</t>
  </si>
  <si>
    <t>981228</t>
  </si>
  <si>
    <t>HHU@fun.edu</t>
  </si>
  <si>
    <t>Zeiser, Keren</t>
  </si>
  <si>
    <t>4907 13th Ave.</t>
  </si>
  <si>
    <t>981232</t>
  </si>
  <si>
    <t>FRF676@yahoo.com</t>
  </si>
  <si>
    <t>Hudnell, Rod</t>
  </si>
  <si>
    <t>3789 4th Blvd.</t>
  </si>
  <si>
    <t>Seattle</t>
  </si>
  <si>
    <t>981152</t>
  </si>
  <si>
    <t>IGJ150@gmail.com</t>
  </si>
  <si>
    <t>Scrabeck, Keren</t>
  </si>
  <si>
    <t>2977 66th Lane</t>
  </si>
  <si>
    <t>981171</t>
  </si>
  <si>
    <t>EBA@gmail.com</t>
  </si>
  <si>
    <t>Jayson, Dane</t>
  </si>
  <si>
    <t>3392 23rd St.</t>
  </si>
  <si>
    <t>981131</t>
  </si>
  <si>
    <t>CLU@fun.edu</t>
  </si>
  <si>
    <t>, Aler</t>
  </si>
  <si>
    <t>3557 1st St.</t>
  </si>
  <si>
    <t>981147</t>
  </si>
  <si>
    <t>JNV@yahoo.com</t>
  </si>
  <si>
    <t>Musco, Lianne</t>
  </si>
  <si>
    <t>3341 173rd Blvd.</t>
  </si>
  <si>
    <t>981185</t>
  </si>
  <si>
    <t>HEW@fun.edu</t>
  </si>
  <si>
    <t>Spezio, Bryon</t>
  </si>
  <si>
    <t>7096 15th Lane</t>
  </si>
  <si>
    <t>981259</t>
  </si>
  <si>
    <t>HCR176@yahoo.com</t>
  </si>
  <si>
    <t>Patrum, Ali</t>
  </si>
  <si>
    <t>4254 23rd Blvd.</t>
  </si>
  <si>
    <t>981234</t>
  </si>
  <si>
    <t>NNR752@fun.edu</t>
  </si>
  <si>
    <t>Fila, Bryon</t>
  </si>
  <si>
    <t>1654 66th St.</t>
  </si>
  <si>
    <t>981143</t>
  </si>
  <si>
    <t>QKC@gmail.com</t>
  </si>
  <si>
    <t>Bruess, Natisha</t>
  </si>
  <si>
    <t>7149 1st Ave.</t>
  </si>
  <si>
    <t>981335</t>
  </si>
  <si>
    <t>YSE222@fun.edu</t>
  </si>
  <si>
    <t>Fukumoto, Marvis</t>
  </si>
  <si>
    <t>3653 4th Blvd.</t>
  </si>
  <si>
    <t>981280</t>
  </si>
  <si>
    <t>PKF@yahoo.com</t>
  </si>
  <si>
    <t>Matar, Son</t>
  </si>
  <si>
    <t>2466 4th Ave.</t>
  </si>
  <si>
    <t>981328</t>
  </si>
  <si>
    <t>QFY278@yahoo.com</t>
  </si>
  <si>
    <t>Reffett, Marcel</t>
  </si>
  <si>
    <t>267 4th Lane</t>
  </si>
  <si>
    <t>CHI751@yahoo.com</t>
  </si>
  <si>
    <t>Zeiss, Son</t>
  </si>
  <si>
    <t>4817 13th St.</t>
  </si>
  <si>
    <t>Tacoma</t>
  </si>
  <si>
    <t>981112</t>
  </si>
  <si>
    <t>DTT@yahoo.com</t>
  </si>
  <si>
    <t>Chukes, Hal</t>
  </si>
  <si>
    <t>7726 66th Ave.</t>
  </si>
  <si>
    <t>981118</t>
  </si>
  <si>
    <t>MGF675@fun.edu</t>
  </si>
  <si>
    <t>Savini, Quinton</t>
  </si>
  <si>
    <t>3861 2nd Blvd.</t>
  </si>
  <si>
    <t>981178</t>
  </si>
  <si>
    <t>WGD789@gmail.com</t>
  </si>
  <si>
    <t>Gonnella, Marcel</t>
  </si>
  <si>
    <t>6699 13th St.</t>
  </si>
  <si>
    <t>THH325@yahoo.com</t>
  </si>
  <si>
    <t>Acero, Natisha</t>
  </si>
  <si>
    <t>6281 173rd St.</t>
  </si>
  <si>
    <t>981317</t>
  </si>
  <si>
    <t>HDT641@fun.edu</t>
  </si>
  <si>
    <t>Stolt, Hal</t>
  </si>
  <si>
    <t>7021 1st Ave.</t>
  </si>
  <si>
    <t>FSI@yahoo.com</t>
  </si>
  <si>
    <t>Vuono, Nolan</t>
  </si>
  <si>
    <t>5789 13th Lane</t>
  </si>
  <si>
    <t>981341</t>
  </si>
  <si>
    <t>CUU@fun.edu</t>
  </si>
  <si>
    <t>Kalahiki, Rod</t>
  </si>
  <si>
    <t>5054 1st St.</t>
  </si>
  <si>
    <t>VWQ301@gmail.com</t>
  </si>
  <si>
    <t>Walenta, Bryon</t>
  </si>
  <si>
    <t>7932 23rd St.</t>
  </si>
  <si>
    <t>981263</t>
  </si>
  <si>
    <t>JKO209@fun.edu</t>
  </si>
  <si>
    <t>Pofahl, Quinton</t>
  </si>
  <si>
    <t>1103 15th Lane</t>
  </si>
  <si>
    <t>WFK@fun.edu</t>
  </si>
  <si>
    <t>Durtschi, Dane</t>
  </si>
  <si>
    <t>7582 4th Lane</t>
  </si>
  <si>
    <t>981177</t>
  </si>
  <si>
    <t>KVC@gmail.com</t>
  </si>
  <si>
    <t>Data</t>
  </si>
  <si>
    <t>rad</t>
  </si>
  <si>
    <t>Cool</t>
  </si>
  <si>
    <t>cool</t>
  </si>
  <si>
    <t>)</t>
  </si>
  <si>
    <t>#</t>
  </si>
  <si>
    <t>Prospective Customers</t>
  </si>
  <si>
    <t>Is Name In Master List?</t>
  </si>
  <si>
    <t>Acquaviva Company</t>
  </si>
  <si>
    <t>Manfre Company</t>
  </si>
  <si>
    <t>Grabenstein Company</t>
  </si>
  <si>
    <t>Degen Company</t>
  </si>
  <si>
    <t>Rana Company</t>
  </si>
  <si>
    <t>Farthing Company</t>
  </si>
  <si>
    <t>Shiroma Company</t>
  </si>
  <si>
    <t>Blose Company</t>
  </si>
  <si>
    <t>Wootton Company</t>
  </si>
  <si>
    <t>Spafford Company</t>
  </si>
  <si>
    <t>Yarrington Company</t>
  </si>
  <si>
    <t>Tarnowski Company</t>
  </si>
  <si>
    <t>Haecker Company</t>
  </si>
  <si>
    <t>Alameda Company</t>
  </si>
  <si>
    <t>Prestwich Company</t>
  </si>
  <si>
    <t>Rommel Company</t>
  </si>
  <si>
    <t>Jeong Company</t>
  </si>
  <si>
    <t>Names For Presetations</t>
  </si>
  <si>
    <t>Amy Burnell</t>
  </si>
  <si>
    <t>Charles Feeney</t>
  </si>
  <si>
    <t>Audrey Hinton</t>
  </si>
  <si>
    <t>Steve Stephan</t>
  </si>
  <si>
    <t>Juan Singley</t>
  </si>
  <si>
    <t>Elaine Lash</t>
  </si>
  <si>
    <t>Eugene Deutsch</t>
  </si>
  <si>
    <t>Jerry Wertz</t>
  </si>
  <si>
    <t>Matthew Mosley</t>
  </si>
  <si>
    <t>Roy Mattingly</t>
  </si>
  <si>
    <t>Sample Data</t>
  </si>
  <si>
    <t>Cust1</t>
  </si>
  <si>
    <t>CJP@ourbiz.com</t>
  </si>
  <si>
    <t>Cust2</t>
  </si>
  <si>
    <t>HTS@ourbiz.com</t>
  </si>
  <si>
    <t>Cust3</t>
  </si>
  <si>
    <t>DZ[@ourbiz.com</t>
  </si>
  <si>
    <t>Cust4</t>
  </si>
  <si>
    <t>JPJ@ourbiz.com</t>
  </si>
  <si>
    <t>Cust5</t>
  </si>
  <si>
    <t>IQH@ourbiz.com</t>
  </si>
  <si>
    <t>Cust6</t>
  </si>
  <si>
    <t>ODL@ourbiz.com</t>
  </si>
  <si>
    <t>Cust7</t>
  </si>
  <si>
    <t>NZE@ourbiz.com</t>
  </si>
  <si>
    <t>Cust8</t>
  </si>
  <si>
    <t>NUR@ourbiz.com</t>
  </si>
  <si>
    <t>Cust9</t>
  </si>
  <si>
    <t>CZU@ourbiz.com</t>
  </si>
  <si>
    <t>Cust10</t>
  </si>
  <si>
    <t>PYL@ourbiz.com</t>
  </si>
  <si>
    <t>Grand Total</t>
  </si>
  <si>
    <t>11 Functions for SUBTOTAL function</t>
  </si>
  <si>
    <t>11 Functions available in a PivotTable</t>
  </si>
  <si>
    <t>Function_num
(includes hidden values)</t>
  </si>
  <si>
    <t>Function_num
(ignores hidden values)</t>
  </si>
  <si>
    <t>What you see in Subtotal "Use function" drop-down</t>
  </si>
  <si>
    <t>Function</t>
  </si>
  <si>
    <t>What it does</t>
  </si>
  <si>
    <t>What you see in Value Field Settings dialog box</t>
  </si>
  <si>
    <t>Calculates arithmetic mean</t>
  </si>
  <si>
    <t>Count Numbers</t>
  </si>
  <si>
    <t>Counts numbers</t>
  </si>
  <si>
    <t>Counts non empty cells</t>
  </si>
  <si>
    <t>Finds largest value</t>
  </si>
  <si>
    <t>Min</t>
  </si>
  <si>
    <t>Finds smallest value</t>
  </si>
  <si>
    <t>PRODUCT</t>
  </si>
  <si>
    <t>Multiplies</t>
  </si>
  <si>
    <t>Stdev</t>
  </si>
  <si>
    <t>STDEV</t>
  </si>
  <si>
    <t>Standard Deviation for a sample</t>
  </si>
  <si>
    <t>Stdevp</t>
  </si>
  <si>
    <t>STDEVP</t>
  </si>
  <si>
    <t>Standard Deviation for a population</t>
  </si>
  <si>
    <t>Sum</t>
  </si>
  <si>
    <t>Adds</t>
  </si>
  <si>
    <t>Var</t>
  </si>
  <si>
    <t>VAR</t>
  </si>
  <si>
    <t>Variation for a sample</t>
  </si>
  <si>
    <t>Varp</t>
  </si>
  <si>
    <t>VARP</t>
  </si>
  <si>
    <t>Variation for a population</t>
  </si>
  <si>
    <t>Sum of Sales</t>
  </si>
  <si>
    <t>Row Labels</t>
  </si>
  <si>
    <t>Count of Sales</t>
  </si>
  <si>
    <t>6/10/11</t>
  </si>
  <si>
    <t>Region -- Column Headers or "Column Labels"</t>
  </si>
  <si>
    <t>SalesRep -- Row Headers or "Row Labels"</t>
  </si>
  <si>
    <t>This is called the 'Value' area because will  be making a</t>
  </si>
  <si>
    <t>calculation in this area - we will be adding.</t>
  </si>
  <si>
    <t>Frequency</t>
  </si>
  <si>
    <t>0-250</t>
  </si>
  <si>
    <t>250-500</t>
  </si>
  <si>
    <t>500-750</t>
  </si>
  <si>
    <t>750-1000</t>
  </si>
  <si>
    <t>316 66th Blvd. 151st St.</t>
  </si>
  <si>
    <t>4358 66th Blvd.</t>
  </si>
  <si>
    <t>Project</t>
  </si>
  <si>
    <t>Project 9</t>
  </si>
  <si>
    <t>Project 22</t>
  </si>
  <si>
    <t>Project 19</t>
  </si>
  <si>
    <t>Project 20</t>
  </si>
  <si>
    <t>Project 21</t>
  </si>
  <si>
    <t>Project 13</t>
  </si>
  <si>
    <t>Project 12</t>
  </si>
  <si>
    <t>Project 8</t>
  </si>
  <si>
    <t>Project 16</t>
  </si>
  <si>
    <t>Project 14</t>
  </si>
  <si>
    <t>Project 18</t>
  </si>
  <si>
    <t>Project 10</t>
  </si>
  <si>
    <t>Project 11</t>
  </si>
  <si>
    <t>Project 4</t>
  </si>
  <si>
    <t>Project 1</t>
  </si>
  <si>
    <t>Project 2</t>
  </si>
  <si>
    <t>Project 6</t>
  </si>
  <si>
    <t>Project 7</t>
  </si>
  <si>
    <t>Project 17</t>
  </si>
  <si>
    <t>Project 15</t>
  </si>
  <si>
    <t>Project 5</t>
  </si>
  <si>
    <t>Project 3</t>
  </si>
  <si>
    <t xml:space="preserve">Sales </t>
  </si>
  <si>
    <t>Criteria Area</t>
  </si>
  <si>
    <t>Data Set</t>
  </si>
  <si>
    <t>Extract Area After running Advanced Filter</t>
  </si>
  <si>
    <t>&gt;500</t>
  </si>
  <si>
    <t>&gt;1000</t>
  </si>
  <si>
    <t>&gt;=900</t>
  </si>
  <si>
    <t>&gt;=2/1/2011</t>
  </si>
  <si>
    <t>&lt;=5/31/2011</t>
  </si>
  <si>
    <t>Extract Area Before running Advanced Filter</t>
  </si>
  <si>
    <t>Rod Kloer Firm</t>
  </si>
  <si>
    <t>Hal Hinchliff Firm</t>
  </si>
  <si>
    <t>Shakia Warning Inc.</t>
  </si>
  <si>
    <t>Cliff Stalworth Firm</t>
  </si>
  <si>
    <t>Jackson Kings LLP</t>
  </si>
  <si>
    <t>Rob Swearegene Company</t>
  </si>
  <si>
    <t>Marcel Mittelsteadt Firm</t>
  </si>
  <si>
    <t>Rob Schiesher LLP</t>
  </si>
  <si>
    <t>Kit Krumme Inc.</t>
  </si>
  <si>
    <t>Raphael Huh Inc.</t>
  </si>
  <si>
    <t>Lashon Yerhot Manufacturers</t>
  </si>
  <si>
    <t>Carey Mews Manufacturers</t>
  </si>
  <si>
    <t>1.   Hal Estacion</t>
  </si>
  <si>
    <t>2.   Ali Botto</t>
  </si>
  <si>
    <t>3.   Lashon Charbonnet</t>
  </si>
  <si>
    <t>4.   Darius Buehl</t>
  </si>
  <si>
    <t>5.   Brain Kepp</t>
  </si>
  <si>
    <t>6.   Frida Kulish</t>
  </si>
  <si>
    <t>7.   Jayna Dearmitt</t>
  </si>
  <si>
    <t>8.   Hal Duch</t>
  </si>
  <si>
    <t>9.   Quinton Raj</t>
  </si>
  <si>
    <t>10.   Raphael Varriale</t>
  </si>
  <si>
    <t>Formula For First</t>
  </si>
  <si>
    <t>Formula for Last</t>
  </si>
  <si>
    <t>Addresses</t>
  </si>
  <si>
    <t>313 173rd Blvd, Kent, WA 981215</t>
  </si>
  <si>
    <t>316 66th Blvd, Kent, WA 981244</t>
  </si>
  <si>
    <t>4358 23rd St, Kent, WA 981225</t>
  </si>
  <si>
    <t>965 151st St, Kent, WA 981162</t>
  </si>
  <si>
    <t>7900 173rd Lane, Kent, WA 981266</t>
  </si>
  <si>
    <t>4047 15th Ave, Kent, WA 981228</t>
  </si>
  <si>
    <t>4907 13th Ave, Kent, WA 981232</t>
  </si>
  <si>
    <t>3789 4th Blvd, Seattle, WA 981152</t>
  </si>
  <si>
    <t>2977 66th Lane, Seattle, WA 981171</t>
  </si>
  <si>
    <t>3392 23rd St, Seattle, WA 981131</t>
  </si>
  <si>
    <t>Aspen</t>
  </si>
  <si>
    <t>Stock Gain and Loss Table</t>
  </si>
  <si>
    <t>Stocks</t>
  </si>
  <si>
    <t>Price Paid 6/1/2007</t>
  </si>
  <si>
    <t>Quantity</t>
  </si>
  <si>
    <t>Historic Value</t>
  </si>
  <si>
    <t>Stock Value Now</t>
  </si>
  <si>
    <t>Current Value</t>
  </si>
  <si>
    <t>Gain Loss</t>
  </si>
  <si>
    <t>GOOG</t>
  </si>
  <si>
    <t>MSFT</t>
  </si>
  <si>
    <t>YHOO</t>
  </si>
  <si>
    <t>BAC</t>
  </si>
  <si>
    <t>DELL</t>
  </si>
  <si>
    <t>Hilights Duplicates</t>
  </si>
  <si>
    <t>Above Average</t>
  </si>
  <si>
    <t>Top 10%</t>
  </si>
  <si>
    <t>Top 20%</t>
  </si>
  <si>
    <t>Icons</t>
  </si>
  <si>
    <t>Data Bars</t>
  </si>
  <si>
    <t>1st number</t>
  </si>
  <si>
    <t>2nd number</t>
  </si>
  <si>
    <t>Logical Formula Result</t>
  </si>
  <si>
    <t>Logical Formula</t>
  </si>
  <si>
    <t>Highlight Cell Based on another Cells Value</t>
  </si>
  <si>
    <t>Date to Highlight</t>
  </si>
  <si>
    <t>Highlight Whole Row for an exact value</t>
  </si>
  <si>
    <t>Highlight Whole Row for an aproximate value</t>
  </si>
  <si>
    <t>Income</t>
  </si>
  <si>
    <t>Upper Value For Tax</t>
  </si>
  <si>
    <t>Highlight Weekends or Holidays</t>
  </si>
  <si>
    <t>Holidays</t>
  </si>
  <si>
    <t>Into The Wind Sales</t>
  </si>
  <si>
    <t>Count of Scores</t>
  </si>
  <si>
    <t>0-9</t>
  </si>
  <si>
    <t>20-29</t>
  </si>
  <si>
    <t>30-39</t>
  </si>
  <si>
    <t>40-49</t>
  </si>
  <si>
    <t>50-59</t>
  </si>
  <si>
    <t>60-69</t>
  </si>
  <si>
    <t>70-79</t>
  </si>
  <si>
    <t>80-89</t>
  </si>
  <si>
    <t>90-100</t>
  </si>
  <si>
    <t>Categories - Each Integer Category Has A Range Of 10 And Each Has No Gap Because There Are No Possibilities Between Columns</t>
  </si>
  <si>
    <t>Total Costs</t>
  </si>
  <si>
    <t>Fixed Cost</t>
  </si>
  <si>
    <t>Assumptions Tables</t>
  </si>
  <si>
    <t>Sell Price of Boomerang</t>
  </si>
  <si>
    <t>Units Sold</t>
  </si>
  <si>
    <t>Manufacturing Cost of Boomerang as a % of Sell Price</t>
  </si>
  <si>
    <t>Total Fixed Cost for Rest Of Operations</t>
  </si>
  <si>
    <t>Table Start Unit Number</t>
  </si>
  <si>
    <t>Table Unit Increment</t>
  </si>
  <si>
    <t>Sales Tax</t>
  </si>
  <si>
    <t>Income Tax</t>
  </si>
  <si>
    <t>Property Tax</t>
  </si>
  <si>
    <t>Other</t>
  </si>
  <si>
    <t>Histogram For Class Scores</t>
  </si>
  <si>
    <t>Assumptions</t>
  </si>
  <si>
    <t>Lower</t>
  </si>
  <si>
    <t>Upper</t>
  </si>
  <si>
    <t>Grouped Number Categories</t>
  </si>
  <si>
    <t>How Many Students Got A Score In Each Category</t>
  </si>
  <si>
    <t>Start</t>
  </si>
  <si>
    <t>Range</t>
  </si>
  <si>
    <t>check</t>
  </si>
  <si>
    <t>Do Hours Studied Predict Final Score On Test? Is there a relationship?</t>
  </si>
  <si>
    <t>y intercept</t>
  </si>
  <si>
    <t>slope</t>
  </si>
  <si>
    <t>correlation Coefficient</t>
  </si>
  <si>
    <t>Coefficient of Determination</t>
  </si>
  <si>
    <t>Hours Studied - X</t>
  </si>
  <si>
    <t>Student Scores On Final - Y</t>
  </si>
  <si>
    <t>Where line crosses y-axis</t>
  </si>
  <si>
    <t>For 1 unit out x-axis, how far up the y-axis do you go?</t>
  </si>
  <si>
    <t>Strength and direction of line (not causation)</t>
  </si>
  <si>
    <t>The amount of influence x has on y (not causation)</t>
  </si>
  <si>
    <t>b</t>
  </si>
  <si>
    <t>m</t>
  </si>
  <si>
    <t>r</t>
  </si>
  <si>
    <t>r^2</t>
  </si>
  <si>
    <t>Day 1</t>
  </si>
  <si>
    <t>Day 2</t>
  </si>
  <si>
    <t>Day 3</t>
  </si>
  <si>
    <t>Day 4</t>
  </si>
  <si>
    <t>Day 5</t>
  </si>
  <si>
    <t>Phil</t>
  </si>
  <si>
    <t>Frank</t>
  </si>
  <si>
    <t>Location</t>
  </si>
  <si>
    <t>Oakland</t>
  </si>
  <si>
    <t>SF</t>
  </si>
  <si>
    <t>Time (Mins) To Assemble Product</t>
  </si>
  <si>
    <t>formulas for rand</t>
  </si>
  <si>
    <t>Time (Minutes) To Assemble Product</t>
  </si>
  <si>
    <t>Mchn 2</t>
  </si>
  <si>
    <t>Mchn 3</t>
  </si>
  <si>
    <t>Mchn 4</t>
  </si>
  <si>
    <t>Mchn 5</t>
  </si>
  <si>
    <t>Mchn 6</t>
  </si>
  <si>
    <t>Mchn 7</t>
  </si>
  <si>
    <t>Mchn 8</t>
  </si>
  <si>
    <t>Total Gross Profit</t>
  </si>
  <si>
    <t>MODE Time</t>
  </si>
  <si>
    <t>MIN Time</t>
  </si>
  <si>
    <t>MAX Time</t>
  </si>
  <si>
    <t>AVERAGE Time</t>
  </si>
  <si>
    <t>Category</t>
  </si>
  <si>
    <t>Upper Limit</t>
  </si>
  <si>
    <t>Technically, the PivotTable engine and the FREQUENCY function calculate differently:</t>
  </si>
  <si>
    <t>January Sales</t>
  </si>
  <si>
    <t>Sales Rep1</t>
  </si>
  <si>
    <t>Sales Rep2</t>
  </si>
  <si>
    <t>Sales Rep3</t>
  </si>
  <si>
    <t>Sales Rep4</t>
  </si>
  <si>
    <t>Dec Total</t>
  </si>
  <si>
    <t>Dec Sales</t>
  </si>
  <si>
    <t>ASCII character</t>
  </si>
  <si>
    <t>ASCII number</t>
  </si>
  <si>
    <t>Hal Estacion</t>
  </si>
  <si>
    <t>Ali Botto</t>
  </si>
  <si>
    <t>Lashon Charbonnet</t>
  </si>
  <si>
    <t>Darius Buehl</t>
  </si>
  <si>
    <t>Brain Kepp</t>
  </si>
  <si>
    <t>Frida Kulish</t>
  </si>
  <si>
    <t>Jayna Dearmitt</t>
  </si>
  <si>
    <t>Hal Duch</t>
  </si>
  <si>
    <t>Quinton Raj</t>
  </si>
  <si>
    <t>Raphael Varriale</t>
  </si>
  <si>
    <t xml:space="preserve"> Paste Formulas Only</t>
  </si>
  <si>
    <t xml:space="preserve"> =</t>
  </si>
  <si>
    <t xml:space="preserve">Ctrl + V, tap Ctrl, tap F </t>
  </si>
  <si>
    <t xml:space="preserve"> Paste Formulas and Number Formatting</t>
  </si>
  <si>
    <t xml:space="preserve">Ctrl + V, tap Ctrl, tap O </t>
  </si>
  <si>
    <t xml:space="preserve"> Keep Source Formatting</t>
  </si>
  <si>
    <t xml:space="preserve">Ctrl + V, tap Ctrl, tap K </t>
  </si>
  <si>
    <t xml:space="preserve"> Do Not Paste Borders</t>
  </si>
  <si>
    <t xml:space="preserve">Ctrl + V, tap Ctrl, tap B </t>
  </si>
  <si>
    <t xml:space="preserve"> Keep Source Column Widths</t>
  </si>
  <si>
    <t xml:space="preserve">Ctrl + V, tap Ctrl, tap W </t>
  </si>
  <si>
    <t xml:space="preserve"> Transpose Columns and Rows</t>
  </si>
  <si>
    <t xml:space="preserve">Ctrl + V, tap Ctrl, tap T </t>
  </si>
  <si>
    <t xml:space="preserve"> Paste Values Only (Convert Formulas to Values)</t>
  </si>
  <si>
    <t xml:space="preserve">Ctrl + V, tap Ctrl, tap V </t>
  </si>
  <si>
    <t xml:space="preserve"> Paste Values and Number Formatting</t>
  </si>
  <si>
    <t xml:space="preserve">Ctrl + V, tap Ctrl, tap A </t>
  </si>
  <si>
    <t xml:space="preserve"> Paste Values and Source Formatting</t>
  </si>
  <si>
    <t xml:space="preserve">Ctrl + V, tap Ctrl, tap E </t>
  </si>
  <si>
    <t xml:space="preserve"> Paste Link</t>
  </si>
  <si>
    <t xml:space="preserve">Ctrl + V, tap Ctrl, tap N </t>
  </si>
  <si>
    <t xml:space="preserve"> Paste Picture (Converts Cells to an actual picture)</t>
  </si>
  <si>
    <t xml:space="preserve">Ctrl + V, tap Ctrl, tap U </t>
  </si>
  <si>
    <t xml:space="preserve"> Paste Linked Picture</t>
  </si>
  <si>
    <t xml:space="preserve">Ctrl + V, tap Ctrl, tap I </t>
  </si>
  <si>
    <t>Right-click key, tap F, Enter</t>
  </si>
  <si>
    <t>Right-click key, tap T, Enter</t>
  </si>
  <si>
    <t>Right-click key, tap N, Enter</t>
  </si>
  <si>
    <t>Right-click key, tap V</t>
  </si>
  <si>
    <t>Paste Formatting Only</t>
  </si>
  <si>
    <t>Right-click key, tap R</t>
  </si>
  <si>
    <t>These labels will appear in the color coded 'Legend'</t>
  </si>
  <si>
    <t xml:space="preserve"> Paste Formatting</t>
  </si>
  <si>
    <t xml:space="preserve">Ctrl + V, tap Ctrl, tap R </t>
  </si>
  <si>
    <t>Highlight or select the column of data below the selected cell</t>
  </si>
  <si>
    <t>Ctrl + Down Arrow</t>
  </si>
  <si>
    <t>Highlight or select the column of data above the selected cell</t>
  </si>
  <si>
    <t>Ctrl + Up Arrow</t>
  </si>
  <si>
    <t>Highlight or select the row of data to the left of the selected cell</t>
  </si>
  <si>
    <t>Ctrl + Left Arrow</t>
  </si>
  <si>
    <t>Ctrl + Right Arrow</t>
  </si>
  <si>
    <t>Highlight or select the row of data to the right of the selected cell</t>
  </si>
  <si>
    <t>Ctrl + Home</t>
  </si>
  <si>
    <t>Ctrl + End</t>
  </si>
  <si>
    <t>Navigation Keyboard Shortcuts</t>
  </si>
  <si>
    <t>Ctrl + Shift + Down Arrow</t>
  </si>
  <si>
    <t>Ctrl + Shift + Up Arrow</t>
  </si>
  <si>
    <t>Ctrl + Shift + Left Arrow</t>
  </si>
  <si>
    <t>Ctrl + Shift + Right Arrow</t>
  </si>
  <si>
    <t>Jump to the bottom of the column of data</t>
  </si>
  <si>
    <t>Jump to the top of the column of data</t>
  </si>
  <si>
    <t>Jump to cell A1</t>
  </si>
  <si>
    <t>Jump to last cell used</t>
  </si>
  <si>
    <t>Jump to the left end of a row of data</t>
  </si>
  <si>
    <t>Jump to the right end of a row of data</t>
  </si>
  <si>
    <t>Highlighting or Selection Keyboard Shortcuts</t>
  </si>
  <si>
    <t>Highlight Current Region</t>
  </si>
  <si>
    <t>Ctrl + * (on Number Pad)</t>
  </si>
  <si>
    <t xml:space="preserve"> &lt;&lt;== This cell has the General Number format before the SUM function is added. After you add the SUM function the cell adopts the Text number</t>
  </si>
  <si>
    <t>formatting from the cells above (because the cell references in the formula are looking at the cells</t>
  </si>
  <si>
    <t>Masters</t>
  </si>
  <si>
    <t>or</t>
  </si>
  <si>
    <t xml:space="preserve"> &lt;&lt;== Special Formula automatically will show you how formula changes.</t>
  </si>
  <si>
    <t>Error Message</t>
  </si>
  <si>
    <t>Description of Error</t>
  </si>
  <si>
    <t>#######</t>
  </si>
  <si>
    <t>Circular Cell Reference</t>
  </si>
  <si>
    <t>Not Available/ No Answer. Like when a lookup function cannot find what you are looking for.</t>
  </si>
  <si>
    <t>Column width not wide enough to display data (value), or negative date or time.</t>
  </si>
  <si>
    <t>Text in a formula that is not a built-in function or a Excel Defined Name.</t>
  </si>
  <si>
    <t>Formula divides by zero.</t>
  </si>
  <si>
    <t>Formula is using cell reference that has been deleted, or other invalid cell reference.</t>
  </si>
  <si>
    <t>Invalid numeric values in a formula or function, or an iterative function like IRR cannot find an answer, or the number is too big or small (number must be between (-10^307 and 10^307).</t>
  </si>
  <si>
    <t>Cell reference in formula refers to the formulas result (itself).</t>
  </si>
  <si>
    <t>Invalid operator or argument type in a formula, or array formula was not entered with Ctrl + Shift + Enter.</t>
  </si>
  <si>
    <t>No Intersection.</t>
  </si>
  <si>
    <t>2003 or earlier formula</t>
  </si>
  <si>
    <t>COUNTA for counting the total number of text entries (non-empty cells)</t>
  </si>
  <si>
    <t>Hal</t>
  </si>
  <si>
    <t>Estacion</t>
  </si>
  <si>
    <t>Ali</t>
  </si>
  <si>
    <t>Botto</t>
  </si>
  <si>
    <t>Lashon</t>
  </si>
  <si>
    <t>Charbonnet</t>
  </si>
  <si>
    <t>Darius</t>
  </si>
  <si>
    <t>Buehl</t>
  </si>
  <si>
    <t>Brain</t>
  </si>
  <si>
    <t>Kepp</t>
  </si>
  <si>
    <t>Frida</t>
  </si>
  <si>
    <t>Kulish</t>
  </si>
  <si>
    <t>Jayna</t>
  </si>
  <si>
    <t>Dearmitt</t>
  </si>
  <si>
    <t>Duch</t>
  </si>
  <si>
    <t>Quinton</t>
  </si>
  <si>
    <t>Raj</t>
  </si>
  <si>
    <t>Raphael</t>
  </si>
  <si>
    <t>Varriale</t>
  </si>
  <si>
    <t>Criteria</t>
  </si>
  <si>
    <t>Not in Book at this point (we will cover thes later in this chapter, but this is a preview):</t>
  </si>
  <si>
    <t>EmployeeName</t>
  </si>
  <si>
    <t>LookupE-Mail</t>
  </si>
  <si>
    <t>Christina Kim</t>
  </si>
  <si>
    <t xml:space="preserve"> &lt;&lt;== Lookup formula</t>
  </si>
  <si>
    <t>Department</t>
  </si>
  <si>
    <t>HireDate</t>
  </si>
  <si>
    <t>E-Mail</t>
  </si>
  <si>
    <t>Sioux Timmy</t>
  </si>
  <si>
    <t>Accounting</t>
  </si>
  <si>
    <t>Timmy@yahoo.com</t>
  </si>
  <si>
    <t>John Pfeffer</t>
  </si>
  <si>
    <t>Finance</t>
  </si>
  <si>
    <t>Pfeffer@gmail.com</t>
  </si>
  <si>
    <t>Fred Smith</t>
  </si>
  <si>
    <t>Human Resource</t>
  </si>
  <si>
    <t>Smith@yahoo.com</t>
  </si>
  <si>
    <t>Ron Sabado</t>
  </si>
  <si>
    <t>Sabado@eif.com</t>
  </si>
  <si>
    <t>Kim@gmail.com</t>
  </si>
  <si>
    <t>Chin Pham</t>
  </si>
  <si>
    <t>Pham@yahoo.com</t>
  </si>
  <si>
    <t>June Sunny</t>
  </si>
  <si>
    <t>Sunny@yahoo.com</t>
  </si>
  <si>
    <t>Sheliadawn Bo</t>
  </si>
  <si>
    <t>Bo@eif.com</t>
  </si>
  <si>
    <t>Criteria = Year</t>
  </si>
  <si>
    <t>Add</t>
  </si>
  <si>
    <t xml:space="preserve"> &lt;
&lt;
&lt;
&lt;
&lt;
&lt;</t>
  </si>
  <si>
    <t>Array Formula</t>
  </si>
  <si>
    <t>Equal Sign, SUM function, LARGE function, Cell Range, Array Constant</t>
  </si>
  <si>
    <t>8+2*2</t>
  </si>
  <si>
    <t>Adding &amp; Subtracting (Left To Right)</t>
  </si>
  <si>
    <t>% Change</t>
  </si>
  <si>
    <t>End</t>
  </si>
  <si>
    <t>**In Business Math Classes I would call (1+%change), the "Rate".</t>
  </si>
  <si>
    <t>Integers</t>
  </si>
  <si>
    <t>Decimals</t>
  </si>
  <si>
    <t>INDEX to do 2-way lookup</t>
  </si>
  <si>
    <t>Start Cell</t>
  </si>
  <si>
    <t>End Cell</t>
  </si>
  <si>
    <t>INDEX to create Dynamic Range</t>
  </si>
  <si>
    <t>Pro 1</t>
  </si>
  <si>
    <t>Pro 2</t>
  </si>
  <si>
    <t>Pro 3</t>
  </si>
  <si>
    <t>Pro 4</t>
  </si>
  <si>
    <t>Pro 5</t>
  </si>
  <si>
    <t>Pro 6</t>
  </si>
  <si>
    <t>Pro 7</t>
  </si>
  <si>
    <t>Lookup Row</t>
  </si>
  <si>
    <t>Lookup Column</t>
  </si>
  <si>
    <t>** Leave the column_num empty and it returns all the columns</t>
  </si>
  <si>
    <t>** Leave the row_num empty and it returns all the rows</t>
  </si>
  <si>
    <t>lookup from 2 or more tables (CHOOSE lookup function can lookup two or more tables)</t>
  </si>
  <si>
    <t>Value</t>
  </si>
  <si>
    <t>Qrt Purchased</t>
  </si>
  <si>
    <t>Price Each</t>
  </si>
  <si>
    <t>WAC</t>
  </si>
  <si>
    <t>Time of Phone Call</t>
  </si>
  <si>
    <t>Max Date</t>
  </si>
  <si>
    <t>Cs3</t>
  </si>
  <si>
    <t>Min Date</t>
  </si>
  <si>
    <t>Cs4</t>
  </si>
  <si>
    <t>Start Date</t>
  </si>
  <si>
    <t xml:space="preserve"> &lt;&lt;= enter start date for template</t>
  </si>
  <si>
    <t>1st of month</t>
  </si>
  <si>
    <t>Sheliadawn</t>
  </si>
  <si>
    <t>Cs2</t>
  </si>
  <si>
    <t>Month/Sales Rep</t>
  </si>
  <si>
    <t>Moe</t>
  </si>
  <si>
    <t>Cs6</t>
  </si>
  <si>
    <t>Cs1</t>
  </si>
  <si>
    <t>Cs5</t>
  </si>
  <si>
    <t>Count Unique Records</t>
  </si>
  <si>
    <t>Mo</t>
  </si>
  <si>
    <t>Count Unique Records if * included</t>
  </si>
  <si>
    <t>*Tom</t>
  </si>
  <si>
    <t>Ctrl + 1 is the keyboard shortcut for the Format Cells Dialog Box</t>
  </si>
  <si>
    <t>The Number Tab has many EXCELlent number formats</t>
  </si>
  <si>
    <t>The Custom section let's you create custom Number Formatting</t>
  </si>
  <si>
    <t>Before the 1st semi-colon is how to display positive numbers</t>
  </si>
  <si>
    <t>Before the 2nd semi-colon and after the 1st semi-colon is how to display negative numbers</t>
  </si>
  <si>
    <t>Before the 3rd semi-colon and after the 2nd semi-colon is how to display zeros</t>
  </si>
  <si>
    <t>After the 3rd semi-colon is whether or not and how to display text</t>
  </si>
  <si>
    <t>If you just have formatting symbols before the 1st semi-colon, the formatting will apply to positive, negative and zero numbers and text will display</t>
  </si>
  <si>
    <t>When General Number Format is applied, all Custom Number Formatting will be removed</t>
  </si>
  <si>
    <t>The TEXT function converts a number to text with a Custom Number Format that you specify. TEXT(number, "Custom Number Format in quotes")</t>
  </si>
  <si>
    <t>Symbol</t>
  </si>
  <si>
    <t>Usage</t>
  </si>
  <si>
    <t>Typed digits</t>
  </si>
  <si>
    <t>Displayed value</t>
  </si>
  <si>
    <t>Digit placeholder that displays significant digits only; example ####.#</t>
  </si>
  <si>
    <t>Digit placeholder that displays significant and insignificant zeroes; example: 0.00</t>
  </si>
  <si>
    <t>Zeros before digit like 00345; example: 00000</t>
  </si>
  <si>
    <t>display many digits 0.000000000000000</t>
  </si>
  <si>
    <t>.125489632586635</t>
  </si>
  <si>
    <t>?</t>
  </si>
  <si>
    <t>Acts as a digit placeholder that does not display insignificant digits but does hold a place so that decimal points will align; example: 0.00?</t>
  </si>
  <si>
    <t>Scoots the decimal over; example: 0.00????</t>
  </si>
  <si>
    <t>%</t>
  </si>
  <si>
    <t>Rules for formatting a % (times 100 and add symbol); example 0.00%</t>
  </si>
  <si>
    <t>,</t>
  </si>
  <si>
    <t>Inserts a comma for thousands; example: #,###</t>
  </si>
  <si>
    <t>Use as a scaling operator; example #,,</t>
  </si>
  <si>
    <t>Tells the cell to put enough of the character (space) after it to fill the column; example $* 0.00</t>
  </si>
  <si>
    <t>Tells the cell to put enough of the character (^) after it to fill the column; example $*^0.01</t>
  </si>
  <si>
    <t>_</t>
  </si>
  <si>
    <t>Skip the width of the next character - often used with ) to help positive numbers align with negative numbers; example: _($* #,###0.00_);_($* (#,###0.00);_(* "-"??_);_(@_)</t>
  </si>
  <si>
    <t>example: _($* #,###0.00_);_($* (#,###0.00);_(* "-"??_);_(@_)</t>
  </si>
  <si>
    <t>" "</t>
  </si>
  <si>
    <t>adds text; example: 0.00" Rad"</t>
  </si>
  <si>
    <t>"surplus";"deficit"</t>
  </si>
  <si>
    <t>@</t>
  </si>
  <si>
    <t>Indicates the location where text should be inserted in cells formatted with custom format; if the @ is not included in the code, the text will not be displayed; example: _($@_)</t>
  </si>
  <si>
    <t>none</t>
  </si>
  <si>
    <t>Use formatting to hide words; example: 0.00;-0.00;"--";</t>
  </si>
  <si>
    <t>How to put a single character in front of a word; example: _(* #,##0.00_);_(* (#,##0.00);_(* "-"??_);_(^@_)</t>
  </si>
  <si>
    <t>This scoots the text over one width of a parenthesis; example: _($* #,###0.00_);_($* (#,###0.00);_(* "-"??_);_(@_)</t>
  </si>
  <si>
    <t>d</t>
  </si>
  <si>
    <t>day; example: dddd</t>
  </si>
  <si>
    <t>month; example: mmm.</t>
  </si>
  <si>
    <t>y</t>
  </si>
  <si>
    <t>year; example: yy</t>
  </si>
  <si>
    <t>day; example: d</t>
  </si>
  <si>
    <t>month; example: m</t>
  </si>
  <si>
    <t>Be careful ==&gt;</t>
  </si>
  <si>
    <t>year; example: yyyy</t>
  </si>
  <si>
    <t>hh:mm:ss AM/PM</t>
  </si>
  <si>
    <t>[h]:mm</t>
  </si>
  <si>
    <t>Show time greater than 24 hours</t>
  </si>
  <si>
    <t>Note 1==&gt;</t>
  </si>
  <si>
    <t>If you specify only two formats, the first is used for positive and zero</t>
  </si>
  <si>
    <t>Note 2==&gt;</t>
  </si>
  <si>
    <t>If you specify only one formats, it is used for all numbers</t>
  </si>
  <si>
    <t>format: mmmm d, yyyy</t>
  </si>
  <si>
    <t>format: hh:mm:ss AM/PM</t>
  </si>
  <si>
    <t>Time Greater than 24 hours</t>
  </si>
  <si>
    <t>format: [h]:mm</t>
  </si>
  <si>
    <t>Percents</t>
  </si>
  <si>
    <t>format: 0.00000%</t>
  </si>
  <si>
    <t>Fraction</t>
  </si>
  <si>
    <t>format: ?/?</t>
  </si>
  <si>
    <t>Words with numbers</t>
  </si>
  <si>
    <t>format: $#,##0.00" per unit"</t>
  </si>
  <si>
    <t>Four Sections</t>
  </si>
  <si>
    <t>Rad</t>
  </si>
  <si>
    <t>format: 0.00;-0.00;0;</t>
  </si>
  <si>
    <t>Blank</t>
  </si>
  <si>
    <t>RAD</t>
  </si>
  <si>
    <t>format: ;;;</t>
  </si>
  <si>
    <t>General: keyboard: Ctrl + Shift + ~</t>
  </si>
  <si>
    <t>format: General</t>
  </si>
  <si>
    <t>Custom Number Format to have word appear in cell with number. This allows you to still use the number in a formula</t>
  </si>
  <si>
    <t>For more about the TEXT function, see this video:</t>
  </si>
  <si>
    <t>Excel Magic Trick #40: TEXT Function Formula: Dynamic Label</t>
  </si>
  <si>
    <t>TEXT function with custom number format and &amp; (ampersand) to make label</t>
  </si>
  <si>
    <t>All times before 02:00 PM</t>
  </si>
  <si>
    <t>The Criteria to match is 12/15/2010</t>
  </si>
  <si>
    <t>Your rate is 25.55%</t>
  </si>
  <si>
    <t>TEXT function with custom number format to check criteria</t>
  </si>
  <si>
    <t>How to Record a Macro</t>
  </si>
  <si>
    <t>Macro = VBA code</t>
  </si>
  <si>
    <t>Macros are great for repetitive tasks</t>
  </si>
  <si>
    <t>What file extension to use for Excel 2007: .xlsm</t>
  </si>
  <si>
    <t>How to show Developer Ribbon in Excel 2007</t>
  </si>
  <si>
    <t>Record Macro Button</t>
  </si>
  <si>
    <t>Alt + F11 opens VBA editor</t>
  </si>
  <si>
    <t>F4 shows Properties Window</t>
  </si>
  <si>
    <t>Alt, I, M Insert Module</t>
  </si>
  <si>
    <t>If Copy Code from Internet, paste into Module</t>
  </si>
  <si>
    <t>Alt + F8 opens List of Macros</t>
  </si>
  <si>
    <t>Relative &amp; Absolute button in the Developer Ribbon</t>
  </si>
  <si>
    <t>The fact that the Relative &amp; Absolute button governs selection movement when recording a Macro</t>
  </si>
  <si>
    <t>The fact that the cell references in Formulas created during a Recorded Macro are governed by the dollar signs</t>
  </si>
  <si>
    <t>When to record an Absolute Marco</t>
  </si>
  <si>
    <t>When to record an Relative Marco</t>
  </si>
  <si>
    <t>When to Record a Relative &amp; Absolute Macro</t>
  </si>
  <si>
    <t>How to create a formula during a recorded Macro that will pick up a variable number of cells</t>
  </si>
  <si>
    <t>How to trick the Absolute Macro into recording a Relative Movement using keyboard shortcuts</t>
  </si>
  <si>
    <t>A Macro for formatting a report and adding a column of formulas for a static range of data</t>
  </si>
  <si>
    <t>A Macro for taking data in columns and moving it to a row</t>
  </si>
  <si>
    <t>A Macro for formatting a report and adding a column of formulas for a variable range of data</t>
  </si>
  <si>
    <t>What is a Macro?</t>
  </si>
  <si>
    <t>Macro Means Code (Set of instructions) for common repetitive tasks.</t>
  </si>
  <si>
    <t>Code in Excel is called VBA (Visual Basic Application)</t>
  </si>
  <si>
    <t>You can write code by hand in Excel in the VBA editor (Alt + F11), but not in this class.</t>
  </si>
  <si>
    <t>Luckily there is a way to have Excel write code for you: Macro Recorder. A Macro Recorder is like a tape recorder recording a voice, except the Macro Recorder watches what you do in Excel and then writes code for you.</t>
  </si>
  <si>
    <t>In Excel 2007/2010, you must use the ".xlsm" extension in order to use Macros. You must also set the security level in the Code Group in the Developer Ribbon to "Disable all Macros with notification"; then each time you open the workbook, click the "Options" button that appears when you open the workbook, then click "Enable".</t>
  </si>
  <si>
    <t>In Excel 2003, the file extension .xls works with VBA or without VBA.</t>
  </si>
  <si>
    <t>Show Developer Ribbon, Orb (Office Button), Excel Options, Popular Tab of Left, check "Show Developer tab in Ribbon"</t>
  </si>
  <si>
    <t>Relative Macros record Relative Cell references and movement</t>
  </si>
  <si>
    <t>Absolute Macros record Absolute Cell references and movement</t>
  </si>
  <si>
    <t>The "Use Relative Reference" button in the Code Group in the Developer Ribbon (In Excel 2003, it is the on the "Stop Recording Macro" toolbar - to show it, right-click any toolbar, point to "Customize", click on the Toolbars tab, check the box for "Stop Recording"), The "Use Relative Reference" button is a toggle that toggles between Absolution and Relative References.  When the button is yellow/orange in color, the Marco is recording Relative Cell References in the Macro. When it is not yellow/orange, it is recording Absolute References.</t>
  </si>
  <si>
    <t>To turn on the Macro Recorder use the "Record Macro button in the Code group in the Developer Ribbon (or the Record Macro button on the left side of the Status Bar).</t>
  </si>
  <si>
    <t>Be sure to Turn off the Macro Recorder when you are done</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</si>
  <si>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</si>
  <si>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 (Excel 2003 "Unhide" is in the Windows menu).</t>
  </si>
  <si>
    <t>The VBA editor (Microsoft Visual Basic editor) is where you write code (Alt + F11)</t>
  </si>
  <si>
    <t>Use Alt + F8 to see list of Macros. You can select a Macro and then click the Edit button to see the code that the Macro recorder recorded.</t>
  </si>
  <si>
    <t>In the VBA editor:
Left side shows: 1) "Project Explorer" (Ctrl + R), which sows objects such as Workbook, Worksheets and Modules (Macros). 2) Properties (F4 key)</t>
  </si>
  <si>
    <t>If you copy code from internet, when you are in VBA editor, Alt I + M, name Macro, Paste Code on right side, go  back to Excel, Alt + F8 to open Macro List, Select Macro, click Options, assign keyboard shortcut</t>
  </si>
  <si>
    <t>Temp (F)</t>
  </si>
  <si>
    <t>Absolute Macro because the table is the same size and is in the same cells every time</t>
  </si>
  <si>
    <t>In 2007, add Developer Ribbon: Alt + F + I, then check Developer Ribbon check box, In Excel 2010, Customize Ribbon to add (right-click Ribbon, Customize)</t>
  </si>
  <si>
    <t>The MACRO recorder is like a tape recorder: it will follow your actions in Excel and instead of recording the sound or visual of your actions, it writes the code that represents your actions.</t>
  </si>
  <si>
    <t>Recording an Absolute MACRO: 1) The Relative/Absolute recording button must be off; 2) The MACRO records your actions absolutely, that is to say when you click in the cell A1, it records cell A1, not a relative position.</t>
  </si>
  <si>
    <t>After you are done, click the Stop Recording button.</t>
  </si>
  <si>
    <t>Alt + F8 opens the list of MACROS. You can click the Options button to see or change your keyboard shortcut. Click the Edit button to see the code that the MACRO recorder wrote. After you have read the code, click the close button on the VBA editor window.</t>
  </si>
  <si>
    <t>Relative Macro Because each time we do something it needs to be a relative move.</t>
  </si>
  <si>
    <t>Recording an Relative MACRO: 1) The Relative/Absolute recording button must be on; 2) The MACRO records your actions relatively that is to say when you click in the cell 4 rows above, it will always click in the cell 4 above from the realative starting point.</t>
  </si>
  <si>
    <t>Phone</t>
  </si>
  <si>
    <t>Steve</t>
  </si>
  <si>
    <t>14 17th St.</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</si>
  <si>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</si>
  <si>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</si>
  <si>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</si>
  <si>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</si>
  <si>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</si>
  <si>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</si>
  <si>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</si>
  <si>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</si>
  <si>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</si>
  <si>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</si>
  <si>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</si>
  <si>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</si>
  <si>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</si>
  <si>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</si>
  <si>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</si>
  <si>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</si>
  <si>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</si>
  <si>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</si>
  <si>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</si>
  <si>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</si>
  <si>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</si>
  <si>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</si>
  <si>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</si>
  <si>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</si>
  <si>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</si>
  <si>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</si>
  <si>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</si>
  <si>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</si>
  <si>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</si>
  <si>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</si>
  <si>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</si>
  <si>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3 16th St.</t>
  </si>
  <si>
    <t>206-599-3338</t>
  </si>
  <si>
    <t>Dap</t>
  </si>
  <si>
    <t>5 19th St.</t>
  </si>
  <si>
    <t>206-679-1485</t>
  </si>
  <si>
    <t>Gupis</t>
  </si>
  <si>
    <t>6 17th St.</t>
  </si>
  <si>
    <t>206-609-1507</t>
  </si>
  <si>
    <t>Summi</t>
  </si>
  <si>
    <t>4 14th St.</t>
  </si>
  <si>
    <t>206-733-4318</t>
  </si>
  <si>
    <t>Fun</t>
  </si>
  <si>
    <t>7 15th St.</t>
  </si>
  <si>
    <t>206-691-7629</t>
  </si>
  <si>
    <t>In 2007, add Developer Ribbon: Alt + F + I, then check Developer Ribbon check box</t>
  </si>
  <si>
    <t>Relative &amp; Absolute Macro because the table is different sizes each  time, and sometimes we are moving relatively and sometimes absolutely.</t>
  </si>
  <si>
    <t>Year</t>
  </si>
  <si>
    <t>Hours Worked</t>
  </si>
  <si>
    <t>Wage</t>
  </si>
  <si>
    <t>Gross Pay</t>
  </si>
  <si>
    <t>OR</t>
  </si>
  <si>
    <t>AND</t>
  </si>
  <si>
    <t>Extract Records</t>
  </si>
  <si>
    <t>Worksheet List</t>
  </si>
  <si>
    <t>Link</t>
  </si>
  <si>
    <t>Chapter 1</t>
  </si>
  <si>
    <t>Chapter 5</t>
  </si>
  <si>
    <t xml:space="preserve"> Functions(1):-</t>
  </si>
  <si>
    <t>Click here!</t>
  </si>
  <si>
    <t xml:space="preserve"> AVE:-</t>
  </si>
  <si>
    <t xml:space="preserve"> ST(2):-</t>
  </si>
  <si>
    <t xml:space="preserve"> AF(4):-</t>
  </si>
  <si>
    <t>Chapter 8</t>
  </si>
  <si>
    <t xml:space="preserve"> Setup:-</t>
  </si>
  <si>
    <t xml:space="preserve"> Formula(1):-</t>
  </si>
  <si>
    <t xml:space="preserve"> Functions(2):-</t>
  </si>
  <si>
    <t xml:space="preserve"> MED:-</t>
  </si>
  <si>
    <t xml:space="preserve"> ST PT C:-</t>
  </si>
  <si>
    <t xml:space="preserve"> AF(5):-</t>
  </si>
  <si>
    <t xml:space="preserve"> CF(1):-</t>
  </si>
  <si>
    <t>Chapter 2</t>
  </si>
  <si>
    <t xml:space="preserve"> Formula(2):-</t>
  </si>
  <si>
    <t xml:space="preserve"> SUMPRODUCT:-</t>
  </si>
  <si>
    <t xml:space="preserve"> MODE:-</t>
  </si>
  <si>
    <t xml:space="preserve"> PTData:-</t>
  </si>
  <si>
    <t xml:space="preserve"> AF(6):-</t>
  </si>
  <si>
    <t xml:space="preserve"> CF(2):-</t>
  </si>
  <si>
    <t xml:space="preserve"> KeyB:-</t>
  </si>
  <si>
    <t xml:space="preserve"> MathOperators:-</t>
  </si>
  <si>
    <t xml:space="preserve"> SP(2):-</t>
  </si>
  <si>
    <t xml:space="preserve"> RANK:-</t>
  </si>
  <si>
    <t xml:space="preserve"> FormulaS:-</t>
  </si>
  <si>
    <t xml:space="preserve"> AF(7):-</t>
  </si>
  <si>
    <t xml:space="preserve"> Logical:-</t>
  </si>
  <si>
    <t xml:space="preserve"> KeyB(2):-</t>
  </si>
  <si>
    <t xml:space="preserve"> OrderOfOperations:-</t>
  </si>
  <si>
    <t xml:space="preserve"> IF(1):-</t>
  </si>
  <si>
    <t xml:space="preserve"> GS:-</t>
  </si>
  <si>
    <t xml:space="preserve"> PTData (2):-</t>
  </si>
  <si>
    <t xml:space="preserve"> Extract:-</t>
  </si>
  <si>
    <t xml:space="preserve"> CF(3):-</t>
  </si>
  <si>
    <t xml:space="preserve"> KeyB(3):-</t>
  </si>
  <si>
    <t xml:space="preserve"> OOO:-</t>
  </si>
  <si>
    <t xml:space="preserve"> IF(2):-</t>
  </si>
  <si>
    <t xml:space="preserve"> Array(1):-</t>
  </si>
  <si>
    <t xml:space="preserve"> PTData (3):-</t>
  </si>
  <si>
    <t xml:space="preserve"> AF(8):-</t>
  </si>
  <si>
    <t xml:space="preserve"> CF(4):-</t>
  </si>
  <si>
    <t>Chapter 3</t>
  </si>
  <si>
    <t xml:space="preserve"> 3WaysToGetCR:-</t>
  </si>
  <si>
    <t xml:space="preserve"> IF(3):-</t>
  </si>
  <si>
    <t xml:space="preserve"> Array(2):-</t>
  </si>
  <si>
    <t xml:space="preserve"> PTData (4):-</t>
  </si>
  <si>
    <t xml:space="preserve"> TTC(1):-</t>
  </si>
  <si>
    <t xml:space="preserve"> CF(5):-</t>
  </si>
  <si>
    <t xml:space="preserve"> SUMIFS:-</t>
  </si>
  <si>
    <t xml:space="preserve"> CR(1):-</t>
  </si>
  <si>
    <t xml:space="preserve"> IF(4):-</t>
  </si>
  <si>
    <t xml:space="preserve"> Array(3):-</t>
  </si>
  <si>
    <t xml:space="preserve"> Visualize:-</t>
  </si>
  <si>
    <t xml:space="preserve"> TTC2:-</t>
  </si>
  <si>
    <t xml:space="preserve"> CF(6):-</t>
  </si>
  <si>
    <t xml:space="preserve"> PT:-</t>
  </si>
  <si>
    <t xml:space="preserve"> CR(2):-</t>
  </si>
  <si>
    <t xml:space="preserve"> IF(5):-</t>
  </si>
  <si>
    <t xml:space="preserve"> Array(4):-</t>
  </si>
  <si>
    <t xml:space="preserve"> PT(5):-</t>
  </si>
  <si>
    <t xml:space="preserve"> ID(1):-</t>
  </si>
  <si>
    <t xml:space="preserve"> F&amp;R&amp;GotTo:-</t>
  </si>
  <si>
    <t xml:space="preserve"> Tables:-</t>
  </si>
  <si>
    <t xml:space="preserve"> CR(3):-</t>
  </si>
  <si>
    <t xml:space="preserve"> IF(6):-</t>
  </si>
  <si>
    <t xml:space="preserve"> Errors:-</t>
  </si>
  <si>
    <t xml:space="preserve"> PTData (5):-</t>
  </si>
  <si>
    <t xml:space="preserve"> ID(2):-</t>
  </si>
  <si>
    <t xml:space="preserve"> Decimals:-</t>
  </si>
  <si>
    <t xml:space="preserve"> CR(4):-</t>
  </si>
  <si>
    <t xml:space="preserve"> IF(7):-</t>
  </si>
  <si>
    <t>Chapter 6</t>
  </si>
  <si>
    <t xml:space="preserve"> PTData (6):-</t>
  </si>
  <si>
    <t xml:space="preserve"> ID(3):-</t>
  </si>
  <si>
    <t xml:space="preserve"> DateMath:-</t>
  </si>
  <si>
    <t xml:space="preserve"> CR(5):-</t>
  </si>
  <si>
    <t xml:space="preserve"> VLOOKUP(1):-</t>
  </si>
  <si>
    <t xml:space="preserve"> S(1):-</t>
  </si>
  <si>
    <t xml:space="preserve"> PTData (7):-</t>
  </si>
  <si>
    <t xml:space="preserve"> Ct(1):-</t>
  </si>
  <si>
    <t xml:space="preserve"> TimeMath:-</t>
  </si>
  <si>
    <t xml:space="preserve"> CR(6):-</t>
  </si>
  <si>
    <t xml:space="preserve"> VLOOKUP(2):-</t>
  </si>
  <si>
    <t xml:space="preserve"> S(2):-</t>
  </si>
  <si>
    <t xml:space="preserve"> PTData (8):-</t>
  </si>
  <si>
    <t xml:space="preserve"> Ct(3):-</t>
  </si>
  <si>
    <t xml:space="preserve"> Percentage(1):-</t>
  </si>
  <si>
    <t xml:space="preserve"> CR(7):-</t>
  </si>
  <si>
    <t xml:space="preserve"> V(3):-</t>
  </si>
  <si>
    <t xml:space="preserve"> S(3):-</t>
  </si>
  <si>
    <t xml:space="preserve"> PT(11):-</t>
  </si>
  <si>
    <t>Chapter 7</t>
  </si>
  <si>
    <t xml:space="preserve"> Percentage(2):-</t>
  </si>
  <si>
    <t xml:space="preserve"> Assumption:-</t>
  </si>
  <si>
    <t xml:space="preserve"> V(4):-</t>
  </si>
  <si>
    <t xml:space="preserve"> S(4):-</t>
  </si>
  <si>
    <t xml:space="preserve"> PTData (9):-</t>
  </si>
  <si>
    <t xml:space="preserve"> C(1):-</t>
  </si>
  <si>
    <t xml:space="preserve"> Align(1):-</t>
  </si>
  <si>
    <t xml:space="preserve"> Scenarios:-</t>
  </si>
  <si>
    <t xml:space="preserve"> V(5):-</t>
  </si>
  <si>
    <t xml:space="preserve"> S(5):-</t>
  </si>
  <si>
    <t xml:space="preserve"> Filter:-</t>
  </si>
  <si>
    <t xml:space="preserve"> C(2):-</t>
  </si>
  <si>
    <t xml:space="preserve"> Align(2):-</t>
  </si>
  <si>
    <t xml:space="preserve"> CR(8):-</t>
  </si>
  <si>
    <t xml:space="preserve"> CTable:-</t>
  </si>
  <si>
    <t xml:space="preserve"> S(6):-</t>
  </si>
  <si>
    <t xml:space="preserve"> PFilter:-</t>
  </si>
  <si>
    <t xml:space="preserve"> C(3):-</t>
  </si>
  <si>
    <t xml:space="preserve"> Align(3):-</t>
  </si>
  <si>
    <t xml:space="preserve"> CAR:-</t>
  </si>
  <si>
    <t xml:space="preserve"> 2wl:-</t>
  </si>
  <si>
    <t xml:space="preserve"> S(7):-</t>
  </si>
  <si>
    <t xml:space="preserve"> FilterC:-</t>
  </si>
  <si>
    <t xml:space="preserve"> C(4):-</t>
  </si>
  <si>
    <t>Chapter 4</t>
  </si>
  <si>
    <t xml:space="preserve"> CR(9):-</t>
  </si>
  <si>
    <t xml:space="preserve"> MasterList:-</t>
  </si>
  <si>
    <t xml:space="preserve"> S(8):-</t>
  </si>
  <si>
    <t xml:space="preserve"> FilterT:-</t>
  </si>
  <si>
    <t xml:space="preserve"> C(5):-</t>
  </si>
  <si>
    <t xml:space="preserve"> Store 1:-</t>
  </si>
  <si>
    <t xml:space="preserve"> Corp:-</t>
  </si>
  <si>
    <t xml:space="preserve"> I(1):-</t>
  </si>
  <si>
    <t xml:space="preserve"> S(9):-</t>
  </si>
  <si>
    <t xml:space="preserve"> FilterD:-</t>
  </si>
  <si>
    <t xml:space="preserve"> C(6):-</t>
  </si>
  <si>
    <t xml:space="preserve"> Store 2:-</t>
  </si>
  <si>
    <t xml:space="preserve"> Oak:-</t>
  </si>
  <si>
    <t xml:space="preserve"> I(2):-</t>
  </si>
  <si>
    <t xml:space="preserve"> S(10):-</t>
  </si>
  <si>
    <t xml:space="preserve"> FilterSales:-</t>
  </si>
  <si>
    <t xml:space="preserve"> C(7):-</t>
  </si>
  <si>
    <t xml:space="preserve"> Jones - Amortization Table:-</t>
  </si>
  <si>
    <t xml:space="preserve"> Sea:-</t>
  </si>
  <si>
    <t xml:space="preserve"> I(3):-</t>
  </si>
  <si>
    <t xml:space="preserve"> S(11):-</t>
  </si>
  <si>
    <t xml:space="preserve"> AF(1):-</t>
  </si>
  <si>
    <t xml:space="preserve"> C(8):-</t>
  </si>
  <si>
    <t xml:space="preserve"> Styles(1):-</t>
  </si>
  <si>
    <t xml:space="preserve"> Tac:-</t>
  </si>
  <si>
    <t xml:space="preserve"> ROUND:-</t>
  </si>
  <si>
    <t xml:space="preserve"> ST(1):-</t>
  </si>
  <si>
    <t xml:space="preserve"> AF(2):-</t>
  </si>
  <si>
    <t xml:space="preserve"> C(9):-</t>
  </si>
  <si>
    <t xml:space="preserve"> Styles(2):-</t>
  </si>
  <si>
    <t xml:space="preserve"> Ranges:-</t>
  </si>
  <si>
    <t xml:space="preserve"> ROUND information:-</t>
  </si>
  <si>
    <t xml:space="preserve"> STpaste:-</t>
  </si>
  <si>
    <t xml:space="preserve"> AF(3):-</t>
  </si>
  <si>
    <t>&lt;1200</t>
  </si>
  <si>
    <t>Source of Funds</t>
  </si>
  <si>
    <t>Running Total</t>
  </si>
  <si>
    <t>&lt;-- ctrl + c</t>
  </si>
  <si>
    <t>&lt;-- ctrl + v, ctrl + T</t>
  </si>
  <si>
    <t>&lt;-- Alt + = (SUM function)</t>
  </si>
  <si>
    <t>change , for ; in formulas with range and arguments</t>
  </si>
  <si>
    <t>Sum of UnitsSold</t>
  </si>
  <si>
    <t>shift + f11 &lt;-- for new tab</t>
  </si>
  <si>
    <t>&lt;--- ALT + N, V, T</t>
  </si>
  <si>
    <t>alt + f1 --&gt;&gt;</t>
  </si>
  <si>
    <t>&lt;-- ctrl + T</t>
  </si>
  <si>
    <t>&lt;-- Click in  E19 then press TAB ….. To create a new record in your table</t>
  </si>
  <si>
    <t>alt + = &lt;-- to SUM faster</t>
  </si>
  <si>
    <t>ten cuidado con los numeros mal formateados</t>
  </si>
  <si>
    <t>Due Date</t>
  </si>
  <si>
    <t>Today</t>
  </si>
  <si>
    <t>Days Past Due</t>
  </si>
  <si>
    <t>Recorda que en Argentina anotamos fechas asi 24/12/2009</t>
  </si>
  <si>
    <t>Recorda que en USA anotan fechas asi 12/24/2009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</si>
</sst>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44" formatCode="_-&quot;$&quot;\ * #,##0.00_-;\-&quot;$&quot;\ * #,##0.00_-;_-&quot;$&quot;\ * &quot;-&quot;??_-;_-@_-"/>
    <numFmt numFmtId="164" formatCode="&quot;$&quot;#,##0_);[Red]\(&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F400]h:mm:ss\ AM/PM"/>
    <numFmt numFmtId="170" formatCode="_(* #,##0_);_(* \(#,##0\);_(* &quot;-&quot;??_);_(@_)"/>
    <numFmt numFmtId="171" formatCode="#,##0.00;\-#,##0.00;"/>
    <numFmt numFmtId="172" formatCode="m/d/yy"/>
    <numFmt numFmtId="173" formatCode="0.000"/>
    <numFmt numFmtId="174" formatCode="&quot;$&quot;#,##0.00"/>
    <numFmt numFmtId="175" formatCode="0.0%"/>
    <numFmt numFmtId="176" formatCode="&quot;$&quot;#,##0.000_);[Red]\(&quot;$&quot;#,##0.000\)"/>
    <numFmt numFmtId="177" formatCode="0.000000000"/>
    <numFmt numFmtId="178" formatCode="&quot;$&quot;#,##0"/>
    <numFmt numFmtId="179" formatCode="ddd\,\ m/d/yy"/>
    <numFmt numFmtId="180" formatCode="&quot;$&quot;#,##0,"/>
    <numFmt numFmtId="181" formatCode="d\-mmm\-yyyy"/>
    <numFmt numFmtId="182" formatCode="0.0"/>
    <numFmt numFmtId="183" formatCode="_(&quot;$&quot;* #,##0_);_(&quot;$&quot;* \(#,##0\);_(&quot;$&quot;* &quot;-&quot;??_);_(@_)"/>
    <numFmt numFmtId="184" formatCode="mm/yyyy"/>
    <numFmt numFmtId="185" formatCode="####.#"/>
    <numFmt numFmtId="186" formatCode="00000"/>
    <numFmt numFmtId="187" formatCode="0.000000000000000"/>
    <numFmt numFmtId="188" formatCode="0.00?"/>
    <numFmt numFmtId="189" formatCode="0.00????"/>
    <numFmt numFmtId="190" formatCode=".#"/>
    <numFmt numFmtId="191" formatCode="#,###"/>
    <numFmt numFmtId="192" formatCode="#,,"/>
    <numFmt numFmtId="193" formatCode="&quot;$&quot;* 0.00"/>
    <numFmt numFmtId="194" formatCode="&quot;$&quot;*^0.0\1"/>
    <numFmt numFmtId="195" formatCode="_(&quot;$&quot;* ##,##0.00_);_(&quot;$&quot;* \(##,##0.00\);_(* &quot;-&quot;_);_(@_)"/>
    <numFmt numFmtId="196" formatCode="0.00&quot; Rad&quot;"/>
    <numFmt numFmtId="197" formatCode="&quot;surplus&quot;;&quot;deficit&quot;"/>
    <numFmt numFmtId="198" formatCode="_(&quot;$&quot;@_)"/>
    <numFmt numFmtId="199" formatCode="0.00;\-0.00;&quot;--&quot;;"/>
    <numFmt numFmtId="200" formatCode="_(* #,##0.00_);_(* \(#,##0.00\);_(* &quot;-&quot;??_);_(\^@_)"/>
    <numFmt numFmtId="201" formatCode="dddd"/>
    <numFmt numFmtId="202" formatCode="mmm\."/>
    <numFmt numFmtId="203" formatCode="yy"/>
    <numFmt numFmtId="204" formatCode="d"/>
    <numFmt numFmtId="205" formatCode="m"/>
    <numFmt numFmtId="206" formatCode="yyyy"/>
    <numFmt numFmtId="207" formatCode="hh:mm:ss\ AM/PM"/>
    <numFmt numFmtId="208" formatCode="[h]:mm"/>
    <numFmt numFmtId="209" formatCode="m/d;@"/>
    <numFmt numFmtId="210" formatCode="#\ ???/???"/>
    <numFmt numFmtId="218" formatCode="[$-2C0A]h:mm:ss\ AM/PM;@"/>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sz val="11"/>
      <color theme="1"/>
      <name val="Times New Roman"/>
      <family val="1"/>
    </font>
    <font>
      <b/>
      <sz val="14"/>
      <color theme="0"/>
      <name val="Calibri"/>
      <family val="2"/>
      <scheme val="minor"/>
    </font>
    <font>
      <b/>
      <sz val="11"/>
      <name val="Calibri"/>
      <family val="2"/>
      <scheme val="minor"/>
    </font>
    <font>
      <sz val="10"/>
      <color theme="0"/>
      <name val="Arial"/>
      <family val="2"/>
    </font>
    <font>
      <sz val="10"/>
      <color indexed="9"/>
      <name val="Arial"/>
      <family val="2"/>
    </font>
    <font>
      <sz val="12"/>
      <name val="Times New Roman"/>
      <family val="1"/>
    </font>
    <font>
      <sz val="12"/>
      <name val="Wingdings"/>
      <charset val="2"/>
    </font>
    <font>
      <sz val="11"/>
      <name val="Calibri"/>
      <family val="2"/>
      <scheme val="minor"/>
    </font>
    <font>
      <sz val="10"/>
      <name val="Arial"/>
      <family val="2"/>
    </font>
    <font>
      <sz val="20"/>
      <color theme="0"/>
      <name val="Calibri"/>
      <family val="2"/>
      <scheme val="minor"/>
    </font>
    <font>
      <b/>
      <sz val="14"/>
      <color theme="1"/>
      <name val="Calibri"/>
      <family val="2"/>
      <scheme val="minor"/>
    </font>
    <font>
      <sz val="14"/>
      <color theme="0"/>
      <name val="Calibri"/>
      <family val="2"/>
      <scheme val="minor"/>
    </font>
    <font>
      <b/>
      <sz val="11"/>
      <color rgb="FFFFFFFF"/>
      <name val="Calibri"/>
      <family val="2"/>
    </font>
    <font>
      <vertAlign val="subscript"/>
      <sz val="11"/>
      <color indexed="8"/>
      <name val="Calibri"/>
      <family val="2"/>
    </font>
    <font>
      <b/>
      <u/>
      <sz val="11"/>
      <color theme="1"/>
      <name val="Calibri"/>
      <family val="2"/>
      <scheme val="minor"/>
    </font>
    <font>
      <b/>
      <sz val="16"/>
      <color theme="1"/>
      <name val="Calibri"/>
      <family val="2"/>
      <scheme val="minor"/>
    </font>
    <font>
      <sz val="9"/>
      <color rgb="FF333333"/>
      <name val="Verdana"/>
      <family val="2"/>
    </font>
    <font>
      <sz val="14"/>
      <color theme="1"/>
      <name val="Calibri"/>
      <family val="2"/>
      <scheme val="minor"/>
    </font>
    <font>
      <sz val="20"/>
      <color theme="1"/>
      <name val="Calibri"/>
      <family val="2"/>
      <scheme val="minor"/>
    </font>
    <font>
      <b/>
      <sz val="22"/>
      <color theme="1"/>
      <name val="Calibri"/>
      <family val="2"/>
      <scheme val="minor"/>
    </font>
    <font>
      <sz val="18"/>
      <color theme="0"/>
      <name val="Calibri"/>
      <family val="2"/>
      <scheme val="minor"/>
    </font>
    <font>
      <sz val="12"/>
      <name val="Bookman Old Style"/>
      <family val="1"/>
    </font>
    <font>
      <b/>
      <sz val="10"/>
      <name val="Arial"/>
      <family val="2"/>
    </font>
    <font>
      <sz val="11"/>
      <color theme="0"/>
      <name val="Times New Roman"/>
      <family val="1"/>
    </font>
    <font>
      <sz val="11"/>
      <color rgb="FFFF0000"/>
      <name val="Calibri"/>
      <family val="2"/>
      <scheme val="minor"/>
    </font>
    <font>
      <b/>
      <sz val="10"/>
      <color theme="0"/>
      <name val="Arial"/>
      <family val="2"/>
    </font>
    <font>
      <sz val="18"/>
      <color theme="1"/>
      <name val="Calibri"/>
      <family val="2"/>
      <scheme val="minor"/>
    </font>
    <font>
      <u/>
      <sz val="11"/>
      <color theme="10"/>
      <name val="Calibri"/>
      <family val="2"/>
      <scheme val="minor"/>
    </font>
    <font>
      <b/>
      <sz val="16"/>
      <color indexed="53"/>
      <name val="Bell MT"/>
      <family val="1"/>
    </font>
    <font>
      <b/>
      <sz val="11"/>
      <color theme="0"/>
      <name val="Calibri"/>
      <family val="2"/>
    </font>
    <font>
      <b/>
      <sz val="12"/>
      <color theme="0"/>
      <name val="Century Schoolbook"/>
      <family val="1"/>
    </font>
    <font>
      <b/>
      <sz val="12"/>
      <color theme="1"/>
      <name val="Century Schoolbook"/>
      <family val="1"/>
    </font>
    <font>
      <b/>
      <sz val="11"/>
      <color rgb="FFFF0000"/>
      <name val="Century Schoolbook"/>
      <family val="1"/>
    </font>
  </fonts>
  <fills count="46">
    <fill>
      <patternFill patternType="none"/>
    </fill>
    <fill>
      <patternFill patternType="gray125"/>
    </fill>
    <fill>
      <patternFill patternType="solid">
        <fgColor rgb="FFFFFF99"/>
        <bgColor indexed="64"/>
      </patternFill>
    </fill>
    <fill>
      <patternFill patternType="solid">
        <fgColor rgb="FFFFC000"/>
        <bgColor indexed="64"/>
      </patternFill>
    </fill>
    <fill>
      <patternFill patternType="solid">
        <fgColor rgb="FFFF0000"/>
        <bgColor indexed="64"/>
      </patternFill>
    </fill>
    <fill>
      <patternFill patternType="solid">
        <fgColor rgb="FF002060"/>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rgb="FF0000FF"/>
        <bgColor indexed="64"/>
      </patternFill>
    </fill>
    <fill>
      <patternFill patternType="solid">
        <fgColor indexed="13"/>
        <bgColor indexed="64"/>
      </patternFill>
    </fill>
    <fill>
      <patternFill patternType="solid">
        <fgColor theme="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indexed="43"/>
        <bgColor indexed="64"/>
      </patternFill>
    </fill>
    <fill>
      <patternFill patternType="solid">
        <fgColor theme="8" tint="-0.249977111117893"/>
        <bgColor indexed="64"/>
      </patternFill>
    </fill>
    <fill>
      <patternFill patternType="solid">
        <fgColor rgb="FF760000"/>
        <bgColor indexed="64"/>
      </patternFill>
    </fill>
    <fill>
      <patternFill patternType="solid">
        <fgColor theme="3" tint="-0.249977111117893"/>
        <bgColor indexed="64"/>
      </patternFill>
    </fill>
    <fill>
      <patternFill patternType="solid">
        <fgColor rgb="FFEAEAEA"/>
        <bgColor indexed="64"/>
      </patternFill>
    </fill>
    <fill>
      <patternFill patternType="solid">
        <fgColor rgb="FF002060"/>
        <bgColor rgb="FF000000"/>
      </patternFill>
    </fill>
    <fill>
      <patternFill patternType="solid">
        <fgColor rgb="FF004274"/>
        <bgColor indexed="64"/>
      </patternFill>
    </fill>
    <fill>
      <patternFill patternType="solid">
        <fgColor rgb="FF000000"/>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0000"/>
        <bgColor rgb="FF000000"/>
      </patternFill>
    </fill>
    <fill>
      <patternFill patternType="solid">
        <fgColor rgb="FFFFFFCC"/>
        <bgColor indexed="64"/>
      </patternFill>
    </fill>
    <fill>
      <patternFill patternType="solid">
        <fgColor rgb="FF006600"/>
        <bgColor indexed="64"/>
      </patternFill>
    </fill>
    <fill>
      <patternFill patternType="solid">
        <fgColor rgb="FF008000"/>
        <bgColor indexed="64"/>
      </patternFill>
    </fill>
    <fill>
      <patternFill patternType="solid">
        <fgColor rgb="FF339933"/>
        <bgColor indexed="64"/>
      </patternFill>
    </fill>
    <fill>
      <patternFill patternType="solid">
        <fgColor rgb="FF99FF99"/>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92D050"/>
        <bgColor indexed="64"/>
      </patternFill>
    </fill>
    <fill>
      <patternFill patternType="solid">
        <fgColor rgb="FF00B050"/>
        <bgColor indexed="64"/>
      </patternFill>
    </fill>
    <fill>
      <patternFill patternType="solid">
        <fgColor rgb="FFCCFFFF"/>
        <bgColor indexed="64"/>
      </patternFill>
    </fill>
    <fill>
      <patternFill patternType="solid">
        <fgColor rgb="FFEEF3F8"/>
        <bgColor indexed="64"/>
      </patternFill>
    </fill>
    <fill>
      <patternFill patternType="solid">
        <fgColor indexed="12"/>
        <bgColor indexed="64"/>
      </patternFill>
    </fill>
    <fill>
      <patternFill patternType="solid">
        <fgColor theme="9" tint="0.79998168889431442"/>
        <bgColor indexed="64"/>
      </patternFill>
    </fill>
    <fill>
      <patternFill patternType="solid">
        <fgColor indexed="11"/>
        <bgColor indexed="64"/>
      </patternFill>
    </fill>
    <fill>
      <patternFill patternType="solid">
        <fgColor indexed="10"/>
        <bgColor indexed="64"/>
      </patternFill>
    </fill>
    <fill>
      <patternFill patternType="solid">
        <fgColor indexed="26"/>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theme="0"/>
      </left>
      <right style="thin">
        <color theme="0"/>
      </right>
      <top style="thin">
        <color theme="0"/>
      </top>
      <bottom style="thin">
        <color theme="0"/>
      </bottom>
      <diagonal/>
    </border>
    <border>
      <left/>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style="thick">
        <color indexed="64"/>
      </top>
      <bottom style="double">
        <color indexed="64"/>
      </bottom>
      <diagonal/>
    </border>
    <border>
      <left/>
      <right/>
      <top/>
      <bottom style="thin">
        <color indexed="64"/>
      </bottom>
      <diagonal/>
    </border>
    <border>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top style="thick">
        <color indexed="64"/>
      </top>
      <bottom style="double">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diagonal/>
    </border>
    <border>
      <left style="thick">
        <color indexed="53"/>
      </left>
      <right style="thick">
        <color indexed="53"/>
      </right>
      <top style="thick">
        <color indexed="53"/>
      </top>
      <bottom style="thick">
        <color indexed="53"/>
      </bottom>
      <diagonal/>
    </border>
    <border>
      <left/>
      <right/>
      <top/>
      <bottom style="thin">
        <color rgb="FFFF0000"/>
      </bottom>
      <diagonal/>
    </border>
  </borders>
  <cellStyleXfs count="32">
    <xf numFmtId="0" fontId="0" fillId="0" borderId="0"/>
    <xf numFmtId="168" fontId="1"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7" fillId="5" borderId="5" applyBorder="0">
      <alignment horizontal="centerContinuous" wrapText="1"/>
    </xf>
    <xf numFmtId="180" fontId="27" fillId="0" borderId="0"/>
    <xf numFmtId="181" fontId="28" fillId="0" borderId="0" applyFont="0" applyFill="0" applyBorder="0" applyProtection="0">
      <alignment horizontal="center"/>
    </xf>
    <xf numFmtId="0" fontId="14" fillId="0" borderId="0">
      <alignment wrapText="1"/>
    </xf>
    <xf numFmtId="0" fontId="10" fillId="41" borderId="1">
      <alignment wrapText="1"/>
    </xf>
    <xf numFmtId="0" fontId="14" fillId="0" borderId="0"/>
    <xf numFmtId="0" fontId="33" fillId="0" borderId="0" applyNumberFormat="0" applyFill="0" applyBorder="0" applyAlignment="0" applyProtection="0"/>
    <xf numFmtId="0" fontId="14" fillId="0" borderId="1"/>
    <xf numFmtId="0" fontId="14" fillId="0" borderId="1"/>
    <xf numFmtId="0" fontId="4" fillId="5" borderId="5" applyBorder="0">
      <alignment horizontal="centerContinuous" wrapText="1"/>
    </xf>
    <xf numFmtId="0" fontId="10" fillId="41" borderId="1">
      <alignment horizontal="centerContinuous" wrapText="1"/>
    </xf>
    <xf numFmtId="0" fontId="10" fillId="41" borderId="1">
      <alignment horizontal="centerContinuous" wrapText="1"/>
    </xf>
    <xf numFmtId="168" fontId="14" fillId="0" borderId="0" applyFont="0" applyFill="0" applyBorder="0" applyAlignment="0" applyProtection="0"/>
    <xf numFmtId="168" fontId="14" fillId="0" borderId="0" applyFont="0" applyFill="0" applyBorder="0" applyAlignment="0" applyProtection="0"/>
    <xf numFmtId="167" fontId="14" fillId="0" borderId="0" applyFont="0" applyFill="0" applyBorder="0" applyAlignment="0" applyProtection="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210" fontId="34" fillId="43" borderId="29">
      <alignment horizontal="left" indent="2"/>
    </xf>
    <xf numFmtId="0" fontId="14" fillId="44" borderId="1">
      <alignment horizontal="centerContinuous" wrapText="1"/>
    </xf>
    <xf numFmtId="0" fontId="14" fillId="44" borderId="0">
      <alignment horizontal="centerContinuous"/>
    </xf>
    <xf numFmtId="0" fontId="14" fillId="45" borderId="0" applyNumberFormat="0" applyFont="0" applyBorder="0" applyAlignment="0" applyProtection="0"/>
    <xf numFmtId="0" fontId="14" fillId="10" borderId="1">
      <alignment horizontal="centerContinuous" wrapText="1"/>
    </xf>
    <xf numFmtId="0" fontId="14" fillId="10" borderId="1">
      <alignment horizontal="centerContinuous" wrapText="1"/>
    </xf>
  </cellStyleXfs>
  <cellXfs count="452">
    <xf numFmtId="0" fontId="0" fillId="0" borderId="0" xfId="0"/>
    <xf numFmtId="0" fontId="0" fillId="2" borderId="1" xfId="0" applyFill="1" applyBorder="1"/>
    <xf numFmtId="0" fontId="0" fillId="2" borderId="2" xfId="0" applyFill="1" applyBorder="1"/>
    <xf numFmtId="0" fontId="0" fillId="3" borderId="1" xfId="0" applyFill="1" applyBorder="1"/>
    <xf numFmtId="0" fontId="0" fillId="2" borderId="3" xfId="0" applyFill="1" applyBorder="1"/>
    <xf numFmtId="0" fontId="2" fillId="5" borderId="1" xfId="0" applyFont="1" applyFill="1" applyBorder="1"/>
    <xf numFmtId="0" fontId="2" fillId="5" borderId="1" xfId="0" applyFont="1" applyFill="1" applyBorder="1" applyAlignment="1">
      <alignment wrapText="1"/>
    </xf>
    <xf numFmtId="14" fontId="0" fillId="0" borderId="1" xfId="0" applyNumberFormat="1" applyBorder="1"/>
    <xf numFmtId="0" fontId="0" fillId="0" borderId="1" xfId="0" applyBorder="1"/>
    <xf numFmtId="0" fontId="0" fillId="6" borderId="1" xfId="0" applyFill="1" applyBorder="1"/>
    <xf numFmtId="0" fontId="0" fillId="7" borderId="1" xfId="0" applyFill="1" applyBorder="1"/>
    <xf numFmtId="0" fontId="0" fillId="0" borderId="1" xfId="0" applyFill="1" applyBorder="1"/>
    <xf numFmtId="0" fontId="4" fillId="5" borderId="1" xfId="0" applyFont="1" applyFill="1" applyBorder="1" applyAlignment="1">
      <alignment wrapText="1"/>
    </xf>
    <xf numFmtId="14" fontId="0" fillId="0" borderId="0" xfId="0" applyNumberFormat="1"/>
    <xf numFmtId="0" fontId="3" fillId="0" borderId="1" xfId="0" applyFont="1" applyBorder="1"/>
    <xf numFmtId="1" fontId="0" fillId="0" borderId="0" xfId="0" applyNumberFormat="1"/>
    <xf numFmtId="14" fontId="0" fillId="7" borderId="1" xfId="0" applyNumberFormat="1" applyFill="1" applyBorder="1"/>
    <xf numFmtId="18" fontId="0" fillId="0" borderId="1" xfId="0" applyNumberFormat="1" applyBorder="1"/>
    <xf numFmtId="0" fontId="4" fillId="5" borderId="1" xfId="0" applyFont="1" applyFill="1" applyBorder="1"/>
    <xf numFmtId="169" fontId="0" fillId="0" borderId="1" xfId="0" applyNumberFormat="1" applyBorder="1"/>
    <xf numFmtId="0" fontId="0" fillId="7" borderId="1" xfId="0" applyNumberFormat="1" applyFill="1" applyBorder="1"/>
    <xf numFmtId="0" fontId="0" fillId="0" borderId="1" xfId="3" applyNumberFormat="1" applyFont="1" applyBorder="1"/>
    <xf numFmtId="166" fontId="0" fillId="0" borderId="1" xfId="0" applyNumberFormat="1" applyBorder="1"/>
    <xf numFmtId="166" fontId="0" fillId="7" borderId="1" xfId="0" applyNumberFormat="1" applyFill="1" applyBorder="1"/>
    <xf numFmtId="0" fontId="0" fillId="0" borderId="1" xfId="0" applyNumberFormat="1" applyBorder="1"/>
    <xf numFmtId="0" fontId="5" fillId="5" borderId="1" xfId="0" applyFont="1" applyFill="1" applyBorder="1"/>
    <xf numFmtId="0" fontId="3" fillId="0" borderId="0" xfId="0" applyFont="1" applyAlignment="1">
      <alignment wrapText="1"/>
    </xf>
    <xf numFmtId="0" fontId="3" fillId="0" borderId="0" xfId="0" applyFont="1"/>
    <xf numFmtId="49" fontId="0" fillId="0" borderId="0" xfId="0" applyNumberFormat="1"/>
    <xf numFmtId="14" fontId="0" fillId="0" borderId="0" xfId="0" quotePrefix="1" applyNumberFormat="1"/>
    <xf numFmtId="0" fontId="0" fillId="0" borderId="0" xfId="0" applyNumberFormat="1"/>
    <xf numFmtId="166" fontId="0" fillId="0" borderId="0" xfId="0" applyNumberFormat="1" applyAlignment="1">
      <alignment horizontal="left"/>
    </xf>
    <xf numFmtId="166" fontId="0" fillId="0" borderId="0" xfId="0" applyNumberFormat="1"/>
    <xf numFmtId="0" fontId="6" fillId="0" borderId="0" xfId="0" applyFont="1" applyAlignment="1">
      <alignment horizontal="left" vertical="center" indent="1"/>
    </xf>
    <xf numFmtId="0" fontId="7" fillId="5" borderId="1" xfId="0" applyFont="1" applyFill="1" applyBorder="1" applyAlignment="1">
      <alignment horizontal="centerContinuous" wrapText="1"/>
    </xf>
    <xf numFmtId="0" fontId="8" fillId="8" borderId="1" xfId="0" applyFont="1" applyFill="1" applyBorder="1"/>
    <xf numFmtId="170" fontId="0" fillId="0" borderId="1" xfId="1" applyNumberFormat="1" applyFont="1" applyBorder="1"/>
    <xf numFmtId="0" fontId="8" fillId="8" borderId="2" xfId="0" applyFont="1" applyFill="1" applyBorder="1"/>
    <xf numFmtId="170" fontId="0" fillId="0" borderId="2" xfId="1" applyNumberFormat="1" applyFont="1" applyBorder="1"/>
    <xf numFmtId="0" fontId="8" fillId="8" borderId="4" xfId="0" applyFont="1" applyFill="1" applyBorder="1"/>
    <xf numFmtId="170" fontId="0" fillId="0" borderId="4" xfId="1" applyNumberFormat="1" applyFont="1" applyBorder="1"/>
    <xf numFmtId="171" fontId="0" fillId="0" borderId="1" xfId="0" applyNumberFormat="1" applyBorder="1"/>
    <xf numFmtId="171" fontId="0" fillId="7" borderId="1" xfId="0" applyNumberFormat="1" applyFill="1" applyBorder="1"/>
    <xf numFmtId="172" fontId="0" fillId="0" borderId="0" xfId="0" applyNumberFormat="1"/>
    <xf numFmtId="0" fontId="3" fillId="0" borderId="1" xfId="0" applyFont="1" applyBorder="1" applyAlignment="1">
      <alignment wrapText="1"/>
    </xf>
    <xf numFmtId="0" fontId="0" fillId="2" borderId="5" xfId="0" applyFill="1" applyBorder="1" applyAlignment="1">
      <alignment horizontal="centerContinuous" wrapText="1"/>
    </xf>
    <xf numFmtId="0" fontId="0" fillId="2" borderId="6" xfId="0" applyFill="1" applyBorder="1" applyAlignment="1">
      <alignment horizontal="centerContinuous" wrapText="1"/>
    </xf>
    <xf numFmtId="49" fontId="0" fillId="0" borderId="1" xfId="0" applyNumberFormat="1" applyBorder="1"/>
    <xf numFmtId="0" fontId="2" fillId="5" borderId="1" xfId="0" applyFont="1" applyFill="1" applyBorder="1" applyAlignment="1">
      <alignment horizontal="centerContinuous" wrapText="1"/>
    </xf>
    <xf numFmtId="0" fontId="0" fillId="0" borderId="7" xfId="0" applyBorder="1"/>
    <xf numFmtId="0" fontId="0" fillId="0" borderId="6" xfId="0" applyBorder="1"/>
    <xf numFmtId="166" fontId="0" fillId="0" borderId="6" xfId="0" applyNumberFormat="1" applyBorder="1"/>
    <xf numFmtId="166" fontId="0" fillId="7" borderId="6" xfId="0" applyNumberFormat="1" applyFill="1" applyBorder="1"/>
    <xf numFmtId="0" fontId="3" fillId="0" borderId="1" xfId="0" applyFont="1" applyFill="1" applyBorder="1"/>
    <xf numFmtId="0" fontId="3" fillId="0" borderId="1" xfId="0" applyFont="1" applyFill="1" applyBorder="1" applyAlignment="1">
      <alignment wrapText="1"/>
    </xf>
    <xf numFmtId="0" fontId="0" fillId="7" borderId="1" xfId="0" applyFont="1" applyFill="1" applyBorder="1"/>
    <xf numFmtId="0" fontId="2" fillId="9" borderId="1" xfId="0" applyFont="1" applyFill="1" applyBorder="1"/>
    <xf numFmtId="0" fontId="2" fillId="9" borderId="1" xfId="0" applyFont="1" applyFill="1" applyBorder="1" applyAlignment="1">
      <alignment wrapText="1"/>
    </xf>
    <xf numFmtId="0" fontId="2" fillId="5" borderId="1" xfId="0" applyFont="1" applyFill="1" applyBorder="1" applyAlignment="1"/>
    <xf numFmtId="0" fontId="2" fillId="5" borderId="2" xfId="0" applyFont="1" applyFill="1" applyBorder="1" applyAlignment="1">
      <alignment horizontal="centerContinuous" wrapText="1"/>
    </xf>
    <xf numFmtId="0" fontId="0" fillId="6" borderId="5" xfId="0" applyFill="1" applyBorder="1"/>
    <xf numFmtId="0" fontId="0" fillId="6" borderId="8" xfId="0" applyFill="1" applyBorder="1"/>
    <xf numFmtId="0" fontId="0" fillId="6" borderId="6" xfId="0" applyFill="1" applyBorder="1"/>
    <xf numFmtId="0" fontId="9" fillId="5" borderId="1" xfId="0" applyFont="1" applyFill="1" applyBorder="1" applyAlignment="1">
      <alignment horizontal="centerContinuous" wrapText="1"/>
    </xf>
    <xf numFmtId="0" fontId="0" fillId="5" borderId="1" xfId="0" applyFill="1" applyBorder="1" applyAlignment="1">
      <alignment horizontal="centerContinuous" wrapText="1"/>
    </xf>
    <xf numFmtId="0" fontId="9" fillId="5" borderId="1" xfId="0" applyFont="1" applyFill="1" applyBorder="1"/>
    <xf numFmtId="164" fontId="0" fillId="0" borderId="1" xfId="0" applyNumberFormat="1" applyBorder="1"/>
    <xf numFmtId="174" fontId="0" fillId="7" borderId="1" xfId="0" applyNumberFormat="1" applyFill="1" applyBorder="1"/>
    <xf numFmtId="164" fontId="0" fillId="0" borderId="0" xfId="0" applyNumberFormat="1"/>
    <xf numFmtId="0" fontId="10" fillId="5" borderId="1" xfId="0" applyFont="1" applyFill="1" applyBorder="1"/>
    <xf numFmtId="0" fontId="11" fillId="0" borderId="1" xfId="0" applyFont="1" applyBorder="1"/>
    <xf numFmtId="0" fontId="11" fillId="10" borderId="1" xfId="0" applyFont="1" applyFill="1" applyBorder="1" applyAlignment="1">
      <alignment horizontal="left" indent="1"/>
    </xf>
    <xf numFmtId="0" fontId="0" fillId="0" borderId="1" xfId="0" applyBorder="1" applyAlignment="1">
      <alignment wrapText="1"/>
    </xf>
    <xf numFmtId="0" fontId="4" fillId="5" borderId="0" xfId="0" applyFont="1" applyFill="1"/>
    <xf numFmtId="0" fontId="0" fillId="7" borderId="1" xfId="0" applyFill="1" applyBorder="1" applyAlignment="1">
      <alignment wrapText="1"/>
    </xf>
    <xf numFmtId="172" fontId="0" fillId="0" borderId="1" xfId="0" applyNumberFormat="1" applyBorder="1"/>
    <xf numFmtId="164" fontId="0" fillId="7" borderId="1" xfId="0" applyNumberFormat="1" applyFill="1" applyBorder="1"/>
    <xf numFmtId="164" fontId="13" fillId="7" borderId="1" xfId="0" applyNumberFormat="1" applyFont="1" applyFill="1" applyBorder="1"/>
    <xf numFmtId="0" fontId="4" fillId="4" borderId="1" xfId="0" applyFont="1" applyFill="1" applyBorder="1"/>
    <xf numFmtId="175" fontId="0" fillId="0" borderId="1" xfId="3" applyNumberFormat="1" applyFont="1" applyBorder="1"/>
    <xf numFmtId="168" fontId="0" fillId="0" borderId="1" xfId="0" applyNumberFormat="1" applyFill="1" applyBorder="1"/>
    <xf numFmtId="168" fontId="0" fillId="7" borderId="1" xfId="0" applyNumberFormat="1" applyFill="1" applyBorder="1"/>
    <xf numFmtId="0" fontId="14" fillId="0" borderId="0" xfId="0" applyFont="1"/>
    <xf numFmtId="0" fontId="9" fillId="11" borderId="0" xfId="0" applyFont="1" applyFill="1" applyBorder="1" applyAlignment="1">
      <alignment horizontal="centerContinuous" wrapText="1"/>
    </xf>
    <xf numFmtId="0" fontId="9" fillId="5" borderId="1" xfId="0" applyFont="1" applyFill="1" applyBorder="1" applyAlignment="1"/>
    <xf numFmtId="9" fontId="9" fillId="5" borderId="1" xfId="0" applyNumberFormat="1" applyFont="1" applyFill="1" applyBorder="1"/>
    <xf numFmtId="0" fontId="9" fillId="5" borderId="1" xfId="0" applyFont="1" applyFill="1" applyBorder="1" applyAlignment="1">
      <alignment wrapText="1"/>
    </xf>
    <xf numFmtId="0" fontId="14" fillId="0" borderId="1" xfId="0" applyFont="1" applyBorder="1" applyAlignment="1">
      <alignment horizontal="left"/>
    </xf>
    <xf numFmtId="174" fontId="14" fillId="12" borderId="1" xfId="0" applyNumberFormat="1" applyFont="1" applyFill="1" applyBorder="1"/>
    <xf numFmtId="174" fontId="14" fillId="13" borderId="1" xfId="0" applyNumberFormat="1" applyFont="1" applyFill="1" applyBorder="1"/>
    <xf numFmtId="4" fontId="14" fillId="12" borderId="1" xfId="0" applyNumberFormat="1" applyFont="1" applyFill="1" applyBorder="1"/>
    <xf numFmtId="0" fontId="4" fillId="4" borderId="0" xfId="0" applyFont="1" applyFill="1" applyAlignment="1">
      <alignment horizontal="centerContinuous" wrapText="1"/>
    </xf>
    <xf numFmtId="0" fontId="0" fillId="0" borderId="0" xfId="0" applyFont="1"/>
    <xf numFmtId="0" fontId="14" fillId="0" borderId="1" xfId="0" applyFont="1" applyBorder="1" applyAlignment="1">
      <alignment wrapText="1"/>
    </xf>
    <xf numFmtId="9" fontId="14" fillId="0" borderId="1" xfId="0" applyNumberFormat="1" applyFont="1" applyBorder="1"/>
    <xf numFmtId="0" fontId="14" fillId="0" borderId="0" xfId="0" applyFont="1" applyBorder="1" applyAlignment="1"/>
    <xf numFmtId="175" fontId="14" fillId="0" borderId="1" xfId="0" applyNumberFormat="1" applyFont="1" applyBorder="1"/>
    <xf numFmtId="0" fontId="4" fillId="4" borderId="1" xfId="0" applyFont="1" applyFill="1" applyBorder="1" applyAlignment="1">
      <alignment horizontal="centerContinuous" wrapText="1"/>
    </xf>
    <xf numFmtId="176" fontId="0" fillId="7" borderId="1" xfId="0" applyNumberFormat="1" applyFill="1" applyBorder="1"/>
    <xf numFmtId="0" fontId="0" fillId="10" borderId="1" xfId="0" applyFill="1" applyBorder="1"/>
    <xf numFmtId="168" fontId="0" fillId="0" borderId="1" xfId="1" applyNumberFormat="1" applyFont="1" applyBorder="1"/>
    <xf numFmtId="0" fontId="0" fillId="14" borderId="1" xfId="0" applyFill="1" applyBorder="1" applyAlignment="1">
      <alignment wrapText="1"/>
    </xf>
    <xf numFmtId="173" fontId="0" fillId="0" borderId="1" xfId="0" applyNumberFormat="1" applyBorder="1"/>
    <xf numFmtId="0" fontId="0" fillId="10" borderId="1" xfId="0" applyFill="1" applyBorder="1" applyAlignment="1">
      <alignment horizontal="centerContinuous"/>
    </xf>
    <xf numFmtId="175" fontId="4" fillId="5" borderId="1" xfId="0" applyNumberFormat="1" applyFont="1" applyFill="1" applyBorder="1"/>
    <xf numFmtId="175" fontId="0" fillId="0" borderId="1" xfId="0" applyNumberFormat="1" applyBorder="1"/>
    <xf numFmtId="0" fontId="15" fillId="15" borderId="2" xfId="0" applyFont="1" applyFill="1" applyBorder="1" applyAlignment="1">
      <alignment horizontal="centerContinuous" wrapText="1"/>
    </xf>
    <xf numFmtId="0" fontId="15" fillId="15" borderId="0" xfId="0" applyFont="1" applyFill="1" applyAlignment="1">
      <alignment horizontal="centerContinuous" wrapText="1"/>
    </xf>
    <xf numFmtId="0" fontId="16" fillId="6" borderId="5" xfId="0" applyFont="1" applyFill="1" applyBorder="1" applyAlignment="1">
      <alignment horizontal="centerContinuous" wrapText="1"/>
    </xf>
    <xf numFmtId="0" fontId="0" fillId="6" borderId="9" xfId="0" applyFill="1" applyBorder="1" applyAlignment="1">
      <alignment horizontal="centerContinuous" wrapText="1"/>
    </xf>
    <xf numFmtId="0" fontId="0" fillId="6" borderId="10" xfId="0" applyFill="1" applyBorder="1" applyAlignment="1">
      <alignment horizontal="centerContinuous" wrapText="1"/>
    </xf>
    <xf numFmtId="0" fontId="0" fillId="0" borderId="11" xfId="0" applyBorder="1"/>
    <xf numFmtId="0" fontId="2" fillId="11" borderId="12" xfId="0" applyFont="1" applyFill="1" applyBorder="1"/>
    <xf numFmtId="0" fontId="0" fillId="7" borderId="7" xfId="0" applyFill="1" applyBorder="1"/>
    <xf numFmtId="0" fontId="0" fillId="7" borderId="3" xfId="0" applyFill="1" applyBorder="1"/>
    <xf numFmtId="0" fontId="0" fillId="7" borderId="6" xfId="0" applyFill="1" applyBorder="1"/>
    <xf numFmtId="14" fontId="0" fillId="0" borderId="1" xfId="0" applyNumberFormat="1" applyFont="1" applyFill="1" applyBorder="1"/>
    <xf numFmtId="0" fontId="0" fillId="0" borderId="1" xfId="0" applyFont="1" applyFill="1" applyBorder="1"/>
    <xf numFmtId="166" fontId="0" fillId="0" borderId="1" xfId="0" applyNumberFormat="1" applyFont="1" applyFill="1" applyBorder="1"/>
    <xf numFmtId="0" fontId="4" fillId="5" borderId="1" xfId="0" applyFont="1" applyFill="1" applyBorder="1" applyAlignment="1">
      <alignment horizontal="centerContinuous" wrapText="1"/>
    </xf>
    <xf numFmtId="0" fontId="3" fillId="6" borderId="1" xfId="0" applyFont="1" applyFill="1" applyBorder="1"/>
    <xf numFmtId="168" fontId="0" fillId="0" borderId="1" xfId="1" applyFont="1" applyBorder="1"/>
    <xf numFmtId="168" fontId="0" fillId="6" borderId="1" xfId="1" applyFont="1" applyFill="1" applyBorder="1"/>
    <xf numFmtId="168" fontId="0" fillId="7" borderId="1" xfId="1" applyFont="1" applyFill="1" applyBorder="1"/>
    <xf numFmtId="10" fontId="0" fillId="0" borderId="1" xfId="3" applyNumberFormat="1" applyFont="1" applyBorder="1"/>
    <xf numFmtId="0" fontId="0" fillId="0" borderId="13" xfId="0" applyBorder="1"/>
    <xf numFmtId="0" fontId="4" fillId="5" borderId="0" xfId="0" applyFont="1" applyFill="1" applyAlignment="1">
      <alignment wrapText="1"/>
    </xf>
    <xf numFmtId="0" fontId="17" fillId="16" borderId="1" xfId="0" applyFont="1" applyFill="1" applyBorder="1" applyAlignment="1">
      <alignment horizontal="centerContinuous" wrapText="1"/>
    </xf>
    <xf numFmtId="0" fontId="4" fillId="11" borderId="1" xfId="0" applyFont="1" applyFill="1" applyBorder="1"/>
    <xf numFmtId="0" fontId="4" fillId="17" borderId="1" xfId="0" applyFont="1" applyFill="1" applyBorder="1"/>
    <xf numFmtId="10" fontId="0" fillId="0" borderId="1" xfId="0" applyNumberFormat="1" applyBorder="1"/>
    <xf numFmtId="0" fontId="4" fillId="17" borderId="2" xfId="0" applyFont="1" applyFill="1" applyBorder="1" applyAlignment="1">
      <alignment wrapText="1"/>
    </xf>
    <xf numFmtId="0" fontId="4" fillId="17" borderId="2" xfId="0" applyFont="1" applyFill="1" applyBorder="1"/>
    <xf numFmtId="0" fontId="0" fillId="18" borderId="1" xfId="0" applyFill="1" applyBorder="1"/>
    <xf numFmtId="0" fontId="18" fillId="19" borderId="1" xfId="0" applyFont="1" applyFill="1" applyBorder="1"/>
    <xf numFmtId="0" fontId="3" fillId="0" borderId="3" xfId="0" applyFont="1" applyBorder="1"/>
    <xf numFmtId="0" fontId="0" fillId="0" borderId="14" xfId="0" applyFill="1" applyBorder="1"/>
    <xf numFmtId="164" fontId="0" fillId="0" borderId="2" xfId="0" applyNumberFormat="1" applyBorder="1"/>
    <xf numFmtId="164" fontId="0" fillId="0" borderId="15" xfId="0" applyNumberFormat="1" applyBorder="1"/>
    <xf numFmtId="0" fontId="0" fillId="6" borderId="1" xfId="0" applyFill="1" applyBorder="1" applyAlignment="1">
      <alignment wrapText="1"/>
    </xf>
    <xf numFmtId="0" fontId="4" fillId="4" borderId="1" xfId="0" applyFont="1" applyFill="1" applyBorder="1" applyAlignment="1">
      <alignment wrapText="1"/>
    </xf>
    <xf numFmtId="0" fontId="0" fillId="3" borderId="1" xfId="0" applyFill="1" applyBorder="1" applyAlignment="1">
      <alignment wrapText="1"/>
    </xf>
    <xf numFmtId="0" fontId="0" fillId="6" borderId="2" xfId="0" applyFill="1" applyBorder="1" applyAlignment="1">
      <alignment wrapText="1"/>
    </xf>
    <xf numFmtId="0" fontId="4" fillId="5" borderId="14" xfId="0" applyFont="1" applyFill="1" applyBorder="1" applyAlignment="1">
      <alignment wrapText="1"/>
    </xf>
    <xf numFmtId="166" fontId="0" fillId="7" borderId="1" xfId="0" applyNumberFormat="1" applyFill="1" applyBorder="1" applyAlignment="1">
      <alignment wrapText="1"/>
    </xf>
    <xf numFmtId="0" fontId="0" fillId="2" borderId="1" xfId="0" applyFill="1" applyBorder="1" applyAlignment="1">
      <alignment wrapText="1"/>
    </xf>
    <xf numFmtId="0" fontId="4" fillId="20" borderId="1" xfId="0" applyFont="1" applyFill="1" applyBorder="1" applyAlignment="1">
      <alignment wrapText="1"/>
    </xf>
    <xf numFmtId="0" fontId="4" fillId="20" borderId="1" xfId="0" applyFont="1" applyFill="1" applyBorder="1"/>
    <xf numFmtId="2" fontId="0" fillId="0" borderId="0" xfId="0" applyNumberFormat="1"/>
    <xf numFmtId="2" fontId="0" fillId="0" borderId="13" xfId="0" applyNumberFormat="1" applyBorder="1"/>
    <xf numFmtId="0" fontId="4" fillId="11" borderId="5" xfId="0" applyFont="1" applyFill="1" applyBorder="1" applyAlignment="1">
      <alignment horizontal="centerContinuous" wrapText="1"/>
    </xf>
    <xf numFmtId="0" fontId="4" fillId="21" borderId="5" xfId="0" applyFont="1" applyFill="1" applyBorder="1" applyAlignment="1">
      <alignment horizontal="centerContinuous" wrapText="1"/>
    </xf>
    <xf numFmtId="0" fontId="2" fillId="11" borderId="1" xfId="0" applyFont="1" applyFill="1" applyBorder="1"/>
    <xf numFmtId="0" fontId="0" fillId="22" borderId="1" xfId="0" applyFill="1" applyBorder="1"/>
    <xf numFmtId="164" fontId="0" fillId="22" borderId="1" xfId="0" applyNumberFormat="1" applyFill="1" applyBorder="1"/>
    <xf numFmtId="2" fontId="0" fillId="22" borderId="1" xfId="3" applyNumberFormat="1" applyFont="1" applyFill="1" applyBorder="1"/>
    <xf numFmtId="0" fontId="0" fillId="22" borderId="1" xfId="3" applyNumberFormat="1" applyFont="1" applyFill="1" applyBorder="1"/>
    <xf numFmtId="0" fontId="0" fillId="0" borderId="1" xfId="0" applyBorder="1" applyAlignment="1"/>
    <xf numFmtId="0" fontId="8" fillId="0" borderId="2" xfId="0" applyFont="1" applyFill="1" applyBorder="1" applyAlignment="1">
      <alignment wrapText="1"/>
    </xf>
    <xf numFmtId="0" fontId="3" fillId="0" borderId="2" xfId="0" applyFont="1" applyBorder="1" applyAlignment="1">
      <alignment wrapText="1"/>
    </xf>
    <xf numFmtId="0" fontId="8" fillId="0" borderId="5" xfId="0" applyFont="1" applyFill="1" applyBorder="1"/>
    <xf numFmtId="166" fontId="7" fillId="11" borderId="12" xfId="0" applyNumberFormat="1" applyFont="1" applyFill="1" applyBorder="1"/>
    <xf numFmtId="0" fontId="7" fillId="11" borderId="12" xfId="0" applyFont="1" applyFill="1" applyBorder="1"/>
    <xf numFmtId="0" fontId="0" fillId="2" borderId="1" xfId="0" applyFill="1" applyBorder="1" applyAlignment="1">
      <alignment horizontal="centerContinuous" wrapText="1"/>
    </xf>
    <xf numFmtId="164" fontId="0" fillId="0" borderId="1" xfId="0" applyNumberFormat="1" applyFill="1" applyBorder="1"/>
    <xf numFmtId="0" fontId="0" fillId="0" borderId="1" xfId="3" applyNumberFormat="1" applyFont="1" applyFill="1" applyBorder="1"/>
    <xf numFmtId="0" fontId="0" fillId="22" borderId="1" xfId="0" applyNumberFormat="1" applyFill="1" applyBorder="1"/>
    <xf numFmtId="0" fontId="4" fillId="21" borderId="1" xfId="0" applyFont="1" applyFill="1" applyBorder="1"/>
    <xf numFmtId="0" fontId="0" fillId="7" borderId="1" xfId="0" applyFill="1" applyBorder="1" applyAlignment="1">
      <alignment horizontal="left" indent="2"/>
    </xf>
    <xf numFmtId="166" fontId="0" fillId="7" borderId="1" xfId="0" applyNumberFormat="1" applyFill="1" applyBorder="1" applyAlignment="1"/>
    <xf numFmtId="0" fontId="21" fillId="0" borderId="1" xfId="0" applyFont="1" applyBorder="1"/>
    <xf numFmtId="0" fontId="0" fillId="7" borderId="1" xfId="0" applyFill="1" applyBorder="1" applyAlignment="1"/>
    <xf numFmtId="0" fontId="21" fillId="0" borderId="0" xfId="0" applyFont="1"/>
    <xf numFmtId="0" fontId="13" fillId="3" borderId="1" xfId="0" applyFont="1" applyFill="1" applyBorder="1"/>
    <xf numFmtId="0" fontId="22" fillId="0" borderId="1" xfId="0" applyFont="1" applyBorder="1" applyAlignment="1">
      <alignment horizontal="left" vertical="center"/>
    </xf>
    <xf numFmtId="0" fontId="22" fillId="0" borderId="0" xfId="0" applyFont="1"/>
    <xf numFmtId="0" fontId="4" fillId="21" borderId="1" xfId="0" applyFont="1" applyFill="1" applyBorder="1" applyAlignment="1">
      <alignment horizontal="centerContinuous" wrapText="1"/>
    </xf>
    <xf numFmtId="0" fontId="0" fillId="0" borderId="0" xfId="0" applyAlignment="1">
      <alignment horizontal="center" vertical="center" textRotation="180" wrapText="1"/>
    </xf>
    <xf numFmtId="9" fontId="2" fillId="5" borderId="1" xfId="0" applyNumberFormat="1" applyFont="1" applyFill="1" applyBorder="1"/>
    <xf numFmtId="175" fontId="0" fillId="7" borderId="1" xfId="3" applyNumberFormat="1" applyFont="1" applyFill="1" applyBorder="1"/>
    <xf numFmtId="0" fontId="8" fillId="2" borderId="1" xfId="0" applyFont="1" applyFill="1" applyBorder="1" applyAlignment="1">
      <alignment horizontal="centerContinuous" wrapText="1"/>
    </xf>
    <xf numFmtId="0" fontId="8" fillId="0" borderId="6" xfId="0" applyFont="1" applyFill="1" applyBorder="1"/>
    <xf numFmtId="0" fontId="8" fillId="0" borderId="1" xfId="0" applyFont="1" applyFill="1" applyBorder="1"/>
    <xf numFmtId="166" fontId="0" fillId="0" borderId="1" xfId="0" applyNumberFormat="1" applyFill="1" applyBorder="1"/>
    <xf numFmtId="0" fontId="0" fillId="0" borderId="1" xfId="0" applyFill="1" applyBorder="1" applyAlignment="1">
      <alignment wrapText="1"/>
    </xf>
    <xf numFmtId="0" fontId="8" fillId="0" borderId="1" xfId="0" applyFont="1" applyFill="1" applyBorder="1" applyAlignment="1">
      <alignment horizontal="center" vertical="center" textRotation="90" wrapText="1"/>
    </xf>
    <xf numFmtId="0" fontId="4" fillId="11" borderId="1" xfId="0" applyFont="1" applyFill="1" applyBorder="1" applyAlignment="1">
      <alignment horizontal="centerContinuous" wrapText="1"/>
    </xf>
    <xf numFmtId="0" fontId="3" fillId="6" borderId="1" xfId="0" applyFont="1" applyFill="1" applyBorder="1" applyAlignment="1">
      <alignment wrapText="1"/>
    </xf>
    <xf numFmtId="0" fontId="4" fillId="23" borderId="1" xfId="0" applyFont="1" applyFill="1" applyBorder="1"/>
    <xf numFmtId="0" fontId="4" fillId="23" borderId="1" xfId="0" applyFont="1" applyFill="1" applyBorder="1" applyAlignment="1">
      <alignment wrapText="1"/>
    </xf>
    <xf numFmtId="0" fontId="0" fillId="0" borderId="2" xfId="0" applyBorder="1"/>
    <xf numFmtId="166" fontId="0" fillId="0" borderId="2" xfId="0" applyNumberFormat="1" applyBorder="1"/>
    <xf numFmtId="166" fontId="0" fillId="7" borderId="2" xfId="0" applyNumberFormat="1" applyFill="1" applyBorder="1"/>
    <xf numFmtId="0" fontId="3" fillId="0" borderId="15" xfId="0" applyFont="1" applyBorder="1"/>
    <xf numFmtId="166" fontId="3" fillId="0" borderId="15" xfId="0" applyNumberFormat="1" applyFont="1" applyBorder="1"/>
    <xf numFmtId="166" fontId="3" fillId="2" borderId="15" xfId="0" applyNumberFormat="1" applyFont="1" applyFill="1" applyBorder="1"/>
    <xf numFmtId="0" fontId="0" fillId="2" borderId="17" xfId="0" applyFill="1" applyBorder="1" applyAlignment="1">
      <alignment wrapText="1"/>
    </xf>
    <xf numFmtId="166" fontId="0" fillId="0" borderId="0" xfId="0" applyNumberFormat="1" applyBorder="1"/>
    <xf numFmtId="0" fontId="0" fillId="2" borderId="18" xfId="0" applyFill="1" applyBorder="1"/>
    <xf numFmtId="0" fontId="0" fillId="2" borderId="17" xfId="0" applyFill="1" applyBorder="1" applyAlignment="1">
      <alignment horizontal="right"/>
    </xf>
    <xf numFmtId="166" fontId="3" fillId="2" borderId="19" xfId="0" applyNumberFormat="1" applyFont="1" applyFill="1" applyBorder="1"/>
    <xf numFmtId="0" fontId="4" fillId="11" borderId="8" xfId="0" applyFont="1" applyFill="1" applyBorder="1" applyAlignment="1">
      <alignment horizontal="centerContinuous" wrapText="1"/>
    </xf>
    <xf numFmtId="0" fontId="4" fillId="11" borderId="6" xfId="0" applyFont="1" applyFill="1" applyBorder="1" applyAlignment="1">
      <alignment horizontal="centerContinuous" wrapText="1"/>
    </xf>
    <xf numFmtId="0" fontId="0" fillId="2" borderId="8" xfId="0" applyFill="1" applyBorder="1" applyAlignment="1">
      <alignment horizontal="centerContinuous" wrapText="1"/>
    </xf>
    <xf numFmtId="0" fontId="8" fillId="0" borderId="5" xfId="0" applyFont="1" applyFill="1" applyBorder="1" applyAlignment="1">
      <alignment horizontal="centerContinuous" wrapText="1"/>
    </xf>
    <xf numFmtId="0" fontId="8" fillId="0" borderId="8" xfId="0" applyFont="1" applyFill="1" applyBorder="1" applyAlignment="1">
      <alignment horizontal="centerContinuous" wrapText="1"/>
    </xf>
    <xf numFmtId="0" fontId="8" fillId="0" borderId="6" xfId="0" applyFont="1" applyFill="1" applyBorder="1" applyAlignment="1">
      <alignment horizontal="centerContinuous" wrapText="1"/>
    </xf>
    <xf numFmtId="0" fontId="8" fillId="8" borderId="1" xfId="0" applyFont="1" applyFill="1" applyBorder="1" applyAlignment="1">
      <alignment wrapText="1"/>
    </xf>
    <xf numFmtId="0" fontId="8" fillId="8" borderId="5" xfId="0" applyFont="1" applyFill="1" applyBorder="1" applyAlignment="1">
      <alignment horizontal="centerContinuous" wrapText="1"/>
    </xf>
    <xf numFmtId="0" fontId="13" fillId="8" borderId="1" xfId="0" applyFont="1" applyFill="1" applyBorder="1" applyAlignment="1">
      <alignment horizontal="centerContinuous" wrapText="1"/>
    </xf>
    <xf numFmtId="0" fontId="13" fillId="0" borderId="1" xfId="0" applyFont="1" applyFill="1" applyBorder="1" applyAlignment="1">
      <alignment wrapText="1"/>
    </xf>
    <xf numFmtId="173" fontId="13" fillId="0" borderId="1" xfId="0" applyNumberFormat="1" applyFont="1" applyFill="1" applyBorder="1"/>
    <xf numFmtId="173" fontId="13" fillId="7" borderId="1" xfId="0" applyNumberFormat="1" applyFont="1" applyFill="1" applyBorder="1"/>
    <xf numFmtId="0" fontId="13" fillId="0" borderId="20" xfId="0" applyFont="1" applyFill="1" applyBorder="1"/>
    <xf numFmtId="0" fontId="13" fillId="0" borderId="5" xfId="0" applyFont="1" applyFill="1" applyBorder="1"/>
    <xf numFmtId="0" fontId="0" fillId="0" borderId="1" xfId="0" applyBorder="1" applyAlignment="1">
      <alignment horizontal="centerContinuous" wrapText="1"/>
    </xf>
    <xf numFmtId="0" fontId="0" fillId="2" borderId="3" xfId="0" applyFill="1" applyBorder="1" applyAlignment="1">
      <alignment wrapText="1"/>
    </xf>
    <xf numFmtId="0" fontId="0" fillId="0" borderId="0" xfId="0" applyBorder="1"/>
    <xf numFmtId="177" fontId="0" fillId="0" borderId="0" xfId="0" applyNumberFormat="1"/>
    <xf numFmtId="0" fontId="22" fillId="0" borderId="0" xfId="0" applyFont="1" applyAlignment="1">
      <alignment horizontal="left" vertical="center"/>
    </xf>
    <xf numFmtId="14" fontId="13" fillId="0" borderId="1" xfId="0" applyNumberFormat="1" applyFont="1" applyFill="1" applyBorder="1"/>
    <xf numFmtId="14" fontId="13" fillId="6" borderId="1" xfId="0" applyNumberFormat="1" applyFont="1" applyFill="1" applyBorder="1"/>
    <xf numFmtId="14" fontId="4" fillId="4" borderId="1" xfId="0" applyNumberFormat="1" applyFont="1" applyFill="1" applyBorder="1"/>
    <xf numFmtId="0" fontId="0" fillId="24" borderId="1" xfId="0" applyFill="1" applyBorder="1" applyAlignment="1">
      <alignment wrapText="1"/>
    </xf>
    <xf numFmtId="0" fontId="0" fillId="24" borderId="1" xfId="0" applyFill="1" applyBorder="1"/>
    <xf numFmtId="0" fontId="0" fillId="25" borderId="0" xfId="0" applyFill="1"/>
    <xf numFmtId="164" fontId="3" fillId="0" borderId="1" xfId="0" applyNumberFormat="1" applyFont="1" applyBorder="1"/>
    <xf numFmtId="0" fontId="0" fillId="0" borderId="0" xfId="0" applyAlignment="1">
      <alignment horizontal="left"/>
    </xf>
    <xf numFmtId="172" fontId="0" fillId="0" borderId="1" xfId="0" quotePrefix="1" applyNumberFormat="1" applyBorder="1"/>
    <xf numFmtId="0" fontId="17" fillId="5" borderId="1" xfId="0" applyFont="1" applyFill="1" applyBorder="1"/>
    <xf numFmtId="0" fontId="23" fillId="6" borderId="1" xfId="0" applyFont="1" applyFill="1" applyBorder="1" applyAlignment="1">
      <alignment wrapText="1"/>
    </xf>
    <xf numFmtId="0" fontId="24" fillId="0" borderId="0" xfId="0" applyFont="1"/>
    <xf numFmtId="0" fontId="0" fillId="11" borderId="0" xfId="0" applyFill="1"/>
    <xf numFmtId="0" fontId="25" fillId="0" borderId="0" xfId="0" applyFont="1"/>
    <xf numFmtId="0" fontId="0" fillId="26" borderId="21" xfId="0" applyFill="1" applyBorder="1"/>
    <xf numFmtId="0" fontId="0" fillId="26" borderId="22" xfId="0" applyFill="1" applyBorder="1"/>
    <xf numFmtId="0" fontId="0" fillId="26" borderId="23" xfId="0" applyFill="1" applyBorder="1"/>
    <xf numFmtId="0" fontId="25" fillId="0" borderId="0" xfId="0" applyFont="1" applyAlignment="1">
      <alignment vertical="center"/>
    </xf>
    <xf numFmtId="0" fontId="0" fillId="26" borderId="24" xfId="0" applyFill="1" applyBorder="1"/>
    <xf numFmtId="0" fontId="0" fillId="27" borderId="25" xfId="0" applyFill="1" applyBorder="1"/>
    <xf numFmtId="0" fontId="0" fillId="26" borderId="25" xfId="0" applyFill="1" applyBorder="1"/>
    <xf numFmtId="0" fontId="0" fillId="27" borderId="26" xfId="0" applyFill="1" applyBorder="1"/>
    <xf numFmtId="0" fontId="0" fillId="26" borderId="26" xfId="0" applyFill="1" applyBorder="1"/>
    <xf numFmtId="0" fontId="0" fillId="27" borderId="27" xfId="0" applyFill="1" applyBorder="1"/>
    <xf numFmtId="0" fontId="0" fillId="26" borderId="27" xfId="0" applyFill="1" applyBorder="1"/>
    <xf numFmtId="0" fontId="0" fillId="27" borderId="24" xfId="0" applyFill="1" applyBorder="1"/>
    <xf numFmtId="4" fontId="0" fillId="0" borderId="0" xfId="0" applyNumberFormat="1"/>
    <xf numFmtId="0" fontId="2" fillId="5" borderId="0" xfId="0" applyFont="1" applyFill="1"/>
    <xf numFmtId="0" fontId="13" fillId="0" borderId="1" xfId="0" applyFont="1" applyFill="1" applyBorder="1"/>
    <xf numFmtId="0" fontId="0" fillId="28" borderId="11" xfId="0" applyFont="1" applyFill="1" applyBorder="1"/>
    <xf numFmtId="0" fontId="2" fillId="4" borderId="5" xfId="0" applyFont="1" applyFill="1" applyBorder="1" applyAlignment="1">
      <alignment horizontal="centerContinuous" wrapText="1"/>
    </xf>
    <xf numFmtId="0" fontId="2" fillId="4" borderId="8" xfId="0" applyFont="1" applyFill="1" applyBorder="1" applyAlignment="1">
      <alignment horizontal="centerContinuous" wrapText="1"/>
    </xf>
    <xf numFmtId="0" fontId="2" fillId="4" borderId="6" xfId="0" applyFont="1" applyFill="1" applyBorder="1" applyAlignment="1">
      <alignment horizontal="centerContinuous" wrapText="1"/>
    </xf>
    <xf numFmtId="0" fontId="18" fillId="29" borderId="1" xfId="0" applyFont="1" applyFill="1" applyBorder="1"/>
    <xf numFmtId="0" fontId="2" fillId="5" borderId="5" xfId="0" applyFont="1" applyFill="1" applyBorder="1" applyAlignment="1">
      <alignment horizontal="centerContinuous" wrapText="1"/>
    </xf>
    <xf numFmtId="0" fontId="2" fillId="5" borderId="8" xfId="0" applyFont="1" applyFill="1" applyBorder="1" applyAlignment="1">
      <alignment horizontal="centerContinuous" wrapText="1"/>
    </xf>
    <xf numFmtId="0" fontId="2" fillId="5" borderId="6" xfId="0" applyFont="1" applyFill="1" applyBorder="1" applyAlignment="1">
      <alignment horizontal="centerContinuous" wrapText="1"/>
    </xf>
    <xf numFmtId="0" fontId="3" fillId="6" borderId="5" xfId="0" applyFont="1" applyFill="1" applyBorder="1" applyAlignment="1">
      <alignment horizontal="centerContinuous" wrapText="1"/>
    </xf>
    <xf numFmtId="0" fontId="3" fillId="6" borderId="8" xfId="0" applyFont="1" applyFill="1" applyBorder="1" applyAlignment="1">
      <alignment horizontal="centerContinuous" wrapText="1"/>
    </xf>
    <xf numFmtId="0" fontId="3" fillId="6" borderId="6" xfId="0" applyFont="1" applyFill="1" applyBorder="1" applyAlignment="1">
      <alignment horizontal="centerContinuous" wrapText="1"/>
    </xf>
    <xf numFmtId="0" fontId="2" fillId="4" borderId="1" xfId="0" applyFont="1" applyFill="1" applyBorder="1"/>
    <xf numFmtId="0" fontId="0" fillId="0" borderId="0" xfId="0" applyAlignment="1">
      <alignment vertical="center"/>
    </xf>
    <xf numFmtId="0" fontId="26" fillId="4" borderId="5" xfId="0" applyFont="1" applyFill="1" applyBorder="1" applyAlignment="1">
      <alignment horizontal="centerContinuous" wrapText="1"/>
    </xf>
    <xf numFmtId="0" fontId="26" fillId="4" borderId="8" xfId="0" applyFont="1" applyFill="1" applyBorder="1" applyAlignment="1">
      <alignment horizontal="centerContinuous" wrapText="1"/>
    </xf>
    <xf numFmtId="0" fontId="26" fillId="4" borderId="6" xfId="0" applyFont="1" applyFill="1" applyBorder="1" applyAlignment="1">
      <alignment horizontal="centerContinuous" wrapText="1"/>
    </xf>
    <xf numFmtId="176" fontId="0" fillId="0" borderId="1" xfId="0" applyNumberFormat="1" applyBorder="1"/>
    <xf numFmtId="173" fontId="0" fillId="0" borderId="0" xfId="0" applyNumberFormat="1"/>
    <xf numFmtId="0" fontId="0" fillId="30" borderId="11" xfId="0" applyFill="1" applyBorder="1" applyAlignment="1">
      <alignment horizontal="centerContinuous" wrapText="1"/>
    </xf>
    <xf numFmtId="0" fontId="0" fillId="30" borderId="10" xfId="0" applyFill="1" applyBorder="1" applyAlignment="1">
      <alignment horizontal="centerContinuous" wrapText="1"/>
    </xf>
    <xf numFmtId="14" fontId="0" fillId="0" borderId="3" xfId="0" applyNumberFormat="1" applyBorder="1"/>
    <xf numFmtId="166" fontId="0" fillId="0" borderId="3" xfId="0" applyNumberFormat="1" applyBorder="1"/>
    <xf numFmtId="0" fontId="0" fillId="0" borderId="0" xfId="0" applyAlignment="1">
      <alignment wrapText="1"/>
    </xf>
    <xf numFmtId="10" fontId="0" fillId="0" borderId="3" xfId="3" applyNumberFormat="1" applyFont="1" applyBorder="1"/>
    <xf numFmtId="0" fontId="2" fillId="5" borderId="0" xfId="0" applyFont="1" applyFill="1" applyAlignment="1">
      <alignment wrapText="1"/>
    </xf>
    <xf numFmtId="179" fontId="0" fillId="0" borderId="1" xfId="0" applyNumberFormat="1" applyBorder="1"/>
    <xf numFmtId="0" fontId="4" fillId="23" borderId="5" xfId="0" applyFont="1" applyFill="1" applyBorder="1" applyAlignment="1">
      <alignment horizontal="centerContinuous" wrapText="1"/>
    </xf>
    <xf numFmtId="0" fontId="4" fillId="23" borderId="8" xfId="0" applyFont="1" applyFill="1" applyBorder="1" applyAlignment="1">
      <alignment horizontal="centerContinuous" wrapText="1"/>
    </xf>
    <xf numFmtId="0" fontId="4" fillId="23" borderId="6" xfId="0" applyFont="1" applyFill="1" applyBorder="1" applyAlignment="1">
      <alignment horizontal="centerContinuous" wrapText="1"/>
    </xf>
    <xf numFmtId="170" fontId="1" fillId="0" borderId="1" xfId="1" applyNumberFormat="1" applyFont="1" applyBorder="1"/>
    <xf numFmtId="170" fontId="1" fillId="7" borderId="1" xfId="1" applyNumberFormat="1" applyFont="1" applyFill="1" applyBorder="1"/>
    <xf numFmtId="4" fontId="4" fillId="31" borderId="1" xfId="2" applyNumberFormat="1" applyFont="1" applyFill="1" applyBorder="1"/>
    <xf numFmtId="4" fontId="4" fillId="32" borderId="1" xfId="2" applyNumberFormat="1" applyFont="1" applyFill="1" applyBorder="1"/>
    <xf numFmtId="4" fontId="4" fillId="33" borderId="1" xfId="2" applyNumberFormat="1" applyFont="1" applyFill="1" applyBorder="1"/>
    <xf numFmtId="4" fontId="1" fillId="34" borderId="1" xfId="2" applyNumberFormat="1" applyFont="1" applyFill="1" applyBorder="1"/>
    <xf numFmtId="4" fontId="1" fillId="7" borderId="1" xfId="2" applyNumberFormat="1" applyFont="1" applyFill="1" applyBorder="1"/>
    <xf numFmtId="4" fontId="4" fillId="31" borderId="1" xfId="1" applyNumberFormat="1" applyFont="1" applyFill="1" applyBorder="1"/>
    <xf numFmtId="4" fontId="4" fillId="32" borderId="1" xfId="1" applyNumberFormat="1" applyFont="1" applyFill="1" applyBorder="1"/>
    <xf numFmtId="4" fontId="1" fillId="34" borderId="1" xfId="1" applyNumberFormat="1" applyFont="1" applyFill="1" applyBorder="1"/>
    <xf numFmtId="4" fontId="1" fillId="7" borderId="1" xfId="1" applyNumberFormat="1" applyFont="1" applyFill="1" applyBorder="1"/>
    <xf numFmtId="3" fontId="0" fillId="0" borderId="1" xfId="0" applyNumberFormat="1" applyBorder="1"/>
    <xf numFmtId="166" fontId="3" fillId="0" borderId="1" xfId="0" applyNumberFormat="1" applyFont="1" applyBorder="1"/>
    <xf numFmtId="0" fontId="0" fillId="6" borderId="5" xfId="0" applyFill="1" applyBorder="1" applyAlignment="1">
      <alignment horizontal="centerContinuous" wrapText="1"/>
    </xf>
    <xf numFmtId="0" fontId="0" fillId="6" borderId="6" xfId="0" applyFill="1" applyBorder="1" applyAlignment="1">
      <alignment horizontal="centerContinuous" wrapText="1"/>
    </xf>
    <xf numFmtId="0" fontId="4" fillId="4" borderId="5" xfId="0" applyFont="1" applyFill="1" applyBorder="1" applyAlignment="1">
      <alignment horizontal="centerContinuous" wrapText="1"/>
    </xf>
    <xf numFmtId="0" fontId="4" fillId="4" borderId="6" xfId="0" applyFont="1" applyFill="1" applyBorder="1" applyAlignment="1">
      <alignment horizontal="centerContinuous" wrapText="1"/>
    </xf>
    <xf numFmtId="2" fontId="0" fillId="0" borderId="1" xfId="0" applyNumberFormat="1" applyBorder="1"/>
    <xf numFmtId="2" fontId="0" fillId="7" borderId="1" xfId="0" applyNumberFormat="1" applyFill="1" applyBorder="1"/>
    <xf numFmtId="0" fontId="4" fillId="5" borderId="5" xfId="0" applyFont="1" applyFill="1" applyBorder="1" applyAlignment="1">
      <alignment horizontal="centerContinuous" wrapText="1"/>
    </xf>
    <xf numFmtId="0" fontId="4" fillId="5" borderId="6" xfId="0" applyFont="1" applyFill="1" applyBorder="1" applyAlignment="1">
      <alignment horizontal="centerContinuous" wrapText="1"/>
    </xf>
    <xf numFmtId="3" fontId="0" fillId="0" borderId="1" xfId="1" applyNumberFormat="1" applyFont="1" applyBorder="1"/>
    <xf numFmtId="178" fontId="0" fillId="0" borderId="1" xfId="1" applyNumberFormat="1" applyFont="1" applyBorder="1"/>
    <xf numFmtId="0" fontId="0" fillId="7" borderId="1" xfId="0" applyFill="1" applyBorder="1" applyAlignment="1">
      <alignment horizontal="left"/>
    </xf>
    <xf numFmtId="0" fontId="4" fillId="5" borderId="28" xfId="0" applyFont="1" applyFill="1" applyBorder="1" applyAlignment="1">
      <alignment wrapText="1"/>
    </xf>
    <xf numFmtId="168" fontId="0" fillId="0" borderId="0" xfId="0" applyNumberFormat="1"/>
    <xf numFmtId="170" fontId="0" fillId="7" borderId="1" xfId="0" applyNumberFormat="1" applyFill="1" applyBorder="1"/>
    <xf numFmtId="0" fontId="4" fillId="5" borderId="5" xfId="0" applyFont="1" applyFill="1" applyBorder="1" applyAlignment="1"/>
    <xf numFmtId="0" fontId="4" fillId="5" borderId="8" xfId="0" applyFont="1" applyFill="1" applyBorder="1" applyAlignment="1"/>
    <xf numFmtId="0" fontId="4" fillId="5" borderId="6" xfId="0" applyFont="1" applyFill="1" applyBorder="1" applyAlignment="1"/>
    <xf numFmtId="182" fontId="0" fillId="7" borderId="1" xfId="0" applyNumberFormat="1" applyFill="1" applyBorder="1"/>
    <xf numFmtId="0" fontId="0" fillId="0" borderId="11" xfId="0" applyFont="1" applyBorder="1"/>
    <xf numFmtId="0" fontId="0" fillId="0" borderId="0" xfId="0" pivotButton="1"/>
    <xf numFmtId="166" fontId="0" fillId="6" borderId="0" xfId="0" applyNumberFormat="1" applyFill="1" applyAlignment="1">
      <alignment horizontal="left"/>
    </xf>
    <xf numFmtId="0" fontId="0" fillId="6" borderId="0" xfId="0" applyNumberFormat="1" applyFill="1"/>
    <xf numFmtId="166" fontId="0" fillId="3" borderId="0" xfId="0" applyNumberFormat="1" applyFill="1" applyAlignment="1">
      <alignment horizontal="left"/>
    </xf>
    <xf numFmtId="0" fontId="0" fillId="3" borderId="0" xfId="0" applyNumberFormat="1" applyFill="1"/>
    <xf numFmtId="166" fontId="0" fillId="35" borderId="0" xfId="0" applyNumberFormat="1" applyFill="1" applyAlignment="1">
      <alignment horizontal="left"/>
    </xf>
    <xf numFmtId="0" fontId="0" fillId="35" borderId="0" xfId="0" applyNumberFormat="1" applyFill="1"/>
    <xf numFmtId="166" fontId="0" fillId="36" borderId="0" xfId="0" applyNumberFormat="1" applyFill="1" applyAlignment="1">
      <alignment horizontal="left"/>
    </xf>
    <xf numFmtId="0" fontId="0" fillId="36" borderId="0" xfId="0" applyNumberFormat="1" applyFill="1"/>
    <xf numFmtId="166" fontId="0" fillId="37" borderId="0" xfId="0" applyNumberFormat="1" applyFill="1" applyAlignment="1">
      <alignment horizontal="left"/>
    </xf>
    <xf numFmtId="0" fontId="0" fillId="37" borderId="0" xfId="0" applyNumberFormat="1" applyFill="1"/>
    <xf numFmtId="0" fontId="0" fillId="39" borderId="1" xfId="0" applyFill="1" applyBorder="1"/>
    <xf numFmtId="0" fontId="4" fillId="38" borderId="1" xfId="0" applyFont="1" applyFill="1" applyBorder="1"/>
    <xf numFmtId="165" fontId="0" fillId="0" borderId="1" xfId="1" applyNumberFormat="1" applyFont="1" applyBorder="1"/>
    <xf numFmtId="165" fontId="4" fillId="5" borderId="1" xfId="1" applyNumberFormat="1" applyFont="1" applyFill="1" applyBorder="1"/>
    <xf numFmtId="39" fontId="0" fillId="0" borderId="1" xfId="1" applyNumberFormat="1" applyFont="1" applyBorder="1"/>
    <xf numFmtId="39" fontId="4" fillId="5" borderId="1" xfId="1" applyNumberFormat="1" applyFont="1" applyFill="1" applyBorder="1"/>
    <xf numFmtId="165" fontId="0" fillId="6" borderId="1" xfId="1" applyNumberFormat="1" applyFont="1" applyFill="1" applyBorder="1"/>
    <xf numFmtId="165" fontId="4" fillId="38" borderId="1" xfId="1" applyNumberFormat="1" applyFont="1" applyFill="1" applyBorder="1"/>
    <xf numFmtId="183" fontId="0" fillId="0" borderId="0" xfId="2" applyNumberFormat="1" applyFont="1"/>
    <xf numFmtId="170" fontId="0" fillId="0" borderId="0" xfId="1" applyNumberFormat="1" applyFont="1"/>
    <xf numFmtId="9" fontId="0" fillId="0" borderId="0" xfId="3" applyFont="1"/>
    <xf numFmtId="0" fontId="2" fillId="5" borderId="11" xfId="0" applyFont="1" applyFill="1" applyBorder="1" applyAlignment="1">
      <alignment wrapText="1"/>
    </xf>
    <xf numFmtId="0" fontId="2" fillId="5" borderId="2" xfId="0" applyFont="1" applyFill="1" applyBorder="1" applyAlignment="1">
      <alignment wrapText="1"/>
    </xf>
    <xf numFmtId="0" fontId="0" fillId="28" borderId="2" xfId="0" applyFont="1" applyFill="1" applyBorder="1"/>
    <xf numFmtId="0" fontId="0" fillId="0" borderId="2" xfId="0" applyFont="1" applyBorder="1"/>
    <xf numFmtId="0" fontId="29" fillId="5" borderId="1" xfId="0" applyFont="1" applyFill="1" applyBorder="1"/>
    <xf numFmtId="0" fontId="3" fillId="0" borderId="1" xfId="0" applyNumberFormat="1" applyFont="1" applyBorder="1"/>
    <xf numFmtId="0" fontId="6" fillId="0" borderId="0" xfId="0" applyFont="1"/>
    <xf numFmtId="0" fontId="0" fillId="40" borderId="1" xfId="0" applyFill="1" applyBorder="1"/>
    <xf numFmtId="0" fontId="0" fillId="0" borderId="1" xfId="0" applyBorder="1" applyAlignment="1">
      <alignment vertical="center"/>
    </xf>
    <xf numFmtId="0" fontId="13" fillId="2" borderId="1" xfId="0" applyFont="1" applyFill="1" applyBorder="1"/>
    <xf numFmtId="0" fontId="0" fillId="30" borderId="1" xfId="0" applyFill="1" applyBorder="1" applyAlignment="1">
      <alignment horizontal="centerContinuous" wrapText="1"/>
    </xf>
    <xf numFmtId="0" fontId="4" fillId="5" borderId="5" xfId="0" applyFont="1" applyFill="1" applyBorder="1"/>
    <xf numFmtId="0" fontId="4" fillId="5" borderId="8" xfId="0" applyFont="1" applyFill="1" applyBorder="1"/>
    <xf numFmtId="0" fontId="4" fillId="5" borderId="6" xfId="0" applyFont="1" applyFill="1" applyBorder="1"/>
    <xf numFmtId="1" fontId="0" fillId="0" borderId="1" xfId="0" applyNumberFormat="1" applyFont="1" applyBorder="1" applyAlignment="1">
      <alignment wrapText="1"/>
    </xf>
    <xf numFmtId="1" fontId="0" fillId="0" borderId="1" xfId="0" applyNumberFormat="1" applyFont="1" applyBorder="1"/>
    <xf numFmtId="1" fontId="0" fillId="0" borderId="1" xfId="0" applyNumberFormat="1" applyFont="1" applyFill="1" applyBorder="1"/>
    <xf numFmtId="1" fontId="0" fillId="7" borderId="1" xfId="0" applyNumberFormat="1" applyFont="1" applyFill="1" applyBorder="1" applyAlignment="1">
      <alignment wrapText="1"/>
    </xf>
    <xf numFmtId="0" fontId="10" fillId="41" borderId="1" xfId="8" applyBorder="1">
      <alignment wrapText="1"/>
    </xf>
    <xf numFmtId="0" fontId="14" fillId="0" borderId="1" xfId="9" applyBorder="1"/>
    <xf numFmtId="0" fontId="14" fillId="0" borderId="1" xfId="9" applyBorder="1" applyAlignment="1">
      <alignment wrapText="1"/>
    </xf>
    <xf numFmtId="0" fontId="14" fillId="0" borderId="14" xfId="9" applyFill="1" applyBorder="1" applyAlignment="1">
      <alignment wrapText="1"/>
    </xf>
    <xf numFmtId="0" fontId="14" fillId="0" borderId="1" xfId="9" applyFill="1" applyBorder="1" applyAlignment="1">
      <alignment wrapText="1"/>
    </xf>
    <xf numFmtId="1" fontId="0" fillId="0" borderId="13" xfId="0" applyNumberFormat="1" applyBorder="1"/>
    <xf numFmtId="0" fontId="4" fillId="5" borderId="3" xfId="0" applyFont="1" applyFill="1" applyBorder="1"/>
    <xf numFmtId="0" fontId="0" fillId="0" borderId="0" xfId="0" applyFill="1" applyBorder="1"/>
    <xf numFmtId="0" fontId="0" fillId="0" borderId="0" xfId="0" applyAlignment="1">
      <alignment textRotation="180" wrapText="1"/>
    </xf>
    <xf numFmtId="0" fontId="30" fillId="4" borderId="1" xfId="0" applyFont="1" applyFill="1" applyBorder="1"/>
    <xf numFmtId="0" fontId="4" fillId="4" borderId="0" xfId="0" applyFont="1" applyFill="1"/>
    <xf numFmtId="0" fontId="0" fillId="0" borderId="0" xfId="0" applyFont="1" applyFill="1" applyBorder="1"/>
    <xf numFmtId="0" fontId="0" fillId="13" borderId="1" xfId="0" applyFill="1" applyBorder="1"/>
    <xf numFmtId="0" fontId="3" fillId="13" borderId="1" xfId="0" applyFont="1" applyFill="1" applyBorder="1"/>
    <xf numFmtId="0" fontId="2" fillId="5" borderId="3" xfId="0" applyFont="1" applyFill="1" applyBorder="1"/>
    <xf numFmtId="0" fontId="0" fillId="0" borderId="3" xfId="0" applyBorder="1"/>
    <xf numFmtId="184" fontId="0" fillId="0" borderId="1" xfId="0" applyNumberFormat="1" applyFill="1" applyBorder="1"/>
    <xf numFmtId="166" fontId="0" fillId="6" borderId="1" xfId="0" applyNumberFormat="1" applyFill="1" applyBorder="1"/>
    <xf numFmtId="166" fontId="0" fillId="3" borderId="1" xfId="0" applyNumberFormat="1" applyFill="1" applyBorder="1"/>
    <xf numFmtId="166" fontId="0" fillId="42" borderId="1" xfId="0" applyNumberFormat="1" applyFill="1" applyBorder="1"/>
    <xf numFmtId="166" fontId="0" fillId="13" borderId="1" xfId="0" applyNumberFormat="1" applyFill="1" applyBorder="1"/>
    <xf numFmtId="166" fontId="0" fillId="37" borderId="1" xfId="0" applyNumberFormat="1" applyFill="1" applyBorder="1"/>
    <xf numFmtId="0" fontId="31" fillId="5" borderId="1" xfId="0" applyFont="1" applyFill="1" applyBorder="1" applyAlignment="1">
      <alignment wrapText="1"/>
    </xf>
    <xf numFmtId="0" fontId="32" fillId="0" borderId="1" xfId="0" applyFont="1" applyBorder="1" applyAlignment="1">
      <alignment wrapText="1"/>
    </xf>
    <xf numFmtId="185" fontId="0" fillId="0" borderId="1" xfId="0" applyNumberFormat="1" applyBorder="1" applyAlignment="1">
      <alignment wrapText="1"/>
    </xf>
    <xf numFmtId="0" fontId="32" fillId="0" borderId="1" xfId="0" applyFont="1" applyBorder="1"/>
    <xf numFmtId="186" fontId="0" fillId="0" borderId="1" xfId="0" applyNumberFormat="1" applyBorder="1"/>
    <xf numFmtId="0" fontId="0" fillId="0" borderId="1" xfId="0" quotePrefix="1" applyBorder="1"/>
    <xf numFmtId="187" fontId="0" fillId="0" borderId="1" xfId="0" applyNumberFormat="1" applyBorder="1"/>
    <xf numFmtId="188" fontId="0" fillId="0" borderId="1" xfId="0" applyNumberFormat="1" applyBorder="1"/>
    <xf numFmtId="189" fontId="0" fillId="0" borderId="1" xfId="0" applyNumberFormat="1" applyBorder="1"/>
    <xf numFmtId="190" fontId="0" fillId="0" borderId="1" xfId="0" applyNumberFormat="1" applyBorder="1"/>
    <xf numFmtId="191" fontId="0" fillId="0" borderId="1" xfId="0" applyNumberFormat="1" applyBorder="1"/>
    <xf numFmtId="192" fontId="0" fillId="0" borderId="1" xfId="0" applyNumberFormat="1" applyBorder="1"/>
    <xf numFmtId="193" fontId="0" fillId="0" borderId="1" xfId="0" applyNumberFormat="1" applyBorder="1"/>
    <xf numFmtId="194" fontId="0" fillId="0" borderId="1" xfId="0" applyNumberFormat="1" applyBorder="1"/>
    <xf numFmtId="195" fontId="0" fillId="0" borderId="1" xfId="0" applyNumberFormat="1" applyBorder="1"/>
    <xf numFmtId="0" fontId="32" fillId="0" borderId="1" xfId="0" applyFont="1" applyFill="1" applyBorder="1"/>
    <xf numFmtId="196" fontId="0" fillId="0" borderId="1" xfId="0" applyNumberFormat="1" applyBorder="1"/>
    <xf numFmtId="197" fontId="0" fillId="0" borderId="1" xfId="0" applyNumberFormat="1" applyBorder="1"/>
    <xf numFmtId="198" fontId="0" fillId="0" borderId="1" xfId="0" applyNumberFormat="1" applyBorder="1"/>
    <xf numFmtId="199" fontId="0" fillId="0" borderId="1" xfId="0" applyNumberFormat="1" applyBorder="1"/>
    <xf numFmtId="200" fontId="1" fillId="0" borderId="1" xfId="1" applyNumberFormat="1" applyFont="1" applyBorder="1"/>
    <xf numFmtId="201" fontId="0" fillId="0" borderId="1" xfId="0" applyNumberFormat="1" applyBorder="1"/>
    <xf numFmtId="202" fontId="0" fillId="0" borderId="1" xfId="0" applyNumberFormat="1" applyBorder="1"/>
    <xf numFmtId="203" fontId="0" fillId="0" borderId="1" xfId="0" applyNumberFormat="1" applyBorder="1"/>
    <xf numFmtId="204" fontId="0" fillId="0" borderId="1" xfId="0" applyNumberFormat="1" applyBorder="1"/>
    <xf numFmtId="205" fontId="0" fillId="0" borderId="1" xfId="0" applyNumberFormat="1" applyBorder="1"/>
    <xf numFmtId="206" fontId="0" fillId="0" borderId="1" xfId="0" applyNumberFormat="1" applyBorder="1"/>
    <xf numFmtId="207" fontId="0" fillId="0" borderId="1" xfId="0" applyNumberFormat="1" applyBorder="1"/>
    <xf numFmtId="208" fontId="0" fillId="0" borderId="1" xfId="0" applyNumberFormat="1" applyBorder="1"/>
    <xf numFmtId="0" fontId="4" fillId="5" borderId="0" xfId="0" applyFont="1" applyFill="1" applyAlignment="1">
      <alignment horizontal="centerContinuous" wrapText="1"/>
    </xf>
    <xf numFmtId="0" fontId="13" fillId="2" borderId="1" xfId="0" applyFont="1" applyFill="1" applyBorder="1" applyAlignment="1">
      <alignment horizontal="centerContinuous" wrapText="1"/>
    </xf>
    <xf numFmtId="0" fontId="33" fillId="0" borderId="0" xfId="10" applyAlignment="1" applyProtection="1"/>
    <xf numFmtId="0" fontId="4" fillId="5" borderId="3" xfId="0" applyFont="1" applyFill="1" applyBorder="1" applyAlignment="1">
      <alignment horizontal="centerContinuous" wrapText="1"/>
    </xf>
    <xf numFmtId="0" fontId="1" fillId="0" borderId="1" xfId="3" applyNumberFormat="1" applyFont="1" applyBorder="1"/>
    <xf numFmtId="0" fontId="4" fillId="4" borderId="2" xfId="0" applyNumberFormat="1" applyFont="1" applyFill="1" applyBorder="1"/>
    <xf numFmtId="0" fontId="9" fillId="4" borderId="1" xfId="0" applyFont="1" applyFill="1" applyBorder="1" applyAlignment="1">
      <alignment horizontal="centerContinuous" wrapText="1"/>
    </xf>
    <xf numFmtId="0" fontId="14" fillId="0" borderId="0" xfId="9"/>
    <xf numFmtId="0" fontId="14" fillId="2" borderId="1" xfId="0" applyFont="1" applyFill="1" applyBorder="1" applyAlignment="1">
      <alignment horizontal="centerContinuous" wrapText="1"/>
    </xf>
    <xf numFmtId="0" fontId="14" fillId="2" borderId="1" xfId="9" applyFill="1" applyBorder="1"/>
    <xf numFmtId="0" fontId="14" fillId="2" borderId="1" xfId="9" applyFill="1" applyBorder="1" applyAlignment="1">
      <alignment horizontal="centerContinuous" wrapText="1"/>
    </xf>
    <xf numFmtId="16" fontId="0" fillId="0" borderId="0" xfId="0" applyNumberFormat="1"/>
    <xf numFmtId="169" fontId="0" fillId="0" borderId="0" xfId="0" applyNumberFormat="1"/>
    <xf numFmtId="0" fontId="14" fillId="2" borderId="1" xfId="9" applyFont="1" applyFill="1" applyBorder="1" applyAlignment="1">
      <alignment horizontal="centerContinuous" wrapText="1"/>
    </xf>
    <xf numFmtId="0" fontId="28" fillId="0" borderId="0" xfId="9" applyFont="1"/>
    <xf numFmtId="209" fontId="0" fillId="0" borderId="0" xfId="0" applyNumberFormat="1" applyBorder="1"/>
    <xf numFmtId="169" fontId="0" fillId="0" borderId="0" xfId="0" applyNumberFormat="1" applyBorder="1"/>
    <xf numFmtId="4" fontId="0" fillId="0" borderId="0" xfId="0" applyNumberFormat="1" applyBorder="1"/>
    <xf numFmtId="209" fontId="0" fillId="0" borderId="0" xfId="0" applyNumberFormat="1"/>
    <xf numFmtId="0" fontId="18" fillId="19" borderId="14" xfId="0" applyFont="1" applyFill="1" applyBorder="1"/>
    <xf numFmtId="0" fontId="35" fillId="29" borderId="28" xfId="0" applyFont="1" applyFill="1" applyBorder="1" applyAlignment="1">
      <alignment horizontal="centerContinuous" wrapText="1"/>
    </xf>
    <xf numFmtId="0" fontId="35" fillId="29" borderId="1" xfId="0" applyFont="1" applyFill="1" applyBorder="1" applyAlignment="1">
      <alignment horizontal="centerContinuous" wrapText="1"/>
    </xf>
    <xf numFmtId="0" fontId="36" fillId="11" borderId="0" xfId="0" applyFont="1" applyFill="1"/>
    <xf numFmtId="0" fontId="37" fillId="0" borderId="0" xfId="0" applyFont="1"/>
    <xf numFmtId="0" fontId="38" fillId="0" borderId="30" xfId="0" applyFont="1" applyBorder="1"/>
    <xf numFmtId="0" fontId="3" fillId="0" borderId="2" xfId="0" applyFont="1" applyBorder="1" applyAlignment="1">
      <alignment horizontal="center"/>
    </xf>
    <xf numFmtId="0" fontId="3" fillId="0" borderId="3" xfId="0" applyFont="1" applyBorder="1" applyAlignment="1">
      <alignment horizontal="center"/>
    </xf>
    <xf numFmtId="0" fontId="3" fillId="0" borderId="5" xfId="0" applyFont="1" applyBorder="1" applyAlignment="1">
      <alignment horizontal="center" wrapText="1"/>
    </xf>
    <xf numFmtId="0" fontId="3" fillId="0" borderId="6" xfId="0" applyFont="1" applyBorder="1" applyAlignment="1">
      <alignment horizontal="center" wrapText="1"/>
    </xf>
    <xf numFmtId="0" fontId="16" fillId="6" borderId="1" xfId="0" applyFont="1" applyFill="1" applyBorder="1" applyAlignment="1">
      <alignment horizontal="center" vertical="center" textRotation="90" wrapText="1"/>
    </xf>
    <xf numFmtId="0" fontId="16" fillId="6" borderId="5" xfId="0" applyFont="1" applyFill="1" applyBorder="1" applyAlignment="1">
      <alignment horizontal="center" vertical="center" textRotation="90" wrapText="1"/>
    </xf>
    <xf numFmtId="0" fontId="16" fillId="0" borderId="1" xfId="0" applyFont="1" applyBorder="1" applyAlignment="1">
      <alignment horizontal="center" textRotation="90" wrapText="1"/>
    </xf>
    <xf numFmtId="0" fontId="0" fillId="0" borderId="0" xfId="0" applyAlignment="1">
      <alignment horizontal="center" vertical="center" textRotation="180"/>
    </xf>
    <xf numFmtId="0" fontId="0" fillId="0" borderId="16" xfId="0" applyBorder="1" applyAlignment="1">
      <alignment horizontal="center" vertical="center" textRotation="180"/>
    </xf>
    <xf numFmtId="0" fontId="4" fillId="21" borderId="1" xfId="0" applyFont="1" applyFill="1" applyBorder="1" applyAlignment="1">
      <alignment horizontal="center" vertical="center" textRotation="90"/>
    </xf>
    <xf numFmtId="0" fontId="23" fillId="2" borderId="1" xfId="0" applyFont="1" applyFill="1" applyBorder="1" applyAlignment="1">
      <alignment horizontal="center" vertical="center" wrapText="1"/>
    </xf>
    <xf numFmtId="0" fontId="16" fillId="22" borderId="1" xfId="0" applyFont="1" applyFill="1" applyBorder="1" applyAlignment="1">
      <alignment horizontal="center"/>
    </xf>
    <xf numFmtId="0" fontId="16" fillId="22" borderId="1" xfId="0" applyFont="1" applyFill="1" applyBorder="1" applyAlignment="1">
      <alignment vertical="center" wrapText="1"/>
    </xf>
    <xf numFmtId="183" fontId="0" fillId="0" borderId="0" xfId="0" applyNumberFormat="1"/>
    <xf numFmtId="14" fontId="0" fillId="0" borderId="6" xfId="0" applyNumberFormat="1" applyBorder="1"/>
    <xf numFmtId="14" fontId="0" fillId="6" borderId="6" xfId="0" applyNumberFormat="1" applyFill="1" applyBorder="1"/>
    <xf numFmtId="0" fontId="4" fillId="5" borderId="7" xfId="0" applyFont="1" applyFill="1" applyBorder="1" applyAlignment="1">
      <alignment wrapText="1"/>
    </xf>
    <xf numFmtId="0" fontId="4" fillId="5" borderId="3" xfId="0" applyFont="1" applyFill="1" applyBorder="1" applyAlignment="1">
      <alignment wrapText="1"/>
    </xf>
    <xf numFmtId="0" fontId="4" fillId="5" borderId="20" xfId="0" applyFont="1" applyFill="1" applyBorder="1" applyAlignment="1">
      <alignment wrapText="1"/>
    </xf>
    <xf numFmtId="14" fontId="0" fillId="0" borderId="10" xfId="0" applyNumberFormat="1" applyBorder="1"/>
    <xf numFmtId="44" fontId="0" fillId="0" borderId="5" xfId="0" applyNumberFormat="1" applyBorder="1"/>
    <xf numFmtId="44" fontId="0" fillId="6" borderId="5" xfId="0" applyNumberFormat="1" applyFill="1" applyBorder="1"/>
    <xf numFmtId="44" fontId="0" fillId="0" borderId="11" xfId="0" applyNumberFormat="1" applyBorder="1"/>
    <xf numFmtId="173" fontId="0" fillId="7" borderId="1" xfId="0" applyNumberFormat="1" applyFill="1" applyBorder="1"/>
    <xf numFmtId="218" fontId="0" fillId="0" borderId="0" xfId="0" applyNumberFormat="1"/>
    <xf numFmtId="18" fontId="0" fillId="7" borderId="1" xfId="0" applyNumberFormat="1" applyFill="1" applyBorder="1"/>
  </cellXfs>
  <cellStyles count="32">
    <cellStyle name="AllBorders" xfId="11" xr:uid="{00000000-0005-0000-0000-000000000000}"/>
    <cellStyle name="b" xfId="12" xr:uid="{00000000-0005-0000-0000-000001000000}"/>
    <cellStyle name="blue" xfId="8" xr:uid="{00000000-0005-0000-0000-000002000000}"/>
    <cellStyle name="BlueCenter" xfId="13" xr:uid="{00000000-0005-0000-0000-000003000000}"/>
    <cellStyle name="bluecenteraccrossselection" xfId="14" xr:uid="{00000000-0005-0000-0000-000004000000}"/>
    <cellStyle name="bluecenteracrossselection" xfId="15" xr:uid="{00000000-0005-0000-0000-000005000000}"/>
    <cellStyle name="BlueTitle" xfId="4" xr:uid="{00000000-0005-0000-0000-000006000000}"/>
    <cellStyle name="Comma" xfId="1" builtinId="3"/>
    <cellStyle name="Comma 2" xfId="16" xr:uid="{00000000-0005-0000-0000-000008000000}"/>
    <cellStyle name="Comma 3" xfId="17" xr:uid="{00000000-0005-0000-0000-000009000000}"/>
    <cellStyle name="Currency" xfId="2" builtinId="4"/>
    <cellStyle name="Currency 2" xfId="18" xr:uid="{00000000-0005-0000-0000-00000B000000}"/>
    <cellStyle name="Currency Round to thousands" xfId="5" xr:uid="{00000000-0005-0000-0000-00000C000000}"/>
    <cellStyle name="Four-Digit Year" xfId="6" xr:uid="{00000000-0005-0000-0000-00000D000000}"/>
    <cellStyle name="Hyperlink" xfId="10" builtinId="8"/>
    <cellStyle name="Normal" xfId="0" builtinId="0"/>
    <cellStyle name="Normal 2" xfId="9" xr:uid="{00000000-0005-0000-0000-000010000000}"/>
    <cellStyle name="Normal 2 2" xfId="19" xr:uid="{00000000-0005-0000-0000-000011000000}"/>
    <cellStyle name="Normal 3" xfId="20" xr:uid="{00000000-0005-0000-0000-000012000000}"/>
    <cellStyle name="Normal 3 2" xfId="21" xr:uid="{00000000-0005-0000-0000-000013000000}"/>
    <cellStyle name="Normal 4" xfId="22" xr:uid="{00000000-0005-0000-0000-000014000000}"/>
    <cellStyle name="Percent" xfId="3" builtinId="5"/>
    <cellStyle name="Percent 2" xfId="23" xr:uid="{00000000-0005-0000-0000-000016000000}"/>
    <cellStyle name="Percent 3" xfId="24" xr:uid="{00000000-0005-0000-0000-000017000000}"/>
    <cellStyle name="r" xfId="25" xr:uid="{00000000-0005-0000-0000-000018000000}"/>
    <cellStyle name="Rad" xfId="26" xr:uid="{00000000-0005-0000-0000-000019000000}"/>
    <cellStyle name="redcenteraccrossselection" xfId="27" xr:uid="{00000000-0005-0000-0000-00001A000000}"/>
    <cellStyle name="redcenteracrossselection" xfId="28" xr:uid="{00000000-0005-0000-0000-00001B000000}"/>
    <cellStyle name="Wrap Text" xfId="7" xr:uid="{00000000-0005-0000-0000-00001C000000}"/>
    <cellStyle name="Yellow" xfId="29" xr:uid="{00000000-0005-0000-0000-00001D000000}"/>
    <cellStyle name="yellowcenteraccrossselection" xfId="30" xr:uid="{00000000-0005-0000-0000-00001E000000}"/>
    <cellStyle name="yellowcenteracrossselection" xfId="31" xr:uid="{00000000-0005-0000-0000-00001F000000}"/>
  </cellStyles>
  <dxfs count="57">
    <dxf>
      <numFmt numFmtId="34" formatCode="_-&quot;$&quot;\ * #,##0.00_-;\-&quot;$&quot;\ * #,##0.00_-;_-&quot;$&quot;\ * &quot;-&quot;??_-;_-@_-"/>
      <border diagonalUp="0" diagonalDown="0">
        <left style="thin">
          <color indexed="64"/>
        </left>
        <right/>
        <top style="thin">
          <color indexed="64"/>
        </top>
        <bottom style="thin">
          <color indexed="64"/>
        </bottom>
        <vertical/>
        <horizontal/>
      </border>
    </dxf>
    <dxf>
      <font>
        <color theme="0"/>
      </font>
      <fill>
        <patternFill>
          <bgColor rgb="FF002060"/>
        </patternFill>
      </fill>
    </dxf>
    <dxf>
      <font>
        <color theme="0"/>
      </font>
      <fill>
        <patternFill>
          <bgColor rgb="FFFF0000"/>
        </patternFill>
      </fill>
    </dxf>
    <dxf>
      <font>
        <b/>
        <i val="0"/>
      </font>
    </dxf>
    <dxf>
      <font>
        <b/>
        <i val="0"/>
      </font>
    </dxf>
    <dxf>
      <font>
        <b/>
        <i val="0"/>
      </font>
    </dxf>
    <dxf>
      <font>
        <b/>
        <i val="0"/>
      </font>
    </dxf>
    <dxf>
      <font>
        <color rgb="FF9C0006"/>
      </font>
      <fill>
        <patternFill>
          <bgColor rgb="FFFFC7CE"/>
        </patternFill>
      </fill>
    </dxf>
    <dxf>
      <font>
        <b/>
        <i val="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theme="0"/>
      </font>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ont>
        <color theme="0"/>
      </font>
      <fill>
        <patternFill>
          <bgColor rgb="FFFF0000"/>
        </patternFill>
      </fill>
    </dxf>
    <dxf>
      <font>
        <color auto="1"/>
      </font>
      <fill>
        <patternFill>
          <bgColor rgb="FFFFC000"/>
        </patternFill>
      </fill>
    </dxf>
    <dxf>
      <font>
        <color theme="0"/>
      </font>
      <fill>
        <patternFill>
          <bgColor rgb="FFFF0000"/>
        </patternFill>
      </fill>
    </dxf>
    <dxf>
      <fill>
        <patternFill>
          <bgColor rgb="FFFF0000"/>
        </patternFill>
      </fill>
    </dxf>
    <dxf>
      <fill>
        <patternFill>
          <bgColor theme="4" tint="0.39994506668294322"/>
        </patternFill>
      </fill>
    </dxf>
    <dxf>
      <border diagonalUp="0" diagonalDown="0" outline="0">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style="thin">
          <color indexed="64"/>
        </right>
        <top style="thin">
          <color indexed="64"/>
        </top>
        <bottom/>
      </border>
    </dxf>
    <dxf>
      <border diagonalUp="0" diagonalDown="0" outline="0">
        <left style="thin">
          <color indexed="64"/>
        </left>
        <right/>
        <top style="thin">
          <color indexed="64"/>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m/yyyy"/>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color theme="0"/>
      </font>
    </dxf>
    <dxf>
      <font>
        <color theme="0"/>
      </font>
    </dxf>
    <dxf>
      <fill>
        <patternFill patternType="solid">
          <bgColor rgb="FF002060"/>
        </patternFill>
      </fill>
    </dxf>
    <dxf>
      <fill>
        <patternFill patternType="solid">
          <bgColor rgb="FF002060"/>
        </patternFill>
      </fill>
    </dxf>
    <dxf>
      <numFmt numFmtId="4" formatCode="#,##0.00"/>
    </dxf>
    <dxf>
      <font>
        <color theme="0"/>
      </font>
    </dxf>
    <dxf>
      <fill>
        <patternFill patternType="solid">
          <bgColor rgb="FF002060"/>
        </patternFill>
      </fill>
    </dxf>
    <dxf>
      <fill>
        <patternFill patternType="solid">
          <bgColor theme="4" tint="0.59999389629810485"/>
        </patternFill>
      </fill>
    </dxf>
    <dxf>
      <fill>
        <patternFill patternType="solid">
          <bgColor theme="4" tint="0.59999389629810485"/>
        </patternFill>
      </fill>
    </dxf>
    <dxf>
      <fill>
        <patternFill patternType="solid">
          <bgColor rgb="FF92D050"/>
        </patternFill>
      </fill>
    </dxf>
    <dxf>
      <fill>
        <patternFill patternType="solid">
          <bgColor rgb="FF92D050"/>
        </patternFill>
      </fill>
    </dxf>
    <dxf>
      <fill>
        <patternFill patternType="solid">
          <bgColor theme="8" tint="0.59999389629810485"/>
        </patternFill>
      </fill>
    </dxf>
    <dxf>
      <fill>
        <patternFill patternType="solid">
          <bgColor theme="9" tint="0.59999389629810485"/>
        </patternFill>
      </fill>
    </dxf>
    <dxf>
      <fill>
        <patternFill patternType="solid">
          <bgColor rgb="FFFFC000"/>
        </patternFill>
      </fill>
    </dxf>
    <dxf>
      <fill>
        <patternFill patternType="solid">
          <bgColor rgb="FFFFFF00"/>
        </patternFill>
      </fill>
    </dxf>
  </dxfs>
  <tableStyles count="0" defaultTableStyle="TableStyleMedium2" defaultPivotStyle="PivotStyleLight16"/>
  <colors>
    <mruColors>
      <color rgb="FFCCFFCC"/>
      <color rgb="FFFFFF99"/>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theme" Target="theme/theme1.xml"/><Relationship Id="rId170" Type="http://schemas.openxmlformats.org/officeDocument/2006/relationships/pivotCacheDefinition" Target="pivotCache/pivotCacheDefinition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pivotCacheDefinition" Target="pivotCache/pivotCacheDefinition2.xml"/><Relationship Id="rId176"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164" Type="http://schemas.openxmlformats.org/officeDocument/2006/relationships/worksheet" Target="worksheets/sheet164.xml"/><Relationship Id="rId169" Type="http://schemas.openxmlformats.org/officeDocument/2006/relationships/worksheet" Target="worksheets/sheet169.xml"/><Relationship Id="rId177"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pivotCacheDefinition" Target="pivotCache/pivotCacheDefinition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pivotCacheDefinition" Target="pivotCache/pivotCacheDefinition4.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pivotCacheDefinition" Target="pivotCache/pivotCacheDefinition5.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[excelisfun-Start.xlsm]PT!PivotTable11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PT!$G$1</c:f>
              <c:strCache>
                <c:ptCount val="1"/>
                <c:pt idx="0">
                  <c:v>Total</c:v>
                </c:pt>
              </c:strCache>
            </c:strRef>
          </c:tx>
          <c:spPr>
            <a:solidFill>
              <a:schemeClr val="accent1"/>
            </a:solidFill>
            <a:ln>
              <a:noFill/>
            </a:ln>
            <a:effectLst/>
          </c:spPr>
          <c:invertIfNegative val="0"/>
          <c:cat>
            <c:strRef>
              <c:f>PT!$F$2:$F$5</c:f>
              <c:strCache>
                <c:ptCount val="3"/>
                <c:pt idx="0">
                  <c:v>Chin</c:v>
                </c:pt>
                <c:pt idx="1">
                  <c:v>Sioux</c:v>
                </c:pt>
                <c:pt idx="2">
                  <c:v>Tina</c:v>
                </c:pt>
              </c:strCache>
            </c:strRef>
          </c:cat>
          <c:val>
            <c:numRef>
              <c:f>PT!$G$2:$G$5</c:f>
              <c:numCache>
                <c:formatCode>General</c:formatCode>
                <c:ptCount val="3"/>
                <c:pt idx="0">
                  <c:v>24</c:v>
                </c:pt>
                <c:pt idx="1">
                  <c:v>25</c:v>
                </c:pt>
                <c:pt idx="2">
                  <c:v>31</c:v>
                </c:pt>
              </c:numCache>
            </c:numRef>
          </c:val>
          <c:extLst>
            <c:ext xmlns:c16="http://schemas.microsoft.com/office/drawing/2014/chart" uri="{C3380CC4-5D6E-409C-BE32-E72D297353CC}">
              <c16:uniqueId val="{00000000-5767-4150-9612-98E57FCB9CD7}"/>
            </c:ext>
          </c:extLst>
        </c:ser>
        <c:dLbls>
          <c:showLegendKey val="0"/>
          <c:showVal val="0"/>
          <c:showCatName val="0"/>
          <c:showSerName val="0"/>
          <c:showPercent val="0"/>
          <c:showBubbleSize val="0"/>
        </c:dLbls>
        <c:gapWidth val="219"/>
        <c:overlap val="-27"/>
        <c:axId val="607545688"/>
        <c:axId val="607547984"/>
      </c:barChart>
      <c:catAx>
        <c:axId val="607545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607547984"/>
        <c:crosses val="autoZero"/>
        <c:auto val="1"/>
        <c:lblAlgn val="ctr"/>
        <c:lblOffset val="100"/>
        <c:noMultiLvlLbl val="0"/>
      </c:catAx>
      <c:valAx>
        <c:axId val="60754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607545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Into The Wind Sales - Jan to Mar</a:t>
            </a:r>
          </a:p>
        </c:rich>
      </c:tx>
      <c:overlay val="0"/>
    </c:title>
    <c:autoTitleDeleted val="0"/>
    <c:plotArea>
      <c:layout/>
      <c:pieChart>
        <c:varyColors val="1"/>
        <c:ser>
          <c:idx val="0"/>
          <c:order val="0"/>
          <c:dLbls>
            <c:dLbl>
              <c:idx val="0"/>
              <c:layout>
                <c:manualLayout>
                  <c:x val="2.6398280170513013E-2"/>
                  <c:y val="5.7450144544073699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17B-461E-AB96-21FE139ECE63}"/>
                </c:ext>
              </c:extLst>
            </c:dLbl>
            <c:dLbl>
              <c:idx val="1"/>
              <c:layout>
                <c:manualLayout>
                  <c:x val="6.6598681954039896E-2"/>
                  <c:y val="1.979314681431395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17B-461E-AB96-21FE139ECE63}"/>
                </c:ext>
              </c:extLst>
            </c:dLbl>
            <c:dLbl>
              <c:idx val="2"/>
              <c:layout>
                <c:manualLayout>
                  <c:x val="-6.54933689385402E-2"/>
                  <c:y val="3.009259259259259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17B-461E-AB96-21FE139ECE63}"/>
                </c:ext>
              </c:extLst>
            </c:dLbl>
            <c:spPr>
              <a:noFill/>
              <a:ln>
                <a:noFill/>
              </a:ln>
              <a:effectLst/>
            </c:spPr>
            <c:txPr>
              <a:bodyPr/>
              <a:lstStyle/>
              <a:p>
                <a:pPr>
                  <a:defRPr sz="1300"/>
                </a:pPr>
                <a:endParaRPr lang="es-AR"/>
              </a:p>
            </c:txPr>
            <c:showLegendKey val="0"/>
            <c:showVal val="0"/>
            <c:showCatName val="1"/>
            <c:showSerName val="0"/>
            <c:showPercent val="1"/>
            <c:showBubbleSize val="0"/>
            <c:showLeaderLines val="1"/>
            <c:extLst>
              <c:ext xmlns:c15="http://schemas.microsoft.com/office/drawing/2012/chart" uri="{CE6537A1-D6FC-4f65-9D91-7224C49458BB}"/>
            </c:extLst>
          </c:dLbls>
          <c:cat>
            <c:strRef>
              <c:f>'Ct(1)'!$A$4:$A$6</c:f>
              <c:strCache>
                <c:ptCount val="3"/>
                <c:pt idx="0">
                  <c:v>Toys</c:v>
                </c:pt>
                <c:pt idx="1">
                  <c:v>Boomerangs</c:v>
                </c:pt>
                <c:pt idx="2">
                  <c:v>Kites</c:v>
                </c:pt>
              </c:strCache>
            </c:strRef>
          </c:cat>
          <c:val>
            <c:numRef>
              <c:f>'Ct(1)'!$E$4:$E$6</c:f>
              <c:numCache>
                <c:formatCode>_(* #,##0_);_(* \(#,##0\);_(* "-"??_);_(@_)</c:formatCode>
                <c:ptCount val="3"/>
                <c:pt idx="0">
                  <c:v>11543</c:v>
                </c:pt>
                <c:pt idx="1">
                  <c:v>20478</c:v>
                </c:pt>
                <c:pt idx="2">
                  <c:v>30152</c:v>
                </c:pt>
              </c:numCache>
            </c:numRef>
          </c:val>
          <c:extLst>
            <c:ext xmlns:c16="http://schemas.microsoft.com/office/drawing/2014/chart" uri="{C3380CC4-5D6E-409C-BE32-E72D297353CC}">
              <c16:uniqueId val="{00000003-A17B-461E-AB96-21FE139ECE63}"/>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Into The Wind Sales - Jan to Mar</a:t>
            </a:r>
          </a:p>
        </c:rich>
      </c:tx>
      <c:overlay val="0"/>
    </c:title>
    <c:autoTitleDeleted val="0"/>
    <c:view3D>
      <c:rotX val="20"/>
      <c:rotY val="140"/>
      <c:rAngAx val="0"/>
      <c:perspective val="20"/>
    </c:view3D>
    <c:floor>
      <c:thickness val="0"/>
    </c:floor>
    <c:sideWall>
      <c:thickness val="0"/>
    </c:sideWall>
    <c:backWall>
      <c:thickness val="0"/>
    </c:backWall>
    <c:plotArea>
      <c:layout/>
      <c:pie3DChart>
        <c:varyColors val="1"/>
        <c:ser>
          <c:idx val="0"/>
          <c:order val="0"/>
          <c:explosion val="25"/>
          <c:dPt>
            <c:idx val="0"/>
            <c:bubble3D val="0"/>
            <c:spPr>
              <a:pattFill prst="ltHorz">
                <a:fgClr>
                  <a:srgbClr val="FFFF00"/>
                </a:fgClr>
                <a:bgClr>
                  <a:schemeClr val="bg1"/>
                </a:bgClr>
              </a:pattFill>
            </c:spPr>
            <c:extLst>
              <c:ext xmlns:c16="http://schemas.microsoft.com/office/drawing/2014/chart" uri="{C3380CC4-5D6E-409C-BE32-E72D297353CC}">
                <c16:uniqueId val="{00000001-68FC-4BA0-8488-0895ED7D1BC9}"/>
              </c:ext>
            </c:extLst>
          </c:dPt>
          <c:dPt>
            <c:idx val="2"/>
            <c:bubble3D val="0"/>
            <c:spPr>
              <a:pattFill prst="ltVert">
                <a:fgClr>
                  <a:srgbClr val="0000FF"/>
                </a:fgClr>
                <a:bgClr>
                  <a:schemeClr val="bg1"/>
                </a:bgClr>
              </a:pattFill>
            </c:spPr>
            <c:extLst>
              <c:ext xmlns:c16="http://schemas.microsoft.com/office/drawing/2014/chart" uri="{C3380CC4-5D6E-409C-BE32-E72D297353CC}">
                <c16:uniqueId val="{00000003-68FC-4BA0-8488-0895ED7D1BC9}"/>
              </c:ext>
            </c:extLst>
          </c:dPt>
          <c:dLbls>
            <c:dLbl>
              <c:idx val="0"/>
              <c:layout>
                <c:manualLayout>
                  <c:x val="0.32975709245920926"/>
                  <c:y val="-4.611119277442956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8FC-4BA0-8488-0895ED7D1BC9}"/>
                </c:ext>
              </c:extLst>
            </c:dLbl>
            <c:dLbl>
              <c:idx val="1"/>
              <c:layout>
                <c:manualLayout>
                  <c:x val="6.9640436408773872E-3"/>
                  <c:y val="-0.3134792792939935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8FC-4BA0-8488-0895ED7D1BC9}"/>
                </c:ext>
              </c:extLst>
            </c:dLbl>
            <c:dLbl>
              <c:idx val="2"/>
              <c:layout>
                <c:manualLayout>
                  <c:x val="-7.0678989661423886E-2"/>
                  <c:y val="-9.954792547949982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8FC-4BA0-8488-0895ED7D1BC9}"/>
                </c:ext>
              </c:extLst>
            </c:dLbl>
            <c:spPr>
              <a:noFill/>
              <a:ln>
                <a:noFill/>
              </a:ln>
              <a:effectLst/>
            </c:spPr>
            <c:txPr>
              <a:bodyPr/>
              <a:lstStyle/>
              <a:p>
                <a:pPr>
                  <a:defRPr sz="1300"/>
                </a:pPr>
                <a:endParaRPr lang="es-AR"/>
              </a:p>
            </c:txPr>
            <c:showLegendKey val="0"/>
            <c:showVal val="0"/>
            <c:showCatName val="1"/>
            <c:showSerName val="0"/>
            <c:showPercent val="1"/>
            <c:showBubbleSize val="0"/>
            <c:showLeaderLines val="1"/>
            <c:extLst>
              <c:ext xmlns:c15="http://schemas.microsoft.com/office/drawing/2012/chart" uri="{CE6537A1-D6FC-4f65-9D91-7224C49458BB}"/>
            </c:extLst>
          </c:dLbls>
          <c:cat>
            <c:strRef>
              <c:f>'Ct(1)'!$A$4:$A$6</c:f>
              <c:strCache>
                <c:ptCount val="3"/>
                <c:pt idx="0">
                  <c:v>Toys</c:v>
                </c:pt>
                <c:pt idx="1">
                  <c:v>Boomerangs</c:v>
                </c:pt>
                <c:pt idx="2">
                  <c:v>Kites</c:v>
                </c:pt>
              </c:strCache>
            </c:strRef>
          </c:cat>
          <c:val>
            <c:numRef>
              <c:f>'Ct(1)'!$E$4:$E$6</c:f>
              <c:numCache>
                <c:formatCode>_(* #,##0_);_(* \(#,##0\);_(* "-"??_);_(@_)</c:formatCode>
                <c:ptCount val="3"/>
                <c:pt idx="0">
                  <c:v>11543</c:v>
                </c:pt>
                <c:pt idx="1">
                  <c:v>20478</c:v>
                </c:pt>
                <c:pt idx="2">
                  <c:v>30152</c:v>
                </c:pt>
              </c:numCache>
            </c:numRef>
          </c:val>
          <c:extLst>
            <c:ext xmlns:c16="http://schemas.microsoft.com/office/drawing/2014/chart" uri="{C3380CC4-5D6E-409C-BE32-E72D297353CC}">
              <c16:uniqueId val="{00000005-68FC-4BA0-8488-0895ED7D1BC9}"/>
            </c:ext>
          </c:extLst>
        </c:ser>
        <c:dLbls>
          <c:showLegendKey val="0"/>
          <c:showVal val="0"/>
          <c:showCatName val="0"/>
          <c:showSerName val="0"/>
          <c:showPercent val="0"/>
          <c:showBubbleSize val="0"/>
          <c:showLeaderLines val="1"/>
        </c:dLbls>
      </c:pie3DChart>
    </c:plotArea>
    <c:legend>
      <c:legendPos val="t"/>
      <c:overlay val="0"/>
    </c:legend>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barChart>
        <c:barDir val="col"/>
        <c:grouping val="clustered"/>
        <c:varyColors val="0"/>
        <c:ser>
          <c:idx val="0"/>
          <c:order val="0"/>
          <c:tx>
            <c:strRef>
              <c:f>'Ct(1)'!$A$4</c:f>
              <c:strCache>
                <c:ptCount val="1"/>
                <c:pt idx="0">
                  <c:v>Toys</c:v>
                </c:pt>
              </c:strCache>
            </c:strRef>
          </c:tx>
          <c:invertIfNegative val="0"/>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extLst>
            <c:ext xmlns:c16="http://schemas.microsoft.com/office/drawing/2014/chart" uri="{C3380CC4-5D6E-409C-BE32-E72D297353CC}">
              <c16:uniqueId val="{00000000-C98E-4AF1-B509-3D3517B6CFB4}"/>
            </c:ext>
          </c:extLst>
        </c:ser>
        <c:ser>
          <c:idx val="1"/>
          <c:order val="1"/>
          <c:tx>
            <c:strRef>
              <c:f>'Ct(1)'!$A$5</c:f>
              <c:strCache>
                <c:ptCount val="1"/>
                <c:pt idx="0">
                  <c:v>Boomerangs</c:v>
                </c:pt>
              </c:strCache>
            </c:strRef>
          </c:tx>
          <c:invertIfNegative val="0"/>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extLst>
            <c:ext xmlns:c16="http://schemas.microsoft.com/office/drawing/2014/chart" uri="{C3380CC4-5D6E-409C-BE32-E72D297353CC}">
              <c16:uniqueId val="{00000001-C98E-4AF1-B509-3D3517B6CFB4}"/>
            </c:ext>
          </c:extLst>
        </c:ser>
        <c:ser>
          <c:idx val="2"/>
          <c:order val="2"/>
          <c:tx>
            <c:strRef>
              <c:f>'Ct(1)'!$A$6</c:f>
              <c:strCache>
                <c:ptCount val="1"/>
                <c:pt idx="0">
                  <c:v>Kites</c:v>
                </c:pt>
              </c:strCache>
            </c:strRef>
          </c:tx>
          <c:invertIfNegative val="0"/>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extLst>
            <c:ext xmlns:c16="http://schemas.microsoft.com/office/drawing/2014/chart" uri="{C3380CC4-5D6E-409C-BE32-E72D297353CC}">
              <c16:uniqueId val="{00000002-C98E-4AF1-B509-3D3517B6CFB4}"/>
            </c:ext>
          </c:extLst>
        </c:ser>
        <c:dLbls>
          <c:showLegendKey val="0"/>
          <c:showVal val="0"/>
          <c:showCatName val="0"/>
          <c:showSerName val="0"/>
          <c:showPercent val="0"/>
          <c:showBubbleSize val="0"/>
        </c:dLbls>
        <c:gapWidth val="150"/>
        <c:axId val="390657776"/>
        <c:axId val="390661696"/>
      </c:barChart>
      <c:catAx>
        <c:axId val="390657776"/>
        <c:scaling>
          <c:orientation val="minMax"/>
        </c:scaling>
        <c:delete val="0"/>
        <c:axPos val="b"/>
        <c:numFmt formatCode="General" sourceLinked="0"/>
        <c:majorTickMark val="out"/>
        <c:minorTickMark val="none"/>
        <c:tickLblPos val="nextTo"/>
        <c:crossAx val="390661696"/>
        <c:crosses val="autoZero"/>
        <c:auto val="1"/>
        <c:lblAlgn val="ctr"/>
        <c:lblOffset val="100"/>
        <c:noMultiLvlLbl val="0"/>
      </c:catAx>
      <c:valAx>
        <c:axId val="390661696"/>
        <c:scaling>
          <c:orientation val="minMax"/>
        </c:scaling>
        <c:delete val="0"/>
        <c:axPos val="l"/>
        <c:numFmt formatCode="_(* #,##0_);_(* \(#,##0\);_(* &quot;-&quot;??_);_(@_)" sourceLinked="1"/>
        <c:majorTickMark val="out"/>
        <c:minorTickMark val="none"/>
        <c:tickLblPos val="nextTo"/>
        <c:crossAx val="390657776"/>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[excelisfun-Start.xlsm]Ct(1)!PivotTable1</c:name>
    <c:fmtId val="5"/>
  </c:pivotSource>
  <c:chart>
    <c:title>
      <c:tx>
        <c:rich>
          <a:bodyPr/>
          <a:lstStyle/>
          <a:p>
            <a:pPr>
              <a:defRPr/>
            </a:pPr>
            <a:r>
              <a:rPr lang="en-US"/>
              <a:t>Histogram</a:t>
            </a:r>
          </a:p>
        </c:rich>
      </c:tx>
      <c:overlay val="0"/>
    </c:title>
    <c:autoTitleDeleted val="0"/>
    <c:pivotFmts>
      <c:pivotFmt>
        <c:idx val="0"/>
        <c:marker>
          <c:symbol val="none"/>
        </c:marker>
        <c:dLbl>
          <c:idx val="0"/>
          <c:spPr/>
          <c:txPr>
            <a:bodyPr/>
            <a:lstStyle/>
            <a:p>
              <a:pPr>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1"/>
        <c:ser>
          <c:idx val="0"/>
          <c:order val="0"/>
          <c:tx>
            <c:strRef>
              <c:f>'Ct(1)'!$D$109</c:f>
              <c:strCache>
                <c:ptCount val="1"/>
                <c:pt idx="0">
                  <c:v>Total</c:v>
                </c:pt>
              </c:strCache>
            </c:strRef>
          </c:tx>
          <c:invertIfNegative val="0"/>
          <c:dLbls>
            <c:spPr/>
            <c:txPr>
              <a:bodyPr/>
              <a:lstStyle/>
              <a:p>
                <a:pPr>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'Ct(1)'!$C$110:$C$119</c:f>
              <c:strCache>
                <c:ptCount val="9"/>
                <c:pt idx="0">
                  <c:v>0-9</c:v>
                </c:pt>
                <c:pt idx="1">
                  <c:v>20-29</c:v>
                </c:pt>
                <c:pt idx="2">
                  <c:v>30-39</c:v>
                </c:pt>
                <c:pt idx="3">
                  <c:v>40-49</c:v>
                </c:pt>
                <c:pt idx="4">
                  <c:v>50-59</c:v>
                </c:pt>
                <c:pt idx="5">
                  <c:v>60-69</c:v>
                </c:pt>
                <c:pt idx="6">
                  <c:v>70-79</c:v>
                </c:pt>
                <c:pt idx="7">
                  <c:v>80-89</c:v>
                </c:pt>
                <c:pt idx="8">
                  <c:v>90-100</c:v>
                </c:pt>
              </c:strCache>
            </c:strRef>
          </c:cat>
          <c:val>
            <c:numRef>
              <c:f>'Ct(1)'!$D$110:$D$119</c:f>
              <c:numCache>
                <c:formatCode>General</c:formatCode>
                <c:ptCount val="9"/>
                <c:pt idx="0">
                  <c:v>1</c:v>
                </c:pt>
                <c:pt idx="1">
                  <c:v>1</c:v>
                </c:pt>
                <c:pt idx="2">
                  <c:v>4</c:v>
                </c:pt>
                <c:pt idx="3">
                  <c:v>1</c:v>
                </c:pt>
                <c:pt idx="4">
                  <c:v>4</c:v>
                </c:pt>
                <c:pt idx="5">
                  <c:v>10</c:v>
                </c:pt>
                <c:pt idx="6">
                  <c:v>7</c:v>
                </c:pt>
                <c:pt idx="7">
                  <c:v>7</c:v>
                </c:pt>
                <c:pt idx="8">
                  <c:v>2</c:v>
                </c:pt>
              </c:numCache>
            </c:numRef>
          </c:val>
          <c:extLst>
            <c:ext xmlns:c16="http://schemas.microsoft.com/office/drawing/2014/chart" uri="{C3380CC4-5D6E-409C-BE32-E72D297353CC}">
              <c16:uniqueId val="{00000000-0BCC-43B3-8637-22E2F6F5FFC2}"/>
            </c:ext>
          </c:extLst>
        </c:ser>
        <c:dLbls>
          <c:showLegendKey val="0"/>
          <c:showVal val="0"/>
          <c:showCatName val="0"/>
          <c:showSerName val="0"/>
          <c:showPercent val="0"/>
          <c:showBubbleSize val="0"/>
        </c:dLbls>
        <c:gapWidth val="0"/>
        <c:axId val="335095184"/>
        <c:axId val="335090144"/>
      </c:barChart>
      <c:catAx>
        <c:axId val="335095184"/>
        <c:scaling>
          <c:orientation val="minMax"/>
        </c:scaling>
        <c:delete val="0"/>
        <c:axPos val="b"/>
        <c:title>
          <c:tx>
            <c:rich>
              <a:bodyPr/>
              <a:lstStyle/>
              <a:p>
                <a:pPr>
                  <a:defRPr/>
                </a:pPr>
                <a:r>
                  <a:rPr lang="en-US"/>
                  <a:t>Categories For Counting Scores</a:t>
                </a:r>
              </a:p>
            </c:rich>
          </c:tx>
          <c:overlay val="0"/>
        </c:title>
        <c:numFmt formatCode="General" sourceLinked="0"/>
        <c:majorTickMark val="out"/>
        <c:minorTickMark val="none"/>
        <c:tickLblPos val="nextTo"/>
        <c:crossAx val="335090144"/>
        <c:crosses val="autoZero"/>
        <c:auto val="1"/>
        <c:lblAlgn val="ctr"/>
        <c:lblOffset val="100"/>
        <c:noMultiLvlLbl val="0"/>
      </c:catAx>
      <c:valAx>
        <c:axId val="335090144"/>
        <c:scaling>
          <c:orientation val="minMax"/>
        </c:scaling>
        <c:delete val="0"/>
        <c:axPos val="l"/>
        <c:title>
          <c:tx>
            <c:rich>
              <a:bodyPr rot="-5400000" vert="horz"/>
              <a:lstStyle/>
              <a:p>
                <a:pPr>
                  <a:defRPr/>
                </a:pPr>
                <a:r>
                  <a:rPr lang="en-US"/>
                  <a:t>Frequency or Count</a:t>
                </a:r>
              </a:p>
            </c:rich>
          </c:tx>
          <c:overlay val="0"/>
        </c:title>
        <c:numFmt formatCode="General" sourceLinked="1"/>
        <c:majorTickMark val="out"/>
        <c:minorTickMark val="none"/>
        <c:tickLblPos val="nextTo"/>
        <c:crossAx val="335095184"/>
        <c:crosses val="autoZero"/>
        <c:crossBetween val="between"/>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barChart>
        <c:barDir val="bar"/>
        <c:grouping val="clustered"/>
        <c:varyColors val="0"/>
        <c:ser>
          <c:idx val="0"/>
          <c:order val="0"/>
          <c:tx>
            <c:strRef>
              <c:f>'Ct(1)'!$A$4</c:f>
              <c:strCache>
                <c:ptCount val="1"/>
                <c:pt idx="0">
                  <c:v>Toys</c:v>
                </c:pt>
              </c:strCache>
            </c:strRef>
          </c:tx>
          <c:invertIfNegative val="0"/>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extLst>
            <c:ext xmlns:c16="http://schemas.microsoft.com/office/drawing/2014/chart" uri="{C3380CC4-5D6E-409C-BE32-E72D297353CC}">
              <c16:uniqueId val="{00000000-788E-488E-9AC5-80C5286DCCAB}"/>
            </c:ext>
          </c:extLst>
        </c:ser>
        <c:ser>
          <c:idx val="1"/>
          <c:order val="1"/>
          <c:tx>
            <c:strRef>
              <c:f>'Ct(1)'!$A$5</c:f>
              <c:strCache>
                <c:ptCount val="1"/>
                <c:pt idx="0">
                  <c:v>Boomerangs</c:v>
                </c:pt>
              </c:strCache>
            </c:strRef>
          </c:tx>
          <c:invertIfNegative val="0"/>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extLst>
            <c:ext xmlns:c16="http://schemas.microsoft.com/office/drawing/2014/chart" uri="{C3380CC4-5D6E-409C-BE32-E72D297353CC}">
              <c16:uniqueId val="{00000001-788E-488E-9AC5-80C5286DCCAB}"/>
            </c:ext>
          </c:extLst>
        </c:ser>
        <c:ser>
          <c:idx val="2"/>
          <c:order val="2"/>
          <c:tx>
            <c:strRef>
              <c:f>'Ct(1)'!$A$6</c:f>
              <c:strCache>
                <c:ptCount val="1"/>
                <c:pt idx="0">
                  <c:v>Kites</c:v>
                </c:pt>
              </c:strCache>
            </c:strRef>
          </c:tx>
          <c:invertIfNegative val="0"/>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extLst>
            <c:ext xmlns:c16="http://schemas.microsoft.com/office/drawing/2014/chart" uri="{C3380CC4-5D6E-409C-BE32-E72D297353CC}">
              <c16:uniqueId val="{00000002-788E-488E-9AC5-80C5286DCCAB}"/>
            </c:ext>
          </c:extLst>
        </c:ser>
        <c:dLbls>
          <c:showLegendKey val="0"/>
          <c:showVal val="0"/>
          <c:showCatName val="0"/>
          <c:showSerName val="0"/>
          <c:showPercent val="0"/>
          <c:showBubbleSize val="0"/>
        </c:dLbls>
        <c:gapWidth val="150"/>
        <c:axId val="335089024"/>
        <c:axId val="335087904"/>
      </c:barChart>
      <c:catAx>
        <c:axId val="335089024"/>
        <c:scaling>
          <c:orientation val="minMax"/>
        </c:scaling>
        <c:delete val="0"/>
        <c:axPos val="l"/>
        <c:numFmt formatCode="General" sourceLinked="0"/>
        <c:majorTickMark val="out"/>
        <c:minorTickMark val="none"/>
        <c:tickLblPos val="nextTo"/>
        <c:crossAx val="335087904"/>
        <c:crosses val="autoZero"/>
        <c:auto val="1"/>
        <c:lblAlgn val="ctr"/>
        <c:lblOffset val="100"/>
        <c:noMultiLvlLbl val="0"/>
      </c:catAx>
      <c:valAx>
        <c:axId val="335087904"/>
        <c:scaling>
          <c:orientation val="minMax"/>
        </c:scaling>
        <c:delete val="0"/>
        <c:axPos val="b"/>
        <c:numFmt formatCode="_(* #,##0_);_(* \(#,##0\);_(* &quot;-&quot;??_);_(@_)" sourceLinked="1"/>
        <c:majorTickMark val="out"/>
        <c:minorTickMark val="none"/>
        <c:tickLblPos val="nextTo"/>
        <c:crossAx val="335089024"/>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barChart>
        <c:barDir val="bar"/>
        <c:grouping val="stacked"/>
        <c:varyColors val="0"/>
        <c:ser>
          <c:idx val="0"/>
          <c:order val="0"/>
          <c:tx>
            <c:strRef>
              <c:f>'Ct(1)'!$A$4</c:f>
              <c:strCache>
                <c:ptCount val="1"/>
                <c:pt idx="0">
                  <c:v>Toys</c:v>
                </c:pt>
              </c:strCache>
            </c:strRef>
          </c:tx>
          <c:invertIfNegative val="0"/>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extLst>
            <c:ext xmlns:c16="http://schemas.microsoft.com/office/drawing/2014/chart" uri="{C3380CC4-5D6E-409C-BE32-E72D297353CC}">
              <c16:uniqueId val="{00000000-CFB2-4EDC-AF36-D7E47A6EE58C}"/>
            </c:ext>
          </c:extLst>
        </c:ser>
        <c:ser>
          <c:idx val="1"/>
          <c:order val="1"/>
          <c:tx>
            <c:strRef>
              <c:f>'Ct(1)'!$A$5</c:f>
              <c:strCache>
                <c:ptCount val="1"/>
                <c:pt idx="0">
                  <c:v>Boomerangs</c:v>
                </c:pt>
              </c:strCache>
            </c:strRef>
          </c:tx>
          <c:invertIfNegative val="0"/>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extLst>
            <c:ext xmlns:c16="http://schemas.microsoft.com/office/drawing/2014/chart" uri="{C3380CC4-5D6E-409C-BE32-E72D297353CC}">
              <c16:uniqueId val="{00000001-CFB2-4EDC-AF36-D7E47A6EE58C}"/>
            </c:ext>
          </c:extLst>
        </c:ser>
        <c:ser>
          <c:idx val="2"/>
          <c:order val="2"/>
          <c:tx>
            <c:strRef>
              <c:f>'Ct(1)'!$A$6</c:f>
              <c:strCache>
                <c:ptCount val="1"/>
                <c:pt idx="0">
                  <c:v>Kites</c:v>
                </c:pt>
              </c:strCache>
            </c:strRef>
          </c:tx>
          <c:invertIfNegative val="0"/>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extLst>
            <c:ext xmlns:c16="http://schemas.microsoft.com/office/drawing/2014/chart" uri="{C3380CC4-5D6E-409C-BE32-E72D297353CC}">
              <c16:uniqueId val="{00000002-CFB2-4EDC-AF36-D7E47A6EE58C}"/>
            </c:ext>
          </c:extLst>
        </c:ser>
        <c:dLbls>
          <c:showLegendKey val="0"/>
          <c:showVal val="0"/>
          <c:showCatName val="0"/>
          <c:showSerName val="0"/>
          <c:showPercent val="0"/>
          <c:showBubbleSize val="0"/>
        </c:dLbls>
        <c:gapWidth val="150"/>
        <c:overlap val="100"/>
        <c:axId val="335092944"/>
        <c:axId val="335093504"/>
      </c:barChart>
      <c:catAx>
        <c:axId val="335092944"/>
        <c:scaling>
          <c:orientation val="minMax"/>
        </c:scaling>
        <c:delete val="0"/>
        <c:axPos val="l"/>
        <c:numFmt formatCode="General" sourceLinked="0"/>
        <c:majorTickMark val="out"/>
        <c:minorTickMark val="none"/>
        <c:tickLblPos val="nextTo"/>
        <c:crossAx val="335093504"/>
        <c:crosses val="autoZero"/>
        <c:auto val="1"/>
        <c:lblAlgn val="ctr"/>
        <c:lblOffset val="100"/>
        <c:noMultiLvlLbl val="0"/>
      </c:catAx>
      <c:valAx>
        <c:axId val="335093504"/>
        <c:scaling>
          <c:orientation val="minMax"/>
        </c:scaling>
        <c:delete val="0"/>
        <c:axPos val="b"/>
        <c:numFmt formatCode="_(* #,##0_);_(* \(#,##0\);_(* &quot;-&quot;??_);_(@_)" sourceLinked="1"/>
        <c:majorTickMark val="out"/>
        <c:minorTickMark val="none"/>
        <c:tickLblPos val="nextTo"/>
        <c:crossAx val="335092944"/>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lineChart>
        <c:grouping val="standard"/>
        <c:varyColors val="0"/>
        <c:ser>
          <c:idx val="0"/>
          <c:order val="0"/>
          <c:tx>
            <c:strRef>
              <c:f>'Ct(1)'!$A$4</c:f>
              <c:strCache>
                <c:ptCount val="1"/>
                <c:pt idx="0">
                  <c:v>Toys</c:v>
                </c:pt>
              </c:strCache>
            </c:strRef>
          </c:tx>
          <c:spPr>
            <a:ln w="28575">
              <a:solidFill>
                <a:schemeClr val="tx1"/>
              </a:solidFill>
            </a:ln>
          </c:spPr>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smooth val="0"/>
          <c:extLst>
            <c:ext xmlns:c16="http://schemas.microsoft.com/office/drawing/2014/chart" uri="{C3380CC4-5D6E-409C-BE32-E72D297353CC}">
              <c16:uniqueId val="{00000000-EB94-427A-B75C-C34B57B4603C}"/>
            </c:ext>
          </c:extLst>
        </c:ser>
        <c:ser>
          <c:idx val="1"/>
          <c:order val="1"/>
          <c:tx>
            <c:strRef>
              <c:f>'Ct(1)'!$A$5</c:f>
              <c:strCache>
                <c:ptCount val="1"/>
                <c:pt idx="0">
                  <c:v>Boomerangs</c:v>
                </c:pt>
              </c:strCache>
            </c:strRef>
          </c:tx>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smooth val="0"/>
          <c:extLst>
            <c:ext xmlns:c16="http://schemas.microsoft.com/office/drawing/2014/chart" uri="{C3380CC4-5D6E-409C-BE32-E72D297353CC}">
              <c16:uniqueId val="{00000001-EB94-427A-B75C-C34B57B4603C}"/>
            </c:ext>
          </c:extLst>
        </c:ser>
        <c:ser>
          <c:idx val="2"/>
          <c:order val="2"/>
          <c:tx>
            <c:strRef>
              <c:f>'Ct(1)'!$A$6</c:f>
              <c:strCache>
                <c:ptCount val="1"/>
                <c:pt idx="0">
                  <c:v>Kites</c:v>
                </c:pt>
              </c:strCache>
            </c:strRef>
          </c:tx>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smooth val="0"/>
          <c:extLst>
            <c:ext xmlns:c16="http://schemas.microsoft.com/office/drawing/2014/chart" uri="{C3380CC4-5D6E-409C-BE32-E72D297353CC}">
              <c16:uniqueId val="{00000002-EB94-427A-B75C-C34B57B4603C}"/>
            </c:ext>
          </c:extLst>
        </c:ser>
        <c:dLbls>
          <c:showLegendKey val="0"/>
          <c:showVal val="0"/>
          <c:showCatName val="0"/>
          <c:showSerName val="0"/>
          <c:showPercent val="0"/>
          <c:showBubbleSize val="0"/>
        </c:dLbls>
        <c:marker val="1"/>
        <c:smooth val="0"/>
        <c:axId val="335096304"/>
        <c:axId val="335076144"/>
      </c:lineChart>
      <c:catAx>
        <c:axId val="335096304"/>
        <c:scaling>
          <c:orientation val="minMax"/>
        </c:scaling>
        <c:delete val="0"/>
        <c:axPos val="b"/>
        <c:numFmt formatCode="General" sourceLinked="0"/>
        <c:majorTickMark val="out"/>
        <c:minorTickMark val="none"/>
        <c:tickLblPos val="nextTo"/>
        <c:txPr>
          <a:bodyPr/>
          <a:lstStyle/>
          <a:p>
            <a:pPr>
              <a:defRPr sz="1400"/>
            </a:pPr>
            <a:endParaRPr lang="es-AR"/>
          </a:p>
        </c:txPr>
        <c:crossAx val="335076144"/>
        <c:crosses val="autoZero"/>
        <c:auto val="1"/>
        <c:lblAlgn val="ctr"/>
        <c:lblOffset val="100"/>
        <c:noMultiLvlLbl val="0"/>
      </c:catAx>
      <c:valAx>
        <c:axId val="335076144"/>
        <c:scaling>
          <c:orientation val="minMax"/>
        </c:scaling>
        <c:delete val="1"/>
        <c:axPos val="l"/>
        <c:numFmt formatCode="_(* #,##0_);_(* \(#,##0\);_(* &quot;-&quot;??_);_(@_)" sourceLinked="1"/>
        <c:majorTickMark val="out"/>
        <c:minorTickMark val="none"/>
        <c:tickLblPos val="none"/>
        <c:crossAx val="335096304"/>
        <c:crosses val="autoZero"/>
        <c:crossBetween val="between"/>
      </c:valAx>
    </c:plotArea>
    <c:legend>
      <c:legendPos val="t"/>
      <c:overlay val="0"/>
      <c:txPr>
        <a:bodyPr/>
        <a:lstStyle/>
        <a:p>
          <a:pPr>
            <a:defRPr sz="1100"/>
          </a:pPr>
          <a:endParaRPr lang="es-AR"/>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 Even</a:t>
            </a:r>
          </a:p>
        </c:rich>
      </c:tx>
      <c:overlay val="0"/>
    </c:title>
    <c:autoTitleDeleted val="0"/>
    <c:plotArea>
      <c:layout/>
      <c:scatterChart>
        <c:scatterStyle val="smoothMarker"/>
        <c:varyColors val="0"/>
        <c:ser>
          <c:idx val="0"/>
          <c:order val="0"/>
          <c:tx>
            <c:strRef>
              <c:f>'Ct(3)'!$B$1</c:f>
              <c:strCache>
                <c:ptCount val="1"/>
                <c:pt idx="0">
                  <c:v>Sales</c:v>
                </c:pt>
              </c:strCache>
            </c:strRef>
          </c:tx>
          <c:spPr>
            <a:ln w="38100"/>
          </c:spPr>
          <c:xVal>
            <c:numRef>
              <c:f>'Ct(3)'!$A$2:$A$10</c:f>
              <c:numCache>
                <c:formatCode>#,##0.00</c:formatCode>
                <c:ptCount val="9"/>
                <c:pt idx="0">
                  <c:v>0</c:v>
                </c:pt>
                <c:pt idx="1">
                  <c:v>3500</c:v>
                </c:pt>
                <c:pt idx="2">
                  <c:v>7000</c:v>
                </c:pt>
                <c:pt idx="3">
                  <c:v>10500</c:v>
                </c:pt>
                <c:pt idx="4">
                  <c:v>14000</c:v>
                </c:pt>
                <c:pt idx="5">
                  <c:v>17500</c:v>
                </c:pt>
                <c:pt idx="6">
                  <c:v>21000</c:v>
                </c:pt>
                <c:pt idx="7">
                  <c:v>24500</c:v>
                </c:pt>
                <c:pt idx="8">
                  <c:v>28000</c:v>
                </c:pt>
              </c:numCache>
            </c:numRef>
          </c:xVal>
          <c:yVal>
            <c:numRef>
              <c:f>'Ct(3)'!$B$2:$B$10</c:f>
              <c:numCache>
                <c:formatCode>#,##0.00</c:formatCode>
                <c:ptCount val="9"/>
                <c:pt idx="0">
                  <c:v>0</c:v>
                </c:pt>
                <c:pt idx="1">
                  <c:v>87500</c:v>
                </c:pt>
                <c:pt idx="2">
                  <c:v>175000</c:v>
                </c:pt>
                <c:pt idx="3">
                  <c:v>262500</c:v>
                </c:pt>
                <c:pt idx="4">
                  <c:v>350000</c:v>
                </c:pt>
                <c:pt idx="5">
                  <c:v>437500</c:v>
                </c:pt>
                <c:pt idx="6">
                  <c:v>525000</c:v>
                </c:pt>
                <c:pt idx="7">
                  <c:v>612500</c:v>
                </c:pt>
                <c:pt idx="8">
                  <c:v>700000</c:v>
                </c:pt>
              </c:numCache>
            </c:numRef>
          </c:yVal>
          <c:smooth val="1"/>
          <c:extLst>
            <c:ext xmlns:c16="http://schemas.microsoft.com/office/drawing/2014/chart" uri="{C3380CC4-5D6E-409C-BE32-E72D297353CC}">
              <c16:uniqueId val="{00000000-8CB4-4165-9E26-B2882B117C6C}"/>
            </c:ext>
          </c:extLst>
        </c:ser>
        <c:ser>
          <c:idx val="1"/>
          <c:order val="1"/>
          <c:tx>
            <c:strRef>
              <c:f>'Ct(3)'!$C$1</c:f>
              <c:strCache>
                <c:ptCount val="1"/>
                <c:pt idx="0">
                  <c:v>Total Costs</c:v>
                </c:pt>
              </c:strCache>
            </c:strRef>
          </c:tx>
          <c:spPr>
            <a:ln w="38100"/>
          </c:spPr>
          <c:xVal>
            <c:numRef>
              <c:f>'Ct(3)'!$A$2:$A$10</c:f>
              <c:numCache>
                <c:formatCode>#,##0.00</c:formatCode>
                <c:ptCount val="9"/>
                <c:pt idx="0">
                  <c:v>0</c:v>
                </c:pt>
                <c:pt idx="1">
                  <c:v>3500</c:v>
                </c:pt>
                <c:pt idx="2">
                  <c:v>7000</c:v>
                </c:pt>
                <c:pt idx="3">
                  <c:v>10500</c:v>
                </c:pt>
                <c:pt idx="4">
                  <c:v>14000</c:v>
                </c:pt>
                <c:pt idx="5">
                  <c:v>17500</c:v>
                </c:pt>
                <c:pt idx="6">
                  <c:v>21000</c:v>
                </c:pt>
                <c:pt idx="7">
                  <c:v>24500</c:v>
                </c:pt>
                <c:pt idx="8">
                  <c:v>28000</c:v>
                </c:pt>
              </c:numCache>
            </c:numRef>
          </c:xVal>
          <c:yVal>
            <c:numRef>
              <c:f>'Ct(3)'!$C$2:$C$10</c:f>
              <c:numCache>
                <c:formatCode>#,##0.00</c:formatCode>
                <c:ptCount val="9"/>
                <c:pt idx="0">
                  <c:v>171562.49999999997</c:v>
                </c:pt>
                <c:pt idx="1">
                  <c:v>219687.49999999997</c:v>
                </c:pt>
                <c:pt idx="2">
                  <c:v>267812.5</c:v>
                </c:pt>
                <c:pt idx="3">
                  <c:v>315937.5</c:v>
                </c:pt>
                <c:pt idx="4">
                  <c:v>364062.5</c:v>
                </c:pt>
                <c:pt idx="5">
                  <c:v>412187.5</c:v>
                </c:pt>
                <c:pt idx="6">
                  <c:v>460312.5</c:v>
                </c:pt>
                <c:pt idx="7">
                  <c:v>508437.5</c:v>
                </c:pt>
                <c:pt idx="8">
                  <c:v>556562.5</c:v>
                </c:pt>
              </c:numCache>
            </c:numRef>
          </c:yVal>
          <c:smooth val="1"/>
          <c:extLst>
            <c:ext xmlns:c16="http://schemas.microsoft.com/office/drawing/2014/chart" uri="{C3380CC4-5D6E-409C-BE32-E72D297353CC}">
              <c16:uniqueId val="{00000001-8CB4-4165-9E26-B2882B117C6C}"/>
            </c:ext>
          </c:extLst>
        </c:ser>
        <c:ser>
          <c:idx val="2"/>
          <c:order val="2"/>
          <c:tx>
            <c:strRef>
              <c:f>'Ct(3)'!$D$1</c:f>
              <c:strCache>
                <c:ptCount val="1"/>
                <c:pt idx="0">
                  <c:v>Fixed Cost</c:v>
                </c:pt>
              </c:strCache>
            </c:strRef>
          </c:tx>
          <c:spPr>
            <a:ln w="38100"/>
          </c:spPr>
          <c:xVal>
            <c:numRef>
              <c:f>'Ct(3)'!$A$2:$A$10</c:f>
              <c:numCache>
                <c:formatCode>#,##0.00</c:formatCode>
                <c:ptCount val="9"/>
                <c:pt idx="0">
                  <c:v>0</c:v>
                </c:pt>
                <c:pt idx="1">
                  <c:v>3500</c:v>
                </c:pt>
                <c:pt idx="2">
                  <c:v>7000</c:v>
                </c:pt>
                <c:pt idx="3">
                  <c:v>10500</c:v>
                </c:pt>
                <c:pt idx="4">
                  <c:v>14000</c:v>
                </c:pt>
                <c:pt idx="5">
                  <c:v>17500</c:v>
                </c:pt>
                <c:pt idx="6">
                  <c:v>21000</c:v>
                </c:pt>
                <c:pt idx="7">
                  <c:v>24500</c:v>
                </c:pt>
                <c:pt idx="8">
                  <c:v>28000</c:v>
                </c:pt>
              </c:numCache>
            </c:numRef>
          </c:xVal>
          <c:yVal>
            <c:numRef>
              <c:f>'Ct(3)'!$D$2:$D$10</c:f>
              <c:numCache>
                <c:formatCode>#,##0.00</c:formatCode>
                <c:ptCount val="9"/>
                <c:pt idx="0">
                  <c:v>171562.49999999997</c:v>
                </c:pt>
                <c:pt idx="1">
                  <c:v>171562.49999999997</c:v>
                </c:pt>
                <c:pt idx="2">
                  <c:v>171562.49999999997</c:v>
                </c:pt>
                <c:pt idx="3">
                  <c:v>171562.49999999997</c:v>
                </c:pt>
                <c:pt idx="4">
                  <c:v>171562.49999999997</c:v>
                </c:pt>
                <c:pt idx="5">
                  <c:v>171562.49999999997</c:v>
                </c:pt>
                <c:pt idx="6">
                  <c:v>171562.49999999997</c:v>
                </c:pt>
                <c:pt idx="7">
                  <c:v>171562.49999999997</c:v>
                </c:pt>
                <c:pt idx="8">
                  <c:v>171562.49999999997</c:v>
                </c:pt>
              </c:numCache>
            </c:numRef>
          </c:yVal>
          <c:smooth val="1"/>
          <c:extLst>
            <c:ext xmlns:c16="http://schemas.microsoft.com/office/drawing/2014/chart" uri="{C3380CC4-5D6E-409C-BE32-E72D297353CC}">
              <c16:uniqueId val="{00000002-8CB4-4165-9E26-B2882B117C6C}"/>
            </c:ext>
          </c:extLst>
        </c:ser>
        <c:dLbls>
          <c:showLegendKey val="0"/>
          <c:showVal val="0"/>
          <c:showCatName val="0"/>
          <c:showSerName val="0"/>
          <c:showPercent val="0"/>
          <c:showBubbleSize val="0"/>
        </c:dLbls>
        <c:axId val="335104144"/>
        <c:axId val="335103584"/>
      </c:scatterChart>
      <c:valAx>
        <c:axId val="335104144"/>
        <c:scaling>
          <c:orientation val="minMax"/>
        </c:scaling>
        <c:delete val="0"/>
        <c:axPos val="b"/>
        <c:numFmt formatCode="#,##0" sourceLinked="0"/>
        <c:majorTickMark val="out"/>
        <c:minorTickMark val="none"/>
        <c:tickLblPos val="nextTo"/>
        <c:crossAx val="335103584"/>
        <c:crosses val="autoZero"/>
        <c:crossBetween val="midCat"/>
      </c:valAx>
      <c:valAx>
        <c:axId val="335103584"/>
        <c:scaling>
          <c:orientation val="minMax"/>
        </c:scaling>
        <c:delete val="0"/>
        <c:axPos val="l"/>
        <c:majorGridlines/>
        <c:numFmt formatCode="&quot;$&quot;#,##0" sourceLinked="0"/>
        <c:majorTickMark val="out"/>
        <c:minorTickMark val="none"/>
        <c:tickLblPos val="nextTo"/>
        <c:crossAx val="335104144"/>
        <c:crosses val="autoZero"/>
        <c:crossBetween val="midCat"/>
        <c:majorUnit val="200000"/>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'C(8)'!$B$1</c:f>
              <c:strCache>
                <c:ptCount val="1"/>
                <c:pt idx="0">
                  <c:v>Sales</c:v>
                </c:pt>
              </c:strCache>
            </c:strRef>
          </c:tx>
          <c:invertIfNegative val="0"/>
          <c:cat>
            <c:strRef>
              <c:f>'C(8)'!$A$2:$A$7</c:f>
              <c:strCache>
                <c:ptCount val="6"/>
                <c:pt idx="0">
                  <c:v>Jan</c:v>
                </c:pt>
                <c:pt idx="1">
                  <c:v>Feb</c:v>
                </c:pt>
                <c:pt idx="2">
                  <c:v>Mar</c:v>
                </c:pt>
                <c:pt idx="3">
                  <c:v>Apr</c:v>
                </c:pt>
                <c:pt idx="4">
                  <c:v>May</c:v>
                </c:pt>
                <c:pt idx="5">
                  <c:v>Jun</c:v>
                </c:pt>
              </c:strCache>
            </c:strRef>
          </c:cat>
          <c:val>
            <c:numRef>
              <c:f>'C(8)'!$B$2:$B$7</c:f>
              <c:numCache>
                <c:formatCode>"$"#,##0.00_);[Red]\("$"#,##0.00\)</c:formatCode>
                <c:ptCount val="6"/>
                <c:pt idx="0">
                  <c:v>100</c:v>
                </c:pt>
                <c:pt idx="1">
                  <c:v>150</c:v>
                </c:pt>
                <c:pt idx="2">
                  <c:v>210</c:v>
                </c:pt>
                <c:pt idx="3">
                  <c:v>190</c:v>
                </c:pt>
                <c:pt idx="4">
                  <c:v>150</c:v>
                </c:pt>
                <c:pt idx="5">
                  <c:v>230</c:v>
                </c:pt>
              </c:numCache>
            </c:numRef>
          </c:val>
          <c:extLst>
            <c:ext xmlns:c16="http://schemas.microsoft.com/office/drawing/2014/chart" uri="{C3380CC4-5D6E-409C-BE32-E72D297353CC}">
              <c16:uniqueId val="{00000000-1DF4-4F0A-8455-3056207C19E1}"/>
            </c:ext>
          </c:extLst>
        </c:ser>
        <c:dLbls>
          <c:showLegendKey val="0"/>
          <c:showVal val="0"/>
          <c:showCatName val="0"/>
          <c:showSerName val="0"/>
          <c:showPercent val="0"/>
          <c:showBubbleSize val="0"/>
        </c:dLbls>
        <c:gapWidth val="150"/>
        <c:axId val="335099104"/>
        <c:axId val="335099664"/>
      </c:barChart>
      <c:catAx>
        <c:axId val="335099104"/>
        <c:scaling>
          <c:orientation val="minMax"/>
        </c:scaling>
        <c:delete val="0"/>
        <c:axPos val="b"/>
        <c:numFmt formatCode="General" sourceLinked="0"/>
        <c:majorTickMark val="out"/>
        <c:minorTickMark val="none"/>
        <c:tickLblPos val="nextTo"/>
        <c:crossAx val="335099664"/>
        <c:crosses val="autoZero"/>
        <c:auto val="1"/>
        <c:lblAlgn val="ctr"/>
        <c:lblOffset val="100"/>
        <c:noMultiLvlLbl val="0"/>
      </c:catAx>
      <c:valAx>
        <c:axId val="335099664"/>
        <c:scaling>
          <c:orientation val="minMax"/>
        </c:scaling>
        <c:delete val="0"/>
        <c:axPos val="l"/>
        <c:majorGridlines/>
        <c:numFmt formatCode="&quot;$&quot;#,##0.00_);[Red]\(&quot;$&quot;#,##0.00\)" sourceLinked="1"/>
        <c:majorTickMark val="out"/>
        <c:minorTickMark val="none"/>
        <c:tickLblPos val="nextTo"/>
        <c:crossAx val="335099104"/>
        <c:crosses val="autoZero"/>
        <c:crossBetween val="between"/>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590550</xdr:colOff>
      <xdr:row>7</xdr:row>
      <xdr:rowOff>100012</xdr:rowOff>
    </xdr:from>
    <xdr:to>
      <xdr:col>11</xdr:col>
      <xdr:colOff>276225</xdr:colOff>
      <xdr:row>21</xdr:row>
      <xdr:rowOff>176212</xdr:rowOff>
    </xdr:to>
    <xdr:graphicFrame macro="">
      <xdr:nvGraphicFramePr>
        <xdr:cNvPr id="3" name="Chart 2">
          <a:extLst>
            <a:ext uri="{FF2B5EF4-FFF2-40B4-BE49-F238E27FC236}">
              <a16:creationId xmlns:a16="http://schemas.microsoft.com/office/drawing/2014/main" id="{D9EBD356-709C-4886-8C6F-4E49DB99B3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0</xdr:row>
          <xdr:rowOff>133350</xdr:rowOff>
        </xdr:from>
        <xdr:to>
          <xdr:col>17</xdr:col>
          <xdr:colOff>571500</xdr:colOff>
          <xdr:row>34</xdr:row>
          <xdr:rowOff>104775</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1E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13</xdr:col>
      <xdr:colOff>33617</xdr:colOff>
      <xdr:row>1</xdr:row>
      <xdr:rowOff>11206</xdr:rowOff>
    </xdr:from>
    <xdr:to>
      <xdr:col>14</xdr:col>
      <xdr:colOff>33618</xdr:colOff>
      <xdr:row>6</xdr:row>
      <xdr:rowOff>11206</xdr:rowOff>
    </xdr:to>
    <xdr:sp macro="" textlink="">
      <xdr:nvSpPr>
        <xdr:cNvPr id="2" name="Left Brace 1">
          <a:extLst>
            <a:ext uri="{FF2B5EF4-FFF2-40B4-BE49-F238E27FC236}">
              <a16:creationId xmlns:a16="http://schemas.microsoft.com/office/drawing/2014/main" id="{00000000-0008-0000-3700-000002000000}"/>
            </a:ext>
          </a:extLst>
        </xdr:cNvPr>
        <xdr:cNvSpPr/>
      </xdr:nvSpPr>
      <xdr:spPr>
        <a:xfrm>
          <a:off x="9223337" y="559846"/>
          <a:ext cx="281941" cy="1143000"/>
        </a:xfrm>
        <a:prstGeom prst="lef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623454</xdr:colOff>
      <xdr:row>4</xdr:row>
      <xdr:rowOff>304800</xdr:rowOff>
    </xdr:from>
    <xdr:to>
      <xdr:col>3</xdr:col>
      <xdr:colOff>27709</xdr:colOff>
      <xdr:row>4</xdr:row>
      <xdr:rowOff>318655</xdr:rowOff>
    </xdr:to>
    <xdr:cxnSp macro="">
      <xdr:nvCxnSpPr>
        <xdr:cNvPr id="2" name="Straight Arrow Connector 1">
          <a:extLst>
            <a:ext uri="{FF2B5EF4-FFF2-40B4-BE49-F238E27FC236}">
              <a16:creationId xmlns:a16="http://schemas.microsoft.com/office/drawing/2014/main" id="{00000000-0008-0000-6400-000002000000}"/>
            </a:ext>
          </a:extLst>
        </xdr:cNvPr>
        <xdr:cNvCxnSpPr/>
      </xdr:nvCxnSpPr>
      <xdr:spPr>
        <a:xfrm>
          <a:off x="1884218" y="1399309"/>
          <a:ext cx="1454727" cy="13855"/>
        </a:xfrm>
        <a:prstGeom prst="straightConnector1">
          <a:avLst/>
        </a:prstGeom>
        <a:ln w="254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484909</xdr:colOff>
      <xdr:row>1</xdr:row>
      <xdr:rowOff>318655</xdr:rowOff>
    </xdr:from>
    <xdr:to>
      <xdr:col>3</xdr:col>
      <xdr:colOff>484911</xdr:colOff>
      <xdr:row>4</xdr:row>
      <xdr:rowOff>0</xdr:rowOff>
    </xdr:to>
    <xdr:cxnSp macro="">
      <xdr:nvCxnSpPr>
        <xdr:cNvPr id="3" name="Straight Arrow Connector 2">
          <a:extLst>
            <a:ext uri="{FF2B5EF4-FFF2-40B4-BE49-F238E27FC236}">
              <a16:creationId xmlns:a16="http://schemas.microsoft.com/office/drawing/2014/main" id="{00000000-0008-0000-6400-000003000000}"/>
            </a:ext>
          </a:extLst>
        </xdr:cNvPr>
        <xdr:cNvCxnSpPr/>
      </xdr:nvCxnSpPr>
      <xdr:spPr>
        <a:xfrm>
          <a:off x="3796145" y="651164"/>
          <a:ext cx="2" cy="443345"/>
        </a:xfrm>
        <a:prstGeom prst="straightConnector1">
          <a:avLst/>
        </a:prstGeom>
        <a:ln w="254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83128</xdr:colOff>
      <xdr:row>2</xdr:row>
      <xdr:rowOff>166255</xdr:rowOff>
    </xdr:from>
    <xdr:to>
      <xdr:col>7</xdr:col>
      <xdr:colOff>83127</xdr:colOff>
      <xdr:row>4</xdr:row>
      <xdr:rowOff>429491</xdr:rowOff>
    </xdr:to>
    <xdr:cxnSp macro="">
      <xdr:nvCxnSpPr>
        <xdr:cNvPr id="4" name="Straight Arrow Connector 3">
          <a:extLst>
            <a:ext uri="{FF2B5EF4-FFF2-40B4-BE49-F238E27FC236}">
              <a16:creationId xmlns:a16="http://schemas.microsoft.com/office/drawing/2014/main" id="{00000000-0008-0000-6400-000004000000}"/>
            </a:ext>
          </a:extLst>
        </xdr:cNvPr>
        <xdr:cNvCxnSpPr/>
      </xdr:nvCxnSpPr>
      <xdr:spPr>
        <a:xfrm flipH="1">
          <a:off x="5237019" y="831273"/>
          <a:ext cx="2937163" cy="692727"/>
        </a:xfrm>
        <a:prstGeom prst="straightConnector1">
          <a:avLst/>
        </a:prstGeom>
        <a:ln w="254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640773</xdr:colOff>
      <xdr:row>18</xdr:row>
      <xdr:rowOff>121228</xdr:rowOff>
    </xdr:from>
    <xdr:to>
      <xdr:col>2</xdr:col>
      <xdr:colOff>1264227</xdr:colOff>
      <xdr:row>21</xdr:row>
      <xdr:rowOff>173182</xdr:rowOff>
    </xdr:to>
    <xdr:sp macro="" textlink="">
      <xdr:nvSpPr>
        <xdr:cNvPr id="5" name="Oval 4">
          <a:extLst>
            <a:ext uri="{FF2B5EF4-FFF2-40B4-BE49-F238E27FC236}">
              <a16:creationId xmlns:a16="http://schemas.microsoft.com/office/drawing/2014/main" id="{00000000-0008-0000-6400-000005000000}"/>
            </a:ext>
          </a:extLst>
        </xdr:cNvPr>
        <xdr:cNvSpPr/>
      </xdr:nvSpPr>
      <xdr:spPr>
        <a:xfrm>
          <a:off x="2545773" y="4822768"/>
          <a:ext cx="623454" cy="501534"/>
        </a:xfrm>
        <a:prstGeom prst="ellipse">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endParaRPr lang="en-US" sz="1100"/>
        </a:p>
      </xdr:txBody>
    </xdr:sp>
    <xdr:clientData/>
  </xdr:twoCellAnchor>
  <xdr:twoCellAnchor>
    <xdr:from>
      <xdr:col>2</xdr:col>
      <xdr:colOff>732076</xdr:colOff>
      <xdr:row>19</xdr:row>
      <xdr:rowOff>22031</xdr:rowOff>
    </xdr:from>
    <xdr:to>
      <xdr:col>2</xdr:col>
      <xdr:colOff>1172924</xdr:colOff>
      <xdr:row>21</xdr:row>
      <xdr:rowOff>81879</xdr:rowOff>
    </xdr:to>
    <xdr:cxnSp macro="">
      <xdr:nvCxnSpPr>
        <xdr:cNvPr id="6" name="Straight Connector 5">
          <a:extLst>
            <a:ext uri="{FF2B5EF4-FFF2-40B4-BE49-F238E27FC236}">
              <a16:creationId xmlns:a16="http://schemas.microsoft.com/office/drawing/2014/main" id="{00000000-0008-0000-6400-000006000000}"/>
            </a:ext>
          </a:extLst>
        </xdr:cNvPr>
        <xdr:cNvCxnSpPr>
          <a:stCxn id="5" idx="7"/>
          <a:endCxn id="5" idx="3"/>
        </xdr:cNvCxnSpPr>
      </xdr:nvCxnSpPr>
      <xdr:spPr>
        <a:xfrm flipH="1">
          <a:off x="2637076" y="4906451"/>
          <a:ext cx="440848" cy="326548"/>
        </a:xfrm>
        <a:prstGeom prst="line">
          <a:avLst/>
        </a:prstGeom>
        <a:ln w="349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520027</xdr:colOff>
      <xdr:row>16</xdr:row>
      <xdr:rowOff>208300</xdr:rowOff>
    </xdr:from>
    <xdr:to>
      <xdr:col>2</xdr:col>
      <xdr:colOff>449792</xdr:colOff>
      <xdr:row>20</xdr:row>
      <xdr:rowOff>85725</xdr:rowOff>
    </xdr:to>
    <xdr:sp macro="" textlink="">
      <xdr:nvSpPr>
        <xdr:cNvPr id="7" name="Right Arrow 6">
          <a:extLst>
            <a:ext uri="{FF2B5EF4-FFF2-40B4-BE49-F238E27FC236}">
              <a16:creationId xmlns:a16="http://schemas.microsoft.com/office/drawing/2014/main" id="{00000000-0008-0000-6400-000007000000}"/>
            </a:ext>
          </a:extLst>
        </xdr:cNvPr>
        <xdr:cNvSpPr/>
      </xdr:nvSpPr>
      <xdr:spPr>
        <a:xfrm rot="13750514">
          <a:off x="1673957" y="4472190"/>
          <a:ext cx="791825" cy="569845"/>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2598</xdr:colOff>
      <xdr:row>21</xdr:row>
      <xdr:rowOff>33770</xdr:rowOff>
    </xdr:from>
    <xdr:to>
      <xdr:col>13</xdr:col>
      <xdr:colOff>865909</xdr:colOff>
      <xdr:row>22</xdr:row>
      <xdr:rowOff>138545</xdr:rowOff>
    </xdr:to>
    <xdr:sp macro="" textlink="">
      <xdr:nvSpPr>
        <xdr:cNvPr id="8" name="Rectangle 7">
          <a:extLst>
            <a:ext uri="{FF2B5EF4-FFF2-40B4-BE49-F238E27FC236}">
              <a16:creationId xmlns:a16="http://schemas.microsoft.com/office/drawing/2014/main" id="{00000000-0008-0000-6400-000008000000}"/>
            </a:ext>
          </a:extLst>
        </xdr:cNvPr>
        <xdr:cNvSpPr/>
      </xdr:nvSpPr>
      <xdr:spPr>
        <a:xfrm>
          <a:off x="11181138" y="5184890"/>
          <a:ext cx="1472911" cy="287655"/>
        </a:xfrm>
        <a:prstGeom prst="rect">
          <a:avLst/>
        </a:prstGeom>
        <a:solidFill>
          <a:schemeClr val="bg1"/>
        </a:solidFill>
        <a:ln w="317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US" sz="2400" b="1">
              <a:solidFill>
                <a:sysClr val="windowText" lastClr="000000"/>
              </a:solidFill>
            </a:rPr>
            <a:t>SalesRep</a:t>
          </a:r>
        </a:p>
      </xdr:txBody>
    </xdr:sp>
    <xdr:clientData/>
  </xdr:twoCellAnchor>
  <xdr:twoCellAnchor>
    <xdr:from>
      <xdr:col>13</xdr:col>
      <xdr:colOff>121227</xdr:colOff>
      <xdr:row>21</xdr:row>
      <xdr:rowOff>155865</xdr:rowOff>
    </xdr:from>
    <xdr:to>
      <xdr:col>13</xdr:col>
      <xdr:colOff>674446</xdr:colOff>
      <xdr:row>26</xdr:row>
      <xdr:rowOff>155865</xdr:rowOff>
    </xdr:to>
    <xdr:sp macro="" textlink="">
      <xdr:nvSpPr>
        <xdr:cNvPr id="9" name="Right Arrow 8">
          <a:extLst>
            <a:ext uri="{FF2B5EF4-FFF2-40B4-BE49-F238E27FC236}">
              <a16:creationId xmlns:a16="http://schemas.microsoft.com/office/drawing/2014/main" id="{00000000-0008-0000-6400-000009000000}"/>
            </a:ext>
          </a:extLst>
        </xdr:cNvPr>
        <xdr:cNvSpPr/>
      </xdr:nvSpPr>
      <xdr:spPr>
        <a:xfrm rot="13750514">
          <a:off x="11759257" y="5457095"/>
          <a:ext cx="853440" cy="553219"/>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2598</xdr:colOff>
      <xdr:row>30</xdr:row>
      <xdr:rowOff>33770</xdr:rowOff>
    </xdr:from>
    <xdr:to>
      <xdr:col>13</xdr:col>
      <xdr:colOff>865909</xdr:colOff>
      <xdr:row>31</xdr:row>
      <xdr:rowOff>138545</xdr:rowOff>
    </xdr:to>
    <xdr:sp macro="" textlink="">
      <xdr:nvSpPr>
        <xdr:cNvPr id="10" name="Rectangle 9">
          <a:extLst>
            <a:ext uri="{FF2B5EF4-FFF2-40B4-BE49-F238E27FC236}">
              <a16:creationId xmlns:a16="http://schemas.microsoft.com/office/drawing/2014/main" id="{00000000-0008-0000-6400-00000A000000}"/>
            </a:ext>
          </a:extLst>
        </xdr:cNvPr>
        <xdr:cNvSpPr/>
      </xdr:nvSpPr>
      <xdr:spPr>
        <a:xfrm>
          <a:off x="11181138" y="6777470"/>
          <a:ext cx="1472911" cy="287655"/>
        </a:xfrm>
        <a:prstGeom prst="rect">
          <a:avLst/>
        </a:prstGeom>
        <a:solidFill>
          <a:schemeClr val="bg1"/>
        </a:solidFill>
        <a:ln w="317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US" sz="2400" b="1">
              <a:solidFill>
                <a:sysClr val="windowText" lastClr="000000"/>
              </a:solidFill>
            </a:rPr>
            <a:t>Region</a:t>
          </a:r>
        </a:p>
      </xdr:txBody>
    </xdr:sp>
    <xdr:clientData/>
  </xdr:twoCellAnchor>
  <xdr:twoCellAnchor>
    <xdr:from>
      <xdr:col>13</xdr:col>
      <xdr:colOff>121227</xdr:colOff>
      <xdr:row>30</xdr:row>
      <xdr:rowOff>155865</xdr:rowOff>
    </xdr:from>
    <xdr:to>
      <xdr:col>13</xdr:col>
      <xdr:colOff>674446</xdr:colOff>
      <xdr:row>35</xdr:row>
      <xdr:rowOff>155865</xdr:rowOff>
    </xdr:to>
    <xdr:sp macro="" textlink="">
      <xdr:nvSpPr>
        <xdr:cNvPr id="11" name="Right Arrow 10">
          <a:extLst>
            <a:ext uri="{FF2B5EF4-FFF2-40B4-BE49-F238E27FC236}">
              <a16:creationId xmlns:a16="http://schemas.microsoft.com/office/drawing/2014/main" id="{00000000-0008-0000-6400-00000B000000}"/>
            </a:ext>
          </a:extLst>
        </xdr:cNvPr>
        <xdr:cNvSpPr/>
      </xdr:nvSpPr>
      <xdr:spPr>
        <a:xfrm rot="13750514">
          <a:off x="11622097" y="7186835"/>
          <a:ext cx="1127760" cy="553219"/>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2598</xdr:colOff>
      <xdr:row>40</xdr:row>
      <xdr:rowOff>33770</xdr:rowOff>
    </xdr:from>
    <xdr:to>
      <xdr:col>13</xdr:col>
      <xdr:colOff>865909</xdr:colOff>
      <xdr:row>41</xdr:row>
      <xdr:rowOff>138545</xdr:rowOff>
    </xdr:to>
    <xdr:sp macro="" textlink="">
      <xdr:nvSpPr>
        <xdr:cNvPr id="12" name="Rectangle 11">
          <a:extLst>
            <a:ext uri="{FF2B5EF4-FFF2-40B4-BE49-F238E27FC236}">
              <a16:creationId xmlns:a16="http://schemas.microsoft.com/office/drawing/2014/main" id="{00000000-0008-0000-6400-00000C000000}"/>
            </a:ext>
          </a:extLst>
        </xdr:cNvPr>
        <xdr:cNvSpPr/>
      </xdr:nvSpPr>
      <xdr:spPr>
        <a:xfrm>
          <a:off x="11181138" y="8827250"/>
          <a:ext cx="1472911" cy="287655"/>
        </a:xfrm>
        <a:prstGeom prst="rect">
          <a:avLst/>
        </a:prstGeom>
        <a:solidFill>
          <a:schemeClr val="bg1"/>
        </a:solidFill>
        <a:ln w="317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US" sz="2400" b="1">
              <a:solidFill>
                <a:sysClr val="windowText" lastClr="000000"/>
              </a:solidFill>
            </a:rPr>
            <a:t>Sales</a:t>
          </a:r>
        </a:p>
      </xdr:txBody>
    </xdr:sp>
    <xdr:clientData/>
  </xdr:twoCellAnchor>
  <xdr:twoCellAnchor>
    <xdr:from>
      <xdr:col>13</xdr:col>
      <xdr:colOff>121227</xdr:colOff>
      <xdr:row>40</xdr:row>
      <xdr:rowOff>155865</xdr:rowOff>
    </xdr:from>
    <xdr:to>
      <xdr:col>13</xdr:col>
      <xdr:colOff>674446</xdr:colOff>
      <xdr:row>45</xdr:row>
      <xdr:rowOff>155865</xdr:rowOff>
    </xdr:to>
    <xdr:sp macro="" textlink="">
      <xdr:nvSpPr>
        <xdr:cNvPr id="13" name="Right Arrow 12">
          <a:extLst>
            <a:ext uri="{FF2B5EF4-FFF2-40B4-BE49-F238E27FC236}">
              <a16:creationId xmlns:a16="http://schemas.microsoft.com/office/drawing/2014/main" id="{00000000-0008-0000-6400-00000D000000}"/>
            </a:ext>
          </a:extLst>
        </xdr:cNvPr>
        <xdr:cNvSpPr/>
      </xdr:nvSpPr>
      <xdr:spPr>
        <a:xfrm rot="13750514">
          <a:off x="11622097" y="9236615"/>
          <a:ext cx="1127760" cy="553219"/>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7</xdr:col>
      <xdr:colOff>69272</xdr:colOff>
      <xdr:row>0</xdr:row>
      <xdr:rowOff>138546</xdr:rowOff>
    </xdr:from>
    <xdr:to>
      <xdr:col>7</xdr:col>
      <xdr:colOff>1371600</xdr:colOff>
      <xdr:row>7</xdr:row>
      <xdr:rowOff>180109</xdr:rowOff>
    </xdr:to>
    <xdr:sp macro="" textlink="">
      <xdr:nvSpPr>
        <xdr:cNvPr id="27" name="Rectangle 26">
          <a:extLst>
            <a:ext uri="{FF2B5EF4-FFF2-40B4-BE49-F238E27FC236}">
              <a16:creationId xmlns:a16="http://schemas.microsoft.com/office/drawing/2014/main" id="{00000000-0008-0000-6400-00001B000000}"/>
            </a:ext>
          </a:extLst>
        </xdr:cNvPr>
        <xdr:cNvSpPr/>
      </xdr:nvSpPr>
      <xdr:spPr>
        <a:xfrm>
          <a:off x="8160327" y="138546"/>
          <a:ext cx="1302328" cy="245225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tx1"/>
              </a:solidFill>
            </a:rPr>
            <a:t>This is called the 'Value' area because will  be making a calculation in this area - we will be adding.</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8</xdr:row>
      <xdr:rowOff>39831</xdr:rowOff>
    </xdr:from>
    <xdr:to>
      <xdr:col>4</xdr:col>
      <xdr:colOff>828387</xdr:colOff>
      <xdr:row>23</xdr:row>
      <xdr:rowOff>121227</xdr:rowOff>
    </xdr:to>
    <xdr:graphicFrame macro="">
      <xdr:nvGraphicFramePr>
        <xdr:cNvPr id="2" name="Chart 1">
          <a:extLst>
            <a:ext uri="{FF2B5EF4-FFF2-40B4-BE49-F238E27FC236}">
              <a16:creationId xmlns:a16="http://schemas.microsoft.com/office/drawing/2014/main" id="{00000000-0008-0000-8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51954</xdr:colOff>
      <xdr:row>24</xdr:row>
      <xdr:rowOff>39831</xdr:rowOff>
    </xdr:from>
    <xdr:to>
      <xdr:col>3</xdr:col>
      <xdr:colOff>1226705</xdr:colOff>
      <xdr:row>39</xdr:row>
      <xdr:rowOff>121227</xdr:rowOff>
    </xdr:to>
    <xdr:graphicFrame macro="">
      <xdr:nvGraphicFramePr>
        <xdr:cNvPr id="3" name="Chart 2">
          <a:extLst>
            <a:ext uri="{FF2B5EF4-FFF2-40B4-BE49-F238E27FC236}">
              <a16:creationId xmlns:a16="http://schemas.microsoft.com/office/drawing/2014/main" id="{00000000-0008-0000-8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155864</xdr:colOff>
      <xdr:row>40</xdr:row>
      <xdr:rowOff>39830</xdr:rowOff>
    </xdr:from>
    <xdr:to>
      <xdr:col>4</xdr:col>
      <xdr:colOff>658092</xdr:colOff>
      <xdr:row>54</xdr:row>
      <xdr:rowOff>116030</xdr:rowOff>
    </xdr:to>
    <xdr:graphicFrame macro="">
      <xdr:nvGraphicFramePr>
        <xdr:cNvPr id="4" name="Chart 3">
          <a:extLst>
            <a:ext uri="{FF2B5EF4-FFF2-40B4-BE49-F238E27FC236}">
              <a16:creationId xmlns:a16="http://schemas.microsoft.com/office/drawing/2014/main" id="{00000000-0008-0000-8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450273</xdr:colOff>
      <xdr:row>109</xdr:row>
      <xdr:rowOff>576695</xdr:rowOff>
    </xdr:from>
    <xdr:to>
      <xdr:col>11</xdr:col>
      <xdr:colOff>484909</xdr:colOff>
      <xdr:row>114</xdr:row>
      <xdr:rowOff>116031</xdr:rowOff>
    </xdr:to>
    <xdr:graphicFrame macro="">
      <xdr:nvGraphicFramePr>
        <xdr:cNvPr id="5" name="Chart 4">
          <a:extLst>
            <a:ext uri="{FF2B5EF4-FFF2-40B4-BE49-F238E27FC236}">
              <a16:creationId xmlns:a16="http://schemas.microsoft.com/office/drawing/2014/main" id="{00000000-0008-0000-8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173181</xdr:colOff>
      <xdr:row>55</xdr:row>
      <xdr:rowOff>126421</xdr:rowOff>
    </xdr:from>
    <xdr:to>
      <xdr:col>4</xdr:col>
      <xdr:colOff>675409</xdr:colOff>
      <xdr:row>70</xdr:row>
      <xdr:rowOff>12121</xdr:rowOff>
    </xdr:to>
    <xdr:graphicFrame macro="">
      <xdr:nvGraphicFramePr>
        <xdr:cNvPr id="6" name="Chart 5">
          <a:extLst>
            <a:ext uri="{FF2B5EF4-FFF2-40B4-BE49-F238E27FC236}">
              <a16:creationId xmlns:a16="http://schemas.microsoft.com/office/drawing/2014/main" id="{00000000-0008-0000-8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190500</xdr:colOff>
      <xdr:row>71</xdr:row>
      <xdr:rowOff>74467</xdr:rowOff>
    </xdr:from>
    <xdr:to>
      <xdr:col>4</xdr:col>
      <xdr:colOff>692728</xdr:colOff>
      <xdr:row>85</xdr:row>
      <xdr:rowOff>153266</xdr:rowOff>
    </xdr:to>
    <xdr:graphicFrame macro="">
      <xdr:nvGraphicFramePr>
        <xdr:cNvPr id="7" name="Chart 6">
          <a:extLst>
            <a:ext uri="{FF2B5EF4-FFF2-40B4-BE49-F238E27FC236}">
              <a16:creationId xmlns:a16="http://schemas.microsoft.com/office/drawing/2014/main" id="{00000000-0008-0000-8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225136</xdr:colOff>
      <xdr:row>87</xdr:row>
      <xdr:rowOff>5195</xdr:rowOff>
    </xdr:from>
    <xdr:to>
      <xdr:col>3</xdr:col>
      <xdr:colOff>1073727</xdr:colOff>
      <xdr:row>101</xdr:row>
      <xdr:rowOff>81395</xdr:rowOff>
    </xdr:to>
    <xdr:graphicFrame macro="">
      <xdr:nvGraphicFramePr>
        <xdr:cNvPr id="8" name="Chart 7">
          <a:extLst>
            <a:ext uri="{FF2B5EF4-FFF2-40B4-BE49-F238E27FC236}">
              <a16:creationId xmlns:a16="http://schemas.microsoft.com/office/drawing/2014/main" id="{00000000-0008-0000-8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336176</xdr:colOff>
      <xdr:row>11</xdr:row>
      <xdr:rowOff>1120</xdr:rowOff>
    </xdr:from>
    <xdr:to>
      <xdr:col>8</xdr:col>
      <xdr:colOff>537882</xdr:colOff>
      <xdr:row>22</xdr:row>
      <xdr:rowOff>77320</xdr:rowOff>
    </xdr:to>
    <xdr:graphicFrame macro="">
      <xdr:nvGraphicFramePr>
        <xdr:cNvPr id="2" name="Chart 1">
          <a:extLst>
            <a:ext uri="{FF2B5EF4-FFF2-40B4-BE49-F238E27FC236}">
              <a16:creationId xmlns:a16="http://schemas.microsoft.com/office/drawing/2014/main" id="{00000000-0008-0000-8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171450</xdr:colOff>
      <xdr:row>0</xdr:row>
      <xdr:rowOff>80962</xdr:rowOff>
    </xdr:from>
    <xdr:to>
      <xdr:col>10</xdr:col>
      <xdr:colOff>47625</xdr:colOff>
      <xdr:row>14</xdr:row>
      <xdr:rowOff>157162</xdr:rowOff>
    </xdr:to>
    <xdr:graphicFrame macro="">
      <xdr:nvGraphicFramePr>
        <xdr:cNvPr id="2" name="Chart 1">
          <a:extLst>
            <a:ext uri="{FF2B5EF4-FFF2-40B4-BE49-F238E27FC236}">
              <a16:creationId xmlns:a16="http://schemas.microsoft.com/office/drawing/2014/main" id="{00000000-0008-0000-8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file:///E:\VideoExcelStorage\01SlayingExcelDragonBook\SlayingExcelDragonsFinishedProduct\Upload%20Files\Videos\excelisfun-StartVideo..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361.460191666665" createdVersion="4" refreshedVersion="4" minRefreshableVersion="3" recordCount="105" xr:uid="{00000000-000A-0000-FFFF-FFFF14000000}">
  <cacheSource type="worksheet">
    <worksheetSource ref="A1:C106" sheet="PTData (9)"/>
  </cacheSource>
  <cacheFields count="3">
    <cacheField name="Date" numFmtId="172">
      <sharedItems containsSemiMixedTypes="0" containsNonDate="0" containsDate="1" containsString="0" minDate="2011-01-01T00:00:00" maxDate="2011-01-31T00:00:00"/>
    </cacheField>
    <cacheField name="SalesRep" numFmtId="0">
      <sharedItems count="6">
        <s v="Gault"/>
        <s v="Smith"/>
        <s v="Franks"/>
        <s v="Pham"/>
        <s v="Sioux"/>
        <s v="Chin"/>
      </sharedItems>
    </cacheField>
    <cacheField name="Sales" numFmtId="166">
      <sharedItems containsSemiMixedTypes="0" containsString="0" containsNumber="1" minValue="137.94" maxValue="1673.37999999999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361.460227199073" createdVersion="4" refreshedVersion="4" minRefreshableVersion="3" recordCount="37" xr:uid="{00000000-000A-0000-FFFF-FFFF15000000}">
  <cacheSource type="worksheet">
    <worksheetSource ref="A107:A144" sheet="Ct(1)" r:id="rId2"/>
  </cacheSource>
  <cacheFields count="1">
    <cacheField name="Scores" numFmtId="0">
      <sharedItems containsSemiMixedTypes="0" containsString="0" containsNumber="1" containsInteger="1" minValue="8" maxValue="98" count="30">
        <n v="69"/>
        <n v="75"/>
        <n v="56"/>
        <n v="26"/>
        <n v="85"/>
        <n v="67"/>
        <n v="70"/>
        <n v="30"/>
        <n v="81"/>
        <n v="74"/>
        <n v="98"/>
        <n v="45"/>
        <n v="79"/>
        <n v="72"/>
        <n v="65"/>
        <n v="68"/>
        <n v="52"/>
        <n v="82"/>
        <n v="53"/>
        <n v="64"/>
        <n v="88"/>
        <n v="92"/>
        <n v="34"/>
        <n v="73"/>
        <n v="66"/>
        <n v="37"/>
        <n v="8"/>
        <n v="84"/>
        <n v="62"/>
        <n v="38"/>
      </sharedItems>
      <fieldGroup base="0">
        <rangePr autoStart="0" autoEnd="0" startNum="0" endNum="100" groupInterval="10"/>
        <groupItems count="12">
          <s v="&lt;0"/>
          <s v="0-9"/>
          <s v="10-19"/>
          <s v="20-29"/>
          <s v="30-39"/>
          <s v="40-49"/>
          <s v="50-59"/>
          <s v="60-69"/>
          <s v="70-79"/>
          <s v="80-89"/>
          <s v="90-100"/>
          <s v="&gt;10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361.460228240743" createdVersion="4" refreshedVersion="4" minRefreshableVersion="3" recordCount="105" xr:uid="{00000000-000A-0000-FFFF-FFFF16000000}">
  <cacheSource type="worksheet">
    <worksheetSource ref="A1:H106" sheet="PTData (5)" r:id="rId2"/>
  </cacheSource>
  <cacheFields count="8">
    <cacheField name="Date" numFmtId="172">
      <sharedItems containsSemiMixedTypes="0" containsNonDate="0" containsDate="1" containsString="0" minDate="2011-01-01T00:00:00" maxDate="2011-01-31T00:00:00"/>
    </cacheField>
    <cacheField name="Product" numFmtId="0">
      <sharedItems count="5">
        <s v="Quad"/>
        <s v="Carlota"/>
        <s v="Sunshine"/>
        <s v="Bellen"/>
        <s v="Sunset"/>
      </sharedItems>
    </cacheField>
    <cacheField name="Region" numFmtId="0">
      <sharedItems count="4">
        <s v="East"/>
        <s v="South"/>
        <s v="MidWest"/>
        <s v="West"/>
      </sharedItems>
    </cacheField>
    <cacheField name="SalesRep" numFmtId="0">
      <sharedItems count="6">
        <s v="Gault"/>
        <s v="Smith"/>
        <s v="Franks"/>
        <s v="Pham"/>
        <s v="Sioux"/>
        <s v="Chin"/>
      </sharedItems>
    </cacheField>
    <cacheField name="Customer" numFmtId="0">
      <sharedItems/>
    </cacheField>
    <cacheField name="Units" numFmtId="0">
      <sharedItems containsSemiMixedTypes="0" containsString="0" containsNumber="1" containsInteger="1" minValue="6" maxValue="64"/>
    </cacheField>
    <cacheField name="Sales" numFmtId="166">
      <sharedItems containsSemiMixedTypes="0" containsString="0" containsNumber="1" minValue="137.94" maxValue="1673.3799999999999"/>
    </cacheField>
    <cacheField name="COGS" numFmtId="166">
      <sharedItems containsSemiMixedTypes="0" containsString="0" containsNumber="1" minValue="60" maxValue="899"/>
    </cacheField>
  </cacheFields>
  <extLst>
    <ext xmlns:x14="http://schemas.microsoft.com/office/spreadsheetml/2009/9/main" uri="{725AE2AE-9491-48be-B2B4-4EB974FC3084}">
      <x14:pivotCacheDefinition pivotCacheId="1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597.42769178241" createdVersion="4" refreshedVersion="4" minRefreshableVersion="3" recordCount="13" xr:uid="{00000000-000A-0000-FFFF-FFFF17000000}">
  <cacheSource type="worksheet">
    <worksheetSource ref="A1:A14" sheet="Array(3)" r:id="rId2"/>
  </cacheSource>
  <cacheFields count="1">
    <cacheField name="Sales" numFmtId="166">
      <sharedItems containsSemiMixedTypes="0" containsString="0" containsNumber="1" minValue="249.99" maxValue="2000" count="12">
        <n v="249.99"/>
        <n v="250"/>
        <n v="250.01"/>
        <n v="450"/>
        <n v="499.99"/>
        <n v="500"/>
        <n v="500.01"/>
        <n v="800"/>
        <n v="900"/>
        <n v="850"/>
        <n v="1000"/>
        <n v="2000"/>
      </sharedItems>
      <fieldGroup base="0">
        <rangePr autoStart="0" autoEnd="0" startNum="0" endNum="1000" groupInterval="250"/>
        <groupItems count="6">
          <s v="&lt;0"/>
          <s v="0-250"/>
          <s v="250-500"/>
          <s v="500-750"/>
          <s v="750-1000"/>
          <s v="&gt;1000"/>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4.719205671296" createdVersion="7" refreshedVersion="7" minRefreshableVersion="3" recordCount="13" xr:uid="{26879900-22E3-42EE-B49F-DFBDA98D2F9F}">
  <cacheSource type="worksheet">
    <worksheetSource ref="A1:C14" sheet="PT"/>
  </cacheSource>
  <cacheFields count="3">
    <cacheField name="Date" numFmtId="14">
      <sharedItems containsSemiMixedTypes="0" containsNonDate="0" containsDate="1" containsString="0" minDate="2010-08-09T00:00:00" maxDate="2010-08-15T00:00:00" count="6">
        <d v="2010-08-09T00:00:00"/>
        <d v="2010-08-10T00:00:00"/>
        <d v="2010-08-11T00:00:00"/>
        <d v="2010-08-12T00:00:00"/>
        <d v="2010-08-13T00:00:00"/>
        <d v="2010-08-14T00:00:00"/>
      </sharedItems>
    </cacheField>
    <cacheField name="SalesRep" numFmtId="0">
      <sharedItems count="3">
        <s v="Sioux"/>
        <s v="Tina"/>
        <s v="Chin"/>
      </sharedItems>
    </cacheField>
    <cacheField name="UnitsSold" numFmtId="0">
      <sharedItems containsSemiMixedTypes="0" containsString="0" containsNumber="1" containsInteger="1" minValue="1" maxValue="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5">
  <r>
    <d v="2011-01-12T00:00:00"/>
    <x v="0"/>
    <n v="971.64"/>
  </r>
  <r>
    <d v="2011-01-11T00:00:00"/>
    <x v="1"/>
    <n v="1673.3799999999999"/>
  </r>
  <r>
    <d v="2011-01-06T00:00:00"/>
    <x v="2"/>
    <n v="1349.5"/>
  </r>
  <r>
    <d v="2011-01-03T00:00:00"/>
    <x v="0"/>
    <n v="1415.4099999999999"/>
  </r>
  <r>
    <d v="2011-01-16T00:00:00"/>
    <x v="2"/>
    <n v="1271.47"/>
  </r>
  <r>
    <d v="2011-01-24T00:00:00"/>
    <x v="3"/>
    <n v="778.58999999999992"/>
  </r>
  <r>
    <d v="2011-01-10T00:00:00"/>
    <x v="1"/>
    <n v="298.87"/>
  </r>
  <r>
    <d v="2011-01-24T00:00:00"/>
    <x v="1"/>
    <n v="1511.4399999999998"/>
  </r>
  <r>
    <d v="2011-01-13T00:00:00"/>
    <x v="0"/>
    <n v="949.49999999999989"/>
  </r>
  <r>
    <d v="2011-01-25T00:00:00"/>
    <x v="1"/>
    <n v="493.73999999999995"/>
  </r>
  <r>
    <d v="2011-01-10T00:00:00"/>
    <x v="3"/>
    <n v="597.74"/>
  </r>
  <r>
    <d v="2011-01-29T00:00:00"/>
    <x v="0"/>
    <n v="1112.47"/>
  </r>
  <r>
    <d v="2011-01-17T00:00:00"/>
    <x v="3"/>
    <n v="1160.57"/>
  </r>
  <r>
    <d v="2011-01-03T00:00:00"/>
    <x v="0"/>
    <n v="971.64"/>
  </r>
  <r>
    <d v="2011-01-24T00:00:00"/>
    <x v="2"/>
    <n v="242.91"/>
  </r>
  <r>
    <d v="2011-01-23T00:00:00"/>
    <x v="0"/>
    <n v="1439.3999999999999"/>
  </r>
  <r>
    <d v="2011-01-20T00:00:00"/>
    <x v="0"/>
    <n v="146.92999999999998"/>
  </r>
  <r>
    <d v="2011-01-25T00:00:00"/>
    <x v="4"/>
    <n v="1349.5"/>
  </r>
  <r>
    <d v="2011-01-15T00:00:00"/>
    <x v="1"/>
    <n v="383.84"/>
  </r>
  <r>
    <d v="2011-01-25T00:00:00"/>
    <x v="0"/>
    <n v="643.71999999999991"/>
  </r>
  <r>
    <d v="2011-01-06T00:00:00"/>
    <x v="1"/>
    <n v="1006.4699999999999"/>
  </r>
  <r>
    <d v="2011-01-24T00:00:00"/>
    <x v="2"/>
    <n v="1646.3899999999999"/>
  </r>
  <r>
    <d v="2011-01-23T00:00:00"/>
    <x v="3"/>
    <n v="482.77"/>
  </r>
  <r>
    <d v="2011-01-02T00:00:00"/>
    <x v="4"/>
    <n v="303.83999999999997"/>
  </r>
  <r>
    <d v="2011-01-14T00:00:00"/>
    <x v="5"/>
    <n v="1160.57"/>
  </r>
  <r>
    <d v="2011-01-26T00:00:00"/>
    <x v="2"/>
    <n v="608.70999999999992"/>
  </r>
  <r>
    <d v="2011-01-13T00:00:00"/>
    <x v="4"/>
    <n v="1439.3999999999999"/>
  </r>
  <r>
    <d v="2011-01-28T00:00:00"/>
    <x v="2"/>
    <n v="455.80999999999995"/>
  </r>
  <r>
    <d v="2011-01-14T00:00:00"/>
    <x v="0"/>
    <n v="782.70999999999992"/>
  </r>
  <r>
    <d v="2011-01-25T00:00:00"/>
    <x v="0"/>
    <n v="503.78999999999996"/>
  </r>
  <r>
    <d v="2011-01-20T00:00:00"/>
    <x v="3"/>
    <n v="643.71999999999991"/>
  </r>
  <r>
    <d v="2011-01-09T00:00:00"/>
    <x v="2"/>
    <n v="854.55"/>
  </r>
  <r>
    <d v="2011-01-25T00:00:00"/>
    <x v="3"/>
    <n v="296.89"/>
  </r>
  <r>
    <d v="2011-01-02T00:00:00"/>
    <x v="4"/>
    <n v="1217.4199999999998"/>
  </r>
  <r>
    <d v="2011-01-05T00:00:00"/>
    <x v="5"/>
    <n v="1310.4299999999998"/>
  </r>
  <r>
    <d v="2011-01-05T00:00:00"/>
    <x v="1"/>
    <n v="818.6099999999999"/>
  </r>
  <r>
    <d v="2011-01-25T00:00:00"/>
    <x v="5"/>
    <n v="311.87"/>
  </r>
  <r>
    <d v="2011-01-05T00:00:00"/>
    <x v="5"/>
    <n v="1457.4599999999998"/>
  </r>
  <r>
    <d v="2011-01-09T00:00:00"/>
    <x v="0"/>
    <n v="239.89999999999998"/>
  </r>
  <r>
    <d v="2011-01-13T00:00:00"/>
    <x v="3"/>
    <n v="1177.3799999999999"/>
  </r>
  <r>
    <d v="2011-01-18T00:00:00"/>
    <x v="3"/>
    <n v="968.4899999999999"/>
  </r>
  <r>
    <d v="2011-01-12T00:00:00"/>
    <x v="2"/>
    <n v="505.78"/>
  </r>
  <r>
    <d v="2011-01-12T00:00:00"/>
    <x v="4"/>
    <n v="1149.5"/>
  </r>
  <r>
    <d v="2011-01-10T00:00:00"/>
    <x v="3"/>
    <n v="215.91"/>
  </r>
  <r>
    <d v="2011-01-01T00:00:00"/>
    <x v="2"/>
    <n v="551.76"/>
  </r>
  <r>
    <d v="2011-01-17T00:00:00"/>
    <x v="2"/>
    <n v="1133.58"/>
  </r>
  <r>
    <d v="2011-01-02T00:00:00"/>
    <x v="1"/>
    <n v="390.83"/>
  </r>
  <r>
    <d v="2011-01-29T00:00:00"/>
    <x v="1"/>
    <n v="459.79999999999995"/>
  </r>
  <r>
    <d v="2011-01-26T00:00:00"/>
    <x v="4"/>
    <n v="539.79999999999995"/>
  </r>
  <r>
    <d v="2011-01-13T00:00:00"/>
    <x v="0"/>
    <n v="208.89"/>
  </r>
  <r>
    <d v="2011-01-02T00:00:00"/>
    <x v="5"/>
    <n v="593.78"/>
  </r>
  <r>
    <d v="2011-01-23T00:00:00"/>
    <x v="3"/>
    <n v="436.80999999999995"/>
  </r>
  <r>
    <d v="2011-01-21T00:00:00"/>
    <x v="0"/>
    <n v="767.68"/>
  </r>
  <r>
    <d v="2011-01-08T00:00:00"/>
    <x v="1"/>
    <n v="701.74"/>
  </r>
  <r>
    <d v="2011-01-19T00:00:00"/>
    <x v="2"/>
    <n v="1538.4299999999998"/>
  </r>
  <r>
    <d v="2011-01-24T00:00:00"/>
    <x v="3"/>
    <n v="1082.4299999999998"/>
  </r>
  <r>
    <d v="2011-01-12T00:00:00"/>
    <x v="5"/>
    <n v="1592.4099999999999"/>
  </r>
  <r>
    <d v="2011-01-11T00:00:00"/>
    <x v="1"/>
    <n v="344.84999999999997"/>
  </r>
  <r>
    <d v="2011-01-23T00:00:00"/>
    <x v="1"/>
    <n v="1349.5"/>
  </r>
  <r>
    <d v="2011-01-23T00:00:00"/>
    <x v="0"/>
    <n v="608.70999999999992"/>
  </r>
  <r>
    <d v="2011-01-30T00:00:00"/>
    <x v="1"/>
    <n v="482.77"/>
  </r>
  <r>
    <d v="2011-01-05T00:00:00"/>
    <x v="1"/>
    <n v="229.89999999999998"/>
  </r>
  <r>
    <d v="2011-01-29T00:00:00"/>
    <x v="4"/>
    <n v="759.59999999999991"/>
  </r>
  <r>
    <d v="2011-01-05T00:00:00"/>
    <x v="4"/>
    <n v="482.77"/>
  </r>
  <r>
    <d v="2011-01-25T00:00:00"/>
    <x v="3"/>
    <n v="229.89999999999998"/>
  </r>
  <r>
    <d v="2011-01-17T00:00:00"/>
    <x v="1"/>
    <n v="1268.53"/>
  </r>
  <r>
    <d v="2011-01-22T00:00:00"/>
    <x v="1"/>
    <n v="1215.3599999999999"/>
  </r>
  <r>
    <d v="2011-01-30T00:00:00"/>
    <x v="3"/>
    <n v="229.89999999999998"/>
  </r>
  <r>
    <d v="2011-01-08T00:00:00"/>
    <x v="1"/>
    <n v="1448.37"/>
  </r>
  <r>
    <d v="2011-01-14T00:00:00"/>
    <x v="0"/>
    <n v="1195.48"/>
  </r>
  <r>
    <d v="2011-01-09T00:00:00"/>
    <x v="1"/>
    <n v="417.78"/>
  </r>
  <r>
    <d v="2011-01-22T00:00:00"/>
    <x v="1"/>
    <n v="550.70999999999992"/>
  </r>
  <r>
    <d v="2011-01-10T00:00:00"/>
    <x v="0"/>
    <n v="1149.5"/>
  </r>
  <r>
    <d v="2011-01-26T00:00:00"/>
    <x v="4"/>
    <n v="1049.5"/>
  </r>
  <r>
    <d v="2011-01-14T00:00:00"/>
    <x v="4"/>
    <n v="1151.52"/>
  </r>
  <r>
    <d v="2011-01-13T00:00:00"/>
    <x v="3"/>
    <n v="728.7299999999999"/>
  </r>
  <r>
    <d v="2011-01-12T00:00:00"/>
    <x v="1"/>
    <n v="137.94"/>
  </r>
  <r>
    <d v="2011-01-28T00:00:00"/>
    <x v="3"/>
    <n v="1487.3799999999999"/>
  </r>
  <r>
    <d v="2011-01-22T00:00:00"/>
    <x v="4"/>
    <n v="239.89999999999998"/>
  </r>
  <r>
    <d v="2011-01-04T00:00:00"/>
    <x v="0"/>
    <n v="791.67"/>
  </r>
  <r>
    <d v="2011-01-26T00:00:00"/>
    <x v="4"/>
    <n v="458.83"/>
  </r>
  <r>
    <d v="2011-01-19T00:00:00"/>
    <x v="0"/>
    <n v="229.89999999999998"/>
  </r>
  <r>
    <d v="2011-01-01T00:00:00"/>
    <x v="1"/>
    <n v="191.92"/>
  </r>
  <r>
    <d v="2011-01-06T00:00:00"/>
    <x v="3"/>
    <n v="629.69999999999993"/>
  </r>
  <r>
    <d v="2011-01-08T00:00:00"/>
    <x v="4"/>
    <n v="527.78"/>
  </r>
  <r>
    <d v="2011-01-28T00:00:00"/>
    <x v="1"/>
    <n v="809.69999999999993"/>
  </r>
  <r>
    <d v="2011-01-12T00:00:00"/>
    <x v="0"/>
    <n v="1471.36"/>
  </r>
  <r>
    <d v="2011-01-10T00:00:00"/>
    <x v="5"/>
    <n v="1160.57"/>
  </r>
  <r>
    <d v="2011-01-28T00:00:00"/>
    <x v="1"/>
    <n v="1034.55"/>
  </r>
  <r>
    <d v="2011-01-22T00:00:00"/>
    <x v="3"/>
    <n v="1079.55"/>
  </r>
  <r>
    <d v="2011-01-25T00:00:00"/>
    <x v="4"/>
    <n v="1044.4499999999998"/>
  </r>
  <r>
    <d v="2011-01-18T00:00:00"/>
    <x v="1"/>
    <n v="1177.3799999999999"/>
  </r>
  <r>
    <d v="2011-01-06T00:00:00"/>
    <x v="0"/>
    <n v="263.89"/>
  </r>
  <r>
    <d v="2011-01-26T00:00:00"/>
    <x v="3"/>
    <n v="458.83"/>
  </r>
  <r>
    <d v="2011-01-11T00:00:00"/>
    <x v="5"/>
    <n v="1310.4299999999998"/>
  </r>
  <r>
    <d v="2011-01-20T00:00:00"/>
    <x v="2"/>
    <n v="1215.3599999999999"/>
  </r>
  <r>
    <d v="2011-01-23T00:00:00"/>
    <x v="0"/>
    <n v="836.68999999999994"/>
  </r>
  <r>
    <d v="2011-01-20T00:00:00"/>
    <x v="3"/>
    <n v="440.78999999999996"/>
  </r>
  <r>
    <d v="2011-01-03T00:00:00"/>
    <x v="3"/>
    <n v="863.68"/>
  </r>
  <r>
    <d v="2011-01-05T00:00:00"/>
    <x v="0"/>
    <n v="1127.53"/>
  </r>
  <r>
    <d v="2011-01-11T00:00:00"/>
    <x v="0"/>
    <n v="436.80999999999995"/>
  </r>
  <r>
    <d v="2011-01-28T00:00:00"/>
    <x v="5"/>
    <n v="335.85999999999996"/>
  </r>
  <r>
    <d v="2011-01-05T00:00:00"/>
    <x v="2"/>
    <n v="265.85999999999996"/>
  </r>
  <r>
    <d v="2011-01-15T00:00:00"/>
    <x v="3"/>
    <n v="1484.4499999999998"/>
  </r>
  <r>
    <d v="2011-01-04T00:00:00"/>
    <x v="4"/>
    <n v="702.63"/>
  </r>
</pivotCacheRecords>
</file>

<file path=xl/pivotCache/pivotCacheRecords2.xml><?xml version="1.0" encoding="utf-8"?>
<pivotCacheRecords xmlns="http://schemas.openxmlformats.org/spreadsheetml/2006/main" xmlns:r="http://schemas.openxmlformats.org/officeDocument/2006/relationships" count="37">
  <r>
    <x v="0"/>
  </r>
  <r>
    <x v="1"/>
  </r>
  <r>
    <x v="2"/>
  </r>
  <r>
    <x v="3"/>
  </r>
  <r>
    <x v="4"/>
  </r>
  <r>
    <x v="5"/>
  </r>
  <r>
    <x v="5"/>
  </r>
  <r>
    <x v="6"/>
  </r>
  <r>
    <x v="7"/>
  </r>
  <r>
    <x v="8"/>
  </r>
  <r>
    <x v="9"/>
  </r>
  <r>
    <x v="10"/>
  </r>
  <r>
    <x v="11"/>
  </r>
  <r>
    <x v="12"/>
  </r>
  <r>
    <x v="13"/>
  </r>
  <r>
    <x v="14"/>
  </r>
  <r>
    <x v="15"/>
  </r>
  <r>
    <x v="16"/>
  </r>
  <r>
    <x v="17"/>
  </r>
  <r>
    <x v="18"/>
  </r>
  <r>
    <x v="19"/>
  </r>
  <r>
    <x v="8"/>
  </r>
  <r>
    <x v="20"/>
  </r>
  <r>
    <x v="21"/>
  </r>
  <r>
    <x v="19"/>
  </r>
  <r>
    <x v="17"/>
  </r>
  <r>
    <x v="22"/>
  </r>
  <r>
    <x v="16"/>
  </r>
  <r>
    <x v="9"/>
  </r>
  <r>
    <x v="23"/>
  </r>
  <r>
    <x v="24"/>
  </r>
  <r>
    <x v="25"/>
  </r>
  <r>
    <x v="26"/>
  </r>
  <r>
    <x v="27"/>
  </r>
  <r>
    <x v="15"/>
  </r>
  <r>
    <x v="28"/>
  </r>
  <r>
    <x v="29"/>
  </r>
</pivotCacheRecords>
</file>

<file path=xl/pivotCache/pivotCacheRecords3.xml><?xml version="1.0" encoding="utf-8"?>
<pivotCacheRecords xmlns="http://schemas.openxmlformats.org/spreadsheetml/2006/main" xmlns:r="http://schemas.openxmlformats.org/officeDocument/2006/relationships" count="105">
  <r>
    <d v="2011-01-12T00:00:00"/>
    <x v="0"/>
    <x v="0"/>
    <x v="0"/>
    <s v="TTT"/>
    <n v="36"/>
    <n v="971.64"/>
    <n v="522"/>
  </r>
  <r>
    <d v="2011-01-11T00:00:00"/>
    <x v="0"/>
    <x v="0"/>
    <x v="1"/>
    <s v="HII"/>
    <n v="62"/>
    <n v="1673.3799999999999"/>
    <n v="899"/>
  </r>
  <r>
    <d v="2011-01-06T00:00:00"/>
    <x v="0"/>
    <x v="0"/>
    <x v="2"/>
    <s v="FM"/>
    <n v="50"/>
    <n v="1349.5"/>
    <n v="725"/>
  </r>
  <r>
    <d v="2011-01-03T00:00:00"/>
    <x v="1"/>
    <x v="1"/>
    <x v="0"/>
    <s v="MBG"/>
    <n v="59"/>
    <n v="1415.4099999999999"/>
    <n v="649"/>
  </r>
  <r>
    <d v="2011-01-16T00:00:00"/>
    <x v="1"/>
    <x v="2"/>
    <x v="2"/>
    <s v="JAQ"/>
    <n v="53"/>
    <n v="1271.47"/>
    <n v="583"/>
  </r>
  <r>
    <d v="2011-01-24T00:00:00"/>
    <x v="2"/>
    <x v="3"/>
    <x v="3"/>
    <s v="ITTW"/>
    <n v="41"/>
    <n v="778.58999999999992"/>
    <n v="328"/>
  </r>
  <r>
    <d v="2011-01-10T00:00:00"/>
    <x v="3"/>
    <x v="2"/>
    <x v="1"/>
    <s v="HHH"/>
    <n v="13"/>
    <n v="298.87"/>
    <n v="130"/>
  </r>
  <r>
    <d v="2011-01-24T00:00:00"/>
    <x v="0"/>
    <x v="1"/>
    <x v="1"/>
    <s v="TTT"/>
    <n v="56"/>
    <n v="1511.4399999999998"/>
    <n v="812"/>
  </r>
  <r>
    <d v="2011-01-13T00:00:00"/>
    <x v="2"/>
    <x v="0"/>
    <x v="0"/>
    <s v="WT"/>
    <n v="50"/>
    <n v="949.49999999999989"/>
    <n v="400"/>
  </r>
  <r>
    <d v="2011-01-25T00:00:00"/>
    <x v="2"/>
    <x v="2"/>
    <x v="1"/>
    <s v="PSA"/>
    <n v="26"/>
    <n v="493.73999999999995"/>
    <n v="208"/>
  </r>
  <r>
    <d v="2011-01-10T00:00:00"/>
    <x v="3"/>
    <x v="0"/>
    <x v="3"/>
    <s v="HII"/>
    <n v="26"/>
    <n v="597.74"/>
    <n v="260"/>
  </r>
  <r>
    <d v="2011-01-29T00:00:00"/>
    <x v="4"/>
    <x v="1"/>
    <x v="0"/>
    <s v="TRU"/>
    <n v="53"/>
    <n v="1112.47"/>
    <n v="490.25"/>
  </r>
  <r>
    <d v="2011-01-17T00:00:00"/>
    <x v="0"/>
    <x v="0"/>
    <x v="3"/>
    <s v="DFR"/>
    <n v="43"/>
    <n v="1160.57"/>
    <n v="623.5"/>
  </r>
  <r>
    <d v="2011-01-03T00:00:00"/>
    <x v="0"/>
    <x v="2"/>
    <x v="0"/>
    <s v="FM"/>
    <n v="36"/>
    <n v="971.64"/>
    <n v="522"/>
  </r>
  <r>
    <d v="2011-01-24T00:00:00"/>
    <x v="0"/>
    <x v="1"/>
    <x v="2"/>
    <s v="KBTB"/>
    <n v="9"/>
    <n v="242.91"/>
    <n v="130.5"/>
  </r>
  <r>
    <d v="2011-01-23T00:00:00"/>
    <x v="1"/>
    <x v="1"/>
    <x v="0"/>
    <s v="ET"/>
    <n v="60"/>
    <n v="1439.3999999999999"/>
    <n v="660"/>
  </r>
  <r>
    <d v="2011-01-20T00:00:00"/>
    <x v="4"/>
    <x v="0"/>
    <x v="0"/>
    <s v="WSD"/>
    <n v="7"/>
    <n v="146.92999999999998"/>
    <n v="64.75"/>
  </r>
  <r>
    <d v="2011-01-25T00:00:00"/>
    <x v="0"/>
    <x v="0"/>
    <x v="4"/>
    <s v="PSA"/>
    <n v="50"/>
    <n v="1349.5"/>
    <n v="725"/>
  </r>
  <r>
    <d v="2011-01-15T00:00:00"/>
    <x v="1"/>
    <x v="3"/>
    <x v="1"/>
    <s v="DFR"/>
    <n v="16"/>
    <n v="383.84"/>
    <n v="176"/>
  </r>
  <r>
    <d v="2011-01-25T00:00:00"/>
    <x v="3"/>
    <x v="2"/>
    <x v="0"/>
    <s v="WFMI"/>
    <n v="28"/>
    <n v="643.71999999999991"/>
    <n v="280"/>
  </r>
  <r>
    <d v="2011-01-06T00:00:00"/>
    <x v="2"/>
    <x v="1"/>
    <x v="1"/>
    <s v="TRU"/>
    <n v="53"/>
    <n v="1006.4699999999999"/>
    <n v="424"/>
  </r>
  <r>
    <d v="2011-01-24T00:00:00"/>
    <x v="0"/>
    <x v="2"/>
    <x v="2"/>
    <s v="AA"/>
    <n v="61"/>
    <n v="1646.3899999999999"/>
    <n v="884.5"/>
  </r>
  <r>
    <d v="2011-01-23T00:00:00"/>
    <x v="4"/>
    <x v="2"/>
    <x v="3"/>
    <s v="ITTW"/>
    <n v="23"/>
    <n v="482.77"/>
    <n v="212.75"/>
  </r>
  <r>
    <d v="2011-01-02T00:00:00"/>
    <x v="2"/>
    <x v="3"/>
    <x v="4"/>
    <s v="TTT"/>
    <n v="16"/>
    <n v="303.83999999999997"/>
    <n v="128"/>
  </r>
  <r>
    <d v="2011-01-14T00:00:00"/>
    <x v="0"/>
    <x v="3"/>
    <x v="5"/>
    <s v="TRU"/>
    <n v="43"/>
    <n v="1160.57"/>
    <n v="623.5"/>
  </r>
  <r>
    <d v="2011-01-26T00:00:00"/>
    <x v="4"/>
    <x v="0"/>
    <x v="2"/>
    <s v="TTT"/>
    <n v="29"/>
    <n v="608.70999999999992"/>
    <n v="268.25"/>
  </r>
  <r>
    <d v="2011-01-13T00:00:00"/>
    <x v="1"/>
    <x v="0"/>
    <x v="4"/>
    <s v="ET"/>
    <n v="60"/>
    <n v="1439.3999999999999"/>
    <n v="660"/>
  </r>
  <r>
    <d v="2011-01-28T00:00:00"/>
    <x v="1"/>
    <x v="1"/>
    <x v="2"/>
    <s v="FRED"/>
    <n v="19"/>
    <n v="455.80999999999995"/>
    <n v="209"/>
  </r>
  <r>
    <d v="2011-01-14T00:00:00"/>
    <x v="0"/>
    <x v="2"/>
    <x v="0"/>
    <s v="ET"/>
    <n v="29"/>
    <n v="782.70999999999992"/>
    <n v="420.5"/>
  </r>
  <r>
    <d v="2011-01-25T00:00:00"/>
    <x v="1"/>
    <x v="1"/>
    <x v="0"/>
    <s v="FRED"/>
    <n v="21"/>
    <n v="503.78999999999996"/>
    <n v="231"/>
  </r>
  <r>
    <d v="2011-01-20T00:00:00"/>
    <x v="3"/>
    <x v="1"/>
    <x v="3"/>
    <s v="ZAT"/>
    <n v="28"/>
    <n v="643.71999999999991"/>
    <n v="280"/>
  </r>
  <r>
    <d v="2011-01-09T00:00:00"/>
    <x v="2"/>
    <x v="3"/>
    <x v="2"/>
    <s v="EPP"/>
    <n v="45"/>
    <n v="854.55"/>
    <n v="360"/>
  </r>
  <r>
    <d v="2011-01-25T00:00:00"/>
    <x v="0"/>
    <x v="2"/>
    <x v="3"/>
    <s v="ITTW"/>
    <n v="11"/>
    <n v="296.89"/>
    <n v="159.5"/>
  </r>
  <r>
    <d v="2011-01-02T00:00:00"/>
    <x v="4"/>
    <x v="1"/>
    <x v="4"/>
    <s v="KPSA"/>
    <n v="58"/>
    <n v="1217.4199999999998"/>
    <n v="536.5"/>
  </r>
  <r>
    <d v="2011-01-05T00:00:00"/>
    <x v="3"/>
    <x v="2"/>
    <x v="5"/>
    <s v="AA"/>
    <n v="57"/>
    <n v="1310.4299999999998"/>
    <n v="570"/>
  </r>
  <r>
    <d v="2011-01-05T00:00:00"/>
    <x v="4"/>
    <x v="1"/>
    <x v="1"/>
    <s v="KPSA"/>
    <n v="39"/>
    <n v="818.6099999999999"/>
    <n v="360.75"/>
  </r>
  <r>
    <d v="2011-01-25T00:00:00"/>
    <x v="1"/>
    <x v="2"/>
    <x v="5"/>
    <s v="MNGD"/>
    <n v="13"/>
    <n v="311.87"/>
    <n v="143"/>
  </r>
  <r>
    <d v="2011-01-05T00:00:00"/>
    <x v="0"/>
    <x v="2"/>
    <x v="5"/>
    <s v="PSA"/>
    <n v="54"/>
    <n v="1457.4599999999998"/>
    <n v="783"/>
  </r>
  <r>
    <d v="2011-01-09T00:00:00"/>
    <x v="1"/>
    <x v="0"/>
    <x v="0"/>
    <s v="FM"/>
    <n v="10"/>
    <n v="239.89999999999998"/>
    <n v="110"/>
  </r>
  <r>
    <d v="2011-01-13T00:00:00"/>
    <x v="2"/>
    <x v="1"/>
    <x v="3"/>
    <s v="WFMI"/>
    <n v="62"/>
    <n v="1177.3799999999999"/>
    <n v="496"/>
  </r>
  <r>
    <d v="2011-01-18T00:00:00"/>
    <x v="2"/>
    <x v="0"/>
    <x v="3"/>
    <s v="WSD"/>
    <n v="51"/>
    <n v="968.4899999999999"/>
    <n v="408"/>
  </r>
  <r>
    <d v="2011-01-12T00:00:00"/>
    <x v="3"/>
    <x v="2"/>
    <x v="2"/>
    <s v="EPP"/>
    <n v="22"/>
    <n v="505.78"/>
    <n v="220"/>
  </r>
  <r>
    <d v="2011-01-12T00:00:00"/>
    <x v="3"/>
    <x v="1"/>
    <x v="4"/>
    <s v="AST"/>
    <n v="50"/>
    <n v="1149.5"/>
    <n v="500"/>
  </r>
  <r>
    <d v="2011-01-10T00:00:00"/>
    <x v="1"/>
    <x v="0"/>
    <x v="3"/>
    <s v="TTT"/>
    <n v="9"/>
    <n v="215.91"/>
    <n v="99"/>
  </r>
  <r>
    <d v="2011-01-01T00:00:00"/>
    <x v="3"/>
    <x v="3"/>
    <x v="2"/>
    <s v="PSA"/>
    <n v="24"/>
    <n v="551.76"/>
    <n v="240"/>
  </r>
  <r>
    <d v="2011-01-17T00:00:00"/>
    <x v="0"/>
    <x v="1"/>
    <x v="2"/>
    <s v="SFWK"/>
    <n v="42"/>
    <n v="1133.58"/>
    <n v="609"/>
  </r>
  <r>
    <d v="2011-01-02T00:00:00"/>
    <x v="3"/>
    <x v="1"/>
    <x v="1"/>
    <s v="KBTB"/>
    <n v="17"/>
    <n v="390.83"/>
    <n v="170"/>
  </r>
  <r>
    <d v="2011-01-29T00:00:00"/>
    <x v="3"/>
    <x v="3"/>
    <x v="1"/>
    <s v="EPP"/>
    <n v="20"/>
    <n v="459.79999999999995"/>
    <n v="200"/>
  </r>
  <r>
    <d v="2011-01-26T00:00:00"/>
    <x v="0"/>
    <x v="1"/>
    <x v="4"/>
    <s v="ITW"/>
    <n v="20"/>
    <n v="539.79999999999995"/>
    <n v="290"/>
  </r>
  <r>
    <d v="2011-01-13T00:00:00"/>
    <x v="2"/>
    <x v="0"/>
    <x v="0"/>
    <s v="T"/>
    <n v="11"/>
    <n v="208.89"/>
    <n v="88"/>
  </r>
  <r>
    <d v="2011-01-02T00:00:00"/>
    <x v="0"/>
    <x v="3"/>
    <x v="5"/>
    <s v="TTT"/>
    <n v="22"/>
    <n v="593.78"/>
    <n v="319"/>
  </r>
  <r>
    <d v="2011-01-23T00:00:00"/>
    <x v="3"/>
    <x v="1"/>
    <x v="3"/>
    <s v="QT"/>
    <n v="19"/>
    <n v="436.80999999999995"/>
    <n v="190"/>
  </r>
  <r>
    <d v="2011-01-21T00:00:00"/>
    <x v="1"/>
    <x v="0"/>
    <x v="0"/>
    <s v="AA"/>
    <n v="32"/>
    <n v="767.68"/>
    <n v="352"/>
  </r>
  <r>
    <d v="2011-01-08T00:00:00"/>
    <x v="0"/>
    <x v="3"/>
    <x v="1"/>
    <s v="BBT"/>
    <n v="26"/>
    <n v="701.74"/>
    <n v="377"/>
  </r>
  <r>
    <d v="2011-01-19T00:00:00"/>
    <x v="0"/>
    <x v="3"/>
    <x v="2"/>
    <s v="PLOT"/>
    <n v="57"/>
    <n v="1538.4299999999998"/>
    <n v="826.5"/>
  </r>
  <r>
    <d v="2011-01-24T00:00:00"/>
    <x v="2"/>
    <x v="0"/>
    <x v="3"/>
    <s v="EPP"/>
    <n v="57"/>
    <n v="1082.4299999999998"/>
    <n v="456"/>
  </r>
  <r>
    <d v="2011-01-12T00:00:00"/>
    <x v="0"/>
    <x v="0"/>
    <x v="5"/>
    <s v="YTR"/>
    <n v="59"/>
    <n v="1592.4099999999999"/>
    <n v="855.5"/>
  </r>
  <r>
    <d v="2011-01-11T00:00:00"/>
    <x v="3"/>
    <x v="1"/>
    <x v="1"/>
    <s v="LOP"/>
    <n v="15"/>
    <n v="344.84999999999997"/>
    <n v="150"/>
  </r>
  <r>
    <d v="2011-01-23T00:00:00"/>
    <x v="0"/>
    <x v="2"/>
    <x v="1"/>
    <s v="MBG"/>
    <n v="50"/>
    <n v="1349.5"/>
    <n v="725"/>
  </r>
  <r>
    <d v="2011-01-23T00:00:00"/>
    <x v="4"/>
    <x v="0"/>
    <x v="0"/>
    <s v="AST"/>
    <n v="29"/>
    <n v="608.70999999999992"/>
    <n v="268.25"/>
  </r>
  <r>
    <d v="2011-01-30T00:00:00"/>
    <x v="4"/>
    <x v="3"/>
    <x v="1"/>
    <s v="DFGH"/>
    <n v="23"/>
    <n v="482.77"/>
    <n v="212.75"/>
  </r>
  <r>
    <d v="2011-01-05T00:00:00"/>
    <x v="3"/>
    <x v="0"/>
    <x v="1"/>
    <s v="GRR"/>
    <n v="10"/>
    <n v="229.89999999999998"/>
    <n v="100"/>
  </r>
  <r>
    <d v="2011-01-29T00:00:00"/>
    <x v="2"/>
    <x v="0"/>
    <x v="4"/>
    <s v="EPP"/>
    <n v="40"/>
    <n v="759.59999999999991"/>
    <n v="320"/>
  </r>
  <r>
    <d v="2011-01-05T00:00:00"/>
    <x v="4"/>
    <x v="1"/>
    <x v="4"/>
    <s v="AST"/>
    <n v="23"/>
    <n v="482.77"/>
    <n v="212.75"/>
  </r>
  <r>
    <d v="2011-01-25T00:00:00"/>
    <x v="3"/>
    <x v="2"/>
    <x v="3"/>
    <s v="MBG"/>
    <n v="10"/>
    <n v="229.89999999999998"/>
    <n v="100"/>
  </r>
  <r>
    <d v="2011-01-17T00:00:00"/>
    <x v="0"/>
    <x v="3"/>
    <x v="1"/>
    <s v="KBTB"/>
    <n v="47"/>
    <n v="1268.53"/>
    <n v="681.5"/>
  </r>
  <r>
    <d v="2011-01-22T00:00:00"/>
    <x v="2"/>
    <x v="3"/>
    <x v="1"/>
    <s v="WT"/>
    <n v="64"/>
    <n v="1215.3599999999999"/>
    <n v="512"/>
  </r>
  <r>
    <d v="2011-01-30T00:00:00"/>
    <x v="3"/>
    <x v="2"/>
    <x v="3"/>
    <s v="FRED"/>
    <n v="10"/>
    <n v="229.89999999999998"/>
    <n v="100"/>
  </r>
  <r>
    <d v="2011-01-08T00:00:00"/>
    <x v="3"/>
    <x v="1"/>
    <x v="1"/>
    <s v="DDH"/>
    <n v="63"/>
    <n v="1448.37"/>
    <n v="630"/>
  </r>
  <r>
    <d v="2011-01-14T00:00:00"/>
    <x v="3"/>
    <x v="1"/>
    <x v="0"/>
    <s v="JAQ"/>
    <n v="52"/>
    <n v="1195.48"/>
    <n v="520"/>
  </r>
  <r>
    <d v="2011-01-09T00:00:00"/>
    <x v="2"/>
    <x v="1"/>
    <x v="1"/>
    <s v="AA"/>
    <n v="22"/>
    <n v="417.78"/>
    <n v="176"/>
  </r>
  <r>
    <d v="2011-01-22T00:00:00"/>
    <x v="2"/>
    <x v="2"/>
    <x v="1"/>
    <s v="MNGD"/>
    <n v="29"/>
    <n v="550.70999999999992"/>
    <n v="232"/>
  </r>
  <r>
    <d v="2011-01-10T00:00:00"/>
    <x v="3"/>
    <x v="2"/>
    <x v="0"/>
    <s v="TTT"/>
    <n v="50"/>
    <n v="1149.5"/>
    <n v="500"/>
  </r>
  <r>
    <d v="2011-01-26T00:00:00"/>
    <x v="4"/>
    <x v="3"/>
    <x v="4"/>
    <s v="FM"/>
    <n v="50"/>
    <n v="1049.5"/>
    <n v="462.5"/>
  </r>
  <r>
    <d v="2011-01-14T00:00:00"/>
    <x v="1"/>
    <x v="1"/>
    <x v="4"/>
    <s v="ITW"/>
    <n v="48"/>
    <n v="1151.52"/>
    <n v="528"/>
  </r>
  <r>
    <d v="2011-01-13T00:00:00"/>
    <x v="0"/>
    <x v="0"/>
    <x v="3"/>
    <s v="SFWK"/>
    <n v="27"/>
    <n v="728.7299999999999"/>
    <n v="391.5"/>
  </r>
  <r>
    <d v="2011-01-12T00:00:00"/>
    <x v="3"/>
    <x v="3"/>
    <x v="1"/>
    <s v="PCC"/>
    <n v="6"/>
    <n v="137.94"/>
    <n v="60"/>
  </r>
  <r>
    <d v="2011-01-28T00:00:00"/>
    <x v="1"/>
    <x v="2"/>
    <x v="3"/>
    <s v="PLOT"/>
    <n v="62"/>
    <n v="1487.3799999999999"/>
    <n v="682"/>
  </r>
  <r>
    <d v="2011-01-22T00:00:00"/>
    <x v="1"/>
    <x v="2"/>
    <x v="4"/>
    <s v="TRU"/>
    <n v="10"/>
    <n v="239.89999999999998"/>
    <n v="110"/>
  </r>
  <r>
    <d v="2011-01-04T00:00:00"/>
    <x v="1"/>
    <x v="0"/>
    <x v="0"/>
    <s v="MBG"/>
    <n v="33"/>
    <n v="791.67"/>
    <n v="363"/>
  </r>
  <r>
    <d v="2011-01-26T00:00:00"/>
    <x v="0"/>
    <x v="1"/>
    <x v="4"/>
    <s v="QT"/>
    <n v="17"/>
    <n v="458.83"/>
    <n v="246.5"/>
  </r>
  <r>
    <d v="2011-01-19T00:00:00"/>
    <x v="3"/>
    <x v="1"/>
    <x v="0"/>
    <s v="DFGH"/>
    <n v="10"/>
    <n v="229.89999999999998"/>
    <n v="100"/>
  </r>
  <r>
    <d v="2011-01-01T00:00:00"/>
    <x v="1"/>
    <x v="0"/>
    <x v="1"/>
    <s v="MBG"/>
    <n v="8"/>
    <n v="191.92"/>
    <n v="88"/>
  </r>
  <r>
    <d v="2011-01-06T00:00:00"/>
    <x v="4"/>
    <x v="2"/>
    <x v="3"/>
    <s v="TRU"/>
    <n v="30"/>
    <n v="629.69999999999993"/>
    <n v="277.5"/>
  </r>
  <r>
    <d v="2011-01-08T00:00:00"/>
    <x v="1"/>
    <x v="3"/>
    <x v="4"/>
    <s v="TTT"/>
    <n v="22"/>
    <n v="527.78"/>
    <n v="242"/>
  </r>
  <r>
    <d v="2011-01-28T00:00:00"/>
    <x v="0"/>
    <x v="2"/>
    <x v="1"/>
    <s v="FM"/>
    <n v="30"/>
    <n v="809.69999999999993"/>
    <n v="435"/>
  </r>
  <r>
    <d v="2011-01-12T00:00:00"/>
    <x v="3"/>
    <x v="2"/>
    <x v="0"/>
    <s v="MNGD"/>
    <n v="64"/>
    <n v="1471.36"/>
    <n v="640"/>
  </r>
  <r>
    <d v="2011-01-10T00:00:00"/>
    <x v="0"/>
    <x v="1"/>
    <x v="5"/>
    <s v="PLOT"/>
    <n v="43"/>
    <n v="1160.57"/>
    <n v="623.5"/>
  </r>
  <r>
    <d v="2011-01-28T00:00:00"/>
    <x v="3"/>
    <x v="0"/>
    <x v="1"/>
    <s v="TTT"/>
    <n v="45"/>
    <n v="1034.55"/>
    <n v="450"/>
  </r>
  <r>
    <d v="2011-01-22T00:00:00"/>
    <x v="1"/>
    <x v="3"/>
    <x v="3"/>
    <s v="LOP"/>
    <n v="45"/>
    <n v="1079.55"/>
    <n v="495"/>
  </r>
  <r>
    <d v="2011-01-25T00:00:00"/>
    <x v="2"/>
    <x v="2"/>
    <x v="4"/>
    <s v="T"/>
    <n v="55"/>
    <n v="1044.4499999999998"/>
    <n v="440"/>
  </r>
  <r>
    <d v="2011-01-18T00:00:00"/>
    <x v="2"/>
    <x v="1"/>
    <x v="1"/>
    <s v="ET"/>
    <n v="62"/>
    <n v="1177.3799999999999"/>
    <n v="496"/>
  </r>
  <r>
    <d v="2011-01-06T00:00:00"/>
    <x v="1"/>
    <x v="2"/>
    <x v="0"/>
    <s v="FM"/>
    <n v="11"/>
    <n v="263.89"/>
    <n v="121"/>
  </r>
  <r>
    <d v="2011-01-26T00:00:00"/>
    <x v="0"/>
    <x v="2"/>
    <x v="3"/>
    <s v="EPP"/>
    <n v="17"/>
    <n v="458.83"/>
    <n v="246.5"/>
  </r>
  <r>
    <d v="2011-01-11T00:00:00"/>
    <x v="3"/>
    <x v="3"/>
    <x v="5"/>
    <s v="MBG"/>
    <n v="57"/>
    <n v="1310.4299999999998"/>
    <n v="570"/>
  </r>
  <r>
    <d v="2011-01-20T00:00:00"/>
    <x v="2"/>
    <x v="0"/>
    <x v="2"/>
    <s v="MNGD"/>
    <n v="64"/>
    <n v="1215.3599999999999"/>
    <n v="512"/>
  </r>
  <r>
    <d v="2011-01-23T00:00:00"/>
    <x v="0"/>
    <x v="3"/>
    <x v="0"/>
    <s v="KPSA"/>
    <n v="31"/>
    <n v="836.68999999999994"/>
    <n v="449.5"/>
  </r>
  <r>
    <d v="2011-01-20T00:00:00"/>
    <x v="4"/>
    <x v="1"/>
    <x v="3"/>
    <s v="AA"/>
    <n v="21"/>
    <n v="440.78999999999996"/>
    <n v="194.25"/>
  </r>
  <r>
    <d v="2011-01-03T00:00:00"/>
    <x v="0"/>
    <x v="1"/>
    <x v="3"/>
    <s v="WSD"/>
    <n v="32"/>
    <n v="863.68"/>
    <n v="464"/>
  </r>
  <r>
    <d v="2011-01-05T00:00:00"/>
    <x v="1"/>
    <x v="2"/>
    <x v="0"/>
    <s v="EPP"/>
    <n v="47"/>
    <n v="1127.53"/>
    <n v="517"/>
  </r>
  <r>
    <d v="2011-01-11T00:00:00"/>
    <x v="3"/>
    <x v="2"/>
    <x v="0"/>
    <s v="TRU"/>
    <n v="19"/>
    <n v="436.80999999999995"/>
    <n v="190"/>
  </r>
  <r>
    <d v="2011-01-28T00:00:00"/>
    <x v="1"/>
    <x v="1"/>
    <x v="5"/>
    <s v="KBTB"/>
    <n v="14"/>
    <n v="335.85999999999996"/>
    <n v="154"/>
  </r>
  <r>
    <d v="2011-01-05T00:00:00"/>
    <x v="2"/>
    <x v="2"/>
    <x v="2"/>
    <s v="PLOT"/>
    <n v="14"/>
    <n v="265.85999999999996"/>
    <n v="112"/>
  </r>
  <r>
    <d v="2011-01-15T00:00:00"/>
    <x v="0"/>
    <x v="3"/>
    <x v="3"/>
    <s v="ET"/>
    <n v="55"/>
    <n v="1484.4499999999998"/>
    <n v="797.5"/>
  </r>
  <r>
    <d v="2011-01-04T00:00:00"/>
    <x v="2"/>
    <x v="2"/>
    <x v="4"/>
    <s v="QT"/>
    <n v="37"/>
    <n v="702.63"/>
    <n v="296"/>
  </r>
</pivotCacheRecords>
</file>

<file path=xl/pivotCache/pivotCacheRecords4.xml><?xml version="1.0" encoding="utf-8"?>
<pivotCacheRecords xmlns="http://schemas.openxmlformats.org/spreadsheetml/2006/main" xmlns:r="http://schemas.openxmlformats.org/officeDocument/2006/relationships" count="13">
  <r>
    <x v="0"/>
  </r>
  <r>
    <x v="1"/>
  </r>
  <r>
    <x v="2"/>
  </r>
  <r>
    <x v="3"/>
  </r>
  <r>
    <x v="4"/>
  </r>
  <r>
    <x v="5"/>
  </r>
  <r>
    <x v="6"/>
  </r>
  <r>
    <x v="7"/>
  </r>
  <r>
    <x v="8"/>
  </r>
  <r>
    <x v="9"/>
  </r>
  <r>
    <x v="7"/>
  </r>
  <r>
    <x v="10"/>
  </r>
  <r>
    <x v="1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10"/>
  </r>
  <r>
    <x v="0"/>
    <x v="1"/>
    <n v="9"/>
  </r>
  <r>
    <x v="1"/>
    <x v="0"/>
    <n v="4"/>
  </r>
  <r>
    <x v="1"/>
    <x v="1"/>
    <n v="8"/>
  </r>
  <r>
    <x v="2"/>
    <x v="0"/>
    <n v="1"/>
  </r>
  <r>
    <x v="2"/>
    <x v="1"/>
    <n v="3"/>
  </r>
  <r>
    <x v="3"/>
    <x v="2"/>
    <n v="4"/>
  </r>
  <r>
    <x v="3"/>
    <x v="0"/>
    <n v="5"/>
  </r>
  <r>
    <x v="3"/>
    <x v="1"/>
    <n v="3"/>
  </r>
  <r>
    <x v="4"/>
    <x v="2"/>
    <n v="6"/>
  </r>
  <r>
    <x v="4"/>
    <x v="0"/>
    <n v="5"/>
  </r>
  <r>
    <x v="4"/>
    <x v="1"/>
    <n v="8"/>
  </r>
  <r>
    <x v="5"/>
    <x v="2"/>
    <n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B7B2B6-6848-4DC4-969C-362B8B97CC39}" name="PivotTable13" cacheId="2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7" firstHeaderRow="1" firstDataRow="1" firstDataCol="1"/>
  <pivotFields count="3">
    <pivotField numFmtId="14" showAll="0"/>
    <pivotField axis="axisRow" showAll="0">
      <items count="4">
        <item x="2"/>
        <item x="0"/>
        <item x="1"/>
        <item t="default"/>
      </items>
    </pivotField>
    <pivotField dataField="1" showAll="0"/>
  </pivotFields>
  <rowFields count="1">
    <field x="1"/>
  </rowFields>
  <rowItems count="4">
    <i>
      <x/>
    </i>
    <i>
      <x v="1"/>
    </i>
    <i>
      <x v="2"/>
    </i>
    <i t="grand">
      <x/>
    </i>
  </rowItems>
  <colItems count="1">
    <i/>
  </colItems>
  <dataFields count="1">
    <dataField name="Sum of UnitsSol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1AFE7D-B55E-45E3-A497-9A3DA4E29870}" name="PivotTable11" cacheId="29"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F1:G5" firstHeaderRow="1" firstDataRow="1" firstDataCol="1"/>
  <pivotFields count="3">
    <pivotField compact="0" numFmtId="14" outline="0" showAll="0">
      <items count="7">
        <item x="0"/>
        <item x="1"/>
        <item x="2"/>
        <item x="3"/>
        <item x="4"/>
        <item x="5"/>
        <item t="default"/>
      </items>
    </pivotField>
    <pivotField axis="axisRow" compact="0" outline="0" showAll="0">
      <items count="4">
        <item x="2"/>
        <item x="0"/>
        <item x="1"/>
        <item t="default"/>
      </items>
    </pivotField>
    <pivotField dataField="1" compact="0" outline="0" showAll="0"/>
  </pivotFields>
  <rowFields count="1">
    <field x="1"/>
  </rowFields>
  <rowItems count="4">
    <i>
      <x/>
    </i>
    <i>
      <x v="1"/>
    </i>
    <i>
      <x v="2"/>
    </i>
    <i t="grand">
      <x/>
    </i>
  </rowItems>
  <colItems count="1">
    <i/>
  </colItems>
  <dataFields count="1">
    <dataField name="Sum of UnitsSold"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4B00-000000000000}" name="PivotTable1"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K8:L14" firstHeaderRow="1" firstDataRow="1" firstDataCol="1"/>
  <pivotFields count="1">
    <pivotField axis="axisRow" dataField="1" numFmtId="166" showAll="0">
      <items count="7">
        <item x="0"/>
        <item x="1"/>
        <item x="2"/>
        <item x="3"/>
        <item x="4"/>
        <item x="5"/>
        <item t="default"/>
      </items>
    </pivotField>
  </pivotFields>
  <rowFields count="1">
    <field x="0"/>
  </rowFields>
  <rowItems count="6">
    <i>
      <x v="1"/>
    </i>
    <i>
      <x v="2"/>
    </i>
    <i>
      <x v="3"/>
    </i>
    <i>
      <x v="4"/>
    </i>
    <i>
      <x v="5"/>
    </i>
    <i t="grand">
      <x/>
    </i>
  </rowItems>
  <colItems count="1">
    <i/>
  </colItems>
  <dataFields count="1">
    <dataField name="Count of Sales" fld="0" subtotal="count" baseField="0" baseItem="0"/>
  </dataFields>
  <formats count="6">
    <format dxfId="56">
      <pivotArea dataOnly="0" fieldPosition="0">
        <references count="1">
          <reference field="0" count="1">
            <x v="1"/>
          </reference>
        </references>
      </pivotArea>
    </format>
    <format dxfId="55">
      <pivotArea dataOnly="0" fieldPosition="0">
        <references count="1">
          <reference field="0" count="1">
            <x v="2"/>
          </reference>
        </references>
      </pivotArea>
    </format>
    <format dxfId="54">
      <pivotArea dataOnly="0" fieldPosition="0">
        <references count="1">
          <reference field="0" count="1">
            <x v="3"/>
          </reference>
        </references>
      </pivotArea>
    </format>
    <format dxfId="53">
      <pivotArea dataOnly="0" fieldPosition="0">
        <references count="1">
          <reference field="0" count="1">
            <x v="4"/>
          </reference>
        </references>
      </pivotArea>
    </format>
    <format dxfId="52">
      <pivotArea collapsedLevelsAreSubtotals="1" fieldPosition="0">
        <references count="1">
          <reference field="0" count="1">
            <x v="5"/>
          </reference>
        </references>
      </pivotArea>
    </format>
    <format dxfId="51">
      <pivotArea dataOnly="0" labelOnly="1" fieldPosition="0">
        <references count="1">
          <reference field="0"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6500-000000000000}" name="PivotTable1" cacheId="2"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A3:F11" firstHeaderRow="1" firstDataRow="2" firstDataCol="1"/>
  <pivotFields count="8">
    <pivotField compact="0" numFmtId="172" outline="0" showAll="0"/>
    <pivotField compact="0" outline="0" multipleItemSelectionAllowed="1" showAll="0">
      <items count="6">
        <item x="3"/>
        <item x="1"/>
        <item x="0"/>
        <item x="4"/>
        <item x="2"/>
        <item t="default"/>
      </items>
    </pivotField>
    <pivotField axis="axisCol" compact="0" outline="0" showAll="0">
      <items count="5">
        <item x="0"/>
        <item x="2"/>
        <item x="1"/>
        <item x="3"/>
        <item t="default"/>
      </items>
    </pivotField>
    <pivotField axis="axisRow" compact="0" outline="0" showAll="0">
      <items count="7">
        <item x="5"/>
        <item x="2"/>
        <item x="0"/>
        <item x="3"/>
        <item x="4"/>
        <item x="1"/>
        <item t="default"/>
      </items>
    </pivotField>
    <pivotField compact="0" outline="0" showAll="0"/>
    <pivotField compact="0" outline="0" showAll="0"/>
    <pivotField dataField="1" compact="0" numFmtId="166" outline="0" showAll="0"/>
    <pivotField compact="0" numFmtId="166" outline="0" showAll="0"/>
  </pivotFields>
  <rowFields count="1">
    <field x="3"/>
  </rowFields>
  <rowItems count="7">
    <i>
      <x/>
    </i>
    <i>
      <x v="1"/>
    </i>
    <i>
      <x v="2"/>
    </i>
    <i>
      <x v="3"/>
    </i>
    <i>
      <x v="4"/>
    </i>
    <i>
      <x v="5"/>
    </i>
    <i t="grand">
      <x/>
    </i>
  </rowItems>
  <colFields count="1">
    <field x="2"/>
  </colFields>
  <colItems count="5">
    <i>
      <x/>
    </i>
    <i>
      <x v="1"/>
    </i>
    <i>
      <x v="2"/>
    </i>
    <i>
      <x v="3"/>
    </i>
    <i t="grand">
      <x/>
    </i>
  </colItems>
  <dataFields count="1">
    <dataField name="Sum of Sales" fld="6" baseField="3" baseItem="0" numFmtId="4"/>
  </dataFields>
  <formats count="5">
    <format dxfId="50">
      <pivotArea field="2" type="button" dataOnly="0" labelOnly="1" outline="0" axis="axisCol" fieldPosition="0"/>
    </format>
    <format dxfId="49">
      <pivotArea field="3" type="button" dataOnly="0" labelOnly="1" outline="0" axis="axisRow" fieldPosition="0"/>
    </format>
    <format dxfId="48">
      <pivotArea type="origin" dataOnly="0" labelOnly="1" outline="0" fieldPosition="0"/>
    </format>
    <format dxfId="47">
      <pivotArea type="origin" dataOnly="0" labelOnly="1" outline="0" fieldPosition="0"/>
    </format>
    <format dxfId="46">
      <pivotArea outline="0" fieldPosition="0">
        <references count="1">
          <reference field="4294967294" count="1">
            <x v="0"/>
          </reference>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6A00-000000000000}" name="PivotTable1" cacheId="0"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A3:B10" firstHeaderRow="1" firstDataRow="1" firstDataCol="1"/>
  <pivotFields count="3">
    <pivotField compact="0" numFmtId="172" outline="0" showAll="0"/>
    <pivotField axis="axisRow" compact="0" outline="0" showAll="0">
      <items count="7">
        <item x="5"/>
        <item x="2"/>
        <item x="0"/>
        <item x="3"/>
        <item x="4"/>
        <item x="1"/>
        <item t="default"/>
      </items>
    </pivotField>
    <pivotField dataField="1" compact="0" numFmtId="166" outline="0" showAll="0"/>
  </pivotFields>
  <rowFields count="1">
    <field x="1"/>
  </rowFields>
  <rowItems count="7">
    <i>
      <x/>
    </i>
    <i>
      <x v="1"/>
    </i>
    <i>
      <x v="2"/>
    </i>
    <i>
      <x v="3"/>
    </i>
    <i>
      <x v="4"/>
    </i>
    <i>
      <x v="5"/>
    </i>
    <i t="grand">
      <x/>
    </i>
  </rowItems>
  <colItems count="1">
    <i/>
  </colItems>
  <dataFields count="1">
    <dataField name="Sum of Sales" fld="2" baseField="0" baseItem="0"/>
  </dataFields>
  <formats count="4">
    <format dxfId="45">
      <pivotArea field="1" type="button" dataOnly="0" labelOnly="1" outline="0" axis="axisRow" fieldPosition="0"/>
    </format>
    <format dxfId="44">
      <pivotArea dataOnly="0" labelOnly="1" outline="0" axis="axisValues" fieldPosition="0"/>
    </format>
    <format dxfId="43">
      <pivotArea field="1" type="button" dataOnly="0" labelOnly="1" outline="0" axis="axisRow" fieldPosition="0"/>
    </format>
    <format dxfId="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8000-000000000000}"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C109:D119" firstHeaderRow="1" firstDataRow="1" firstDataCol="1"/>
  <pivotFields count="1">
    <pivotField axis="axisRow" dataField="1" showAll="0">
      <items count="13">
        <item x="0"/>
        <item x="1"/>
        <item x="2"/>
        <item x="3"/>
        <item x="4"/>
        <item x="5"/>
        <item x="6"/>
        <item x="7"/>
        <item x="8"/>
        <item x="9"/>
        <item x="10"/>
        <item x="11"/>
        <item t="default"/>
      </items>
    </pivotField>
  </pivotFields>
  <rowFields count="1">
    <field x="0"/>
  </rowFields>
  <rowItems count="10">
    <i>
      <x v="1"/>
    </i>
    <i>
      <x v="3"/>
    </i>
    <i>
      <x v="4"/>
    </i>
    <i>
      <x v="5"/>
    </i>
    <i>
      <x v="6"/>
    </i>
    <i>
      <x v="7"/>
    </i>
    <i>
      <x v="8"/>
    </i>
    <i>
      <x v="9"/>
    </i>
    <i>
      <x v="10"/>
    </i>
    <i t="grand">
      <x/>
    </i>
  </rowItems>
  <colItems count="1">
    <i/>
  </colItems>
  <dataFields count="1">
    <dataField name="Count of Scores"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02832D-B38C-4428-BBAB-0E8E988D3D55}" name="BoomSales" displayName="BoomSales" ref="A1:E19" headerRowDxfId="41" headerRowBorderDxfId="39" tableBorderDxfId="40" totalsRowBorderDxfId="38">
  <autoFilter ref="A1:E19" xr:uid="{2F02832D-B38C-4428-BBAB-0E8E988D3D55}"/>
  <tableColumns count="5">
    <tableColumn id="1" xr3:uid="{01CBA912-43D2-4412-BB6D-2E638E74FBF1}" name="Date" totalsRowLabel="Total" dataDxfId="37" totalsRowDxfId="29"/>
    <tableColumn id="2" xr3:uid="{AB4372A1-F09A-4586-9E78-DC9A7B1862AF}" name="SalesRep" dataDxfId="36" totalsRowDxfId="30"/>
    <tableColumn id="3" xr3:uid="{2C1A0FBC-94DF-4988-BE0E-E91428E0D794}" name="ProductSold" dataDxfId="35" totalsRowDxfId="31"/>
    <tableColumn id="4" xr3:uid="{F2DC4577-642D-4659-ABEB-8C070DF4BEA9}" name="UnitsSold" dataDxfId="34" totalsRowDxfId="32"/>
    <tableColumn id="5" xr3:uid="{EBB60374-B0B3-4C75-9849-7EA6D2D22460}" name="Total Sales" totalsRowFunction="sum" dataDxfId="0" totalsRowDxfId="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3" Type="http://schemas.openxmlformats.org/officeDocument/2006/relationships/package" Target="../embeddings/Microsoft_Word_Document.docx"/><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8.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1.xml.rels><?xml version="1.0" encoding="UTF-8" standalone="yes"?>
<Relationships xmlns="http://schemas.openxmlformats.org/package/2006/relationships"><Relationship Id="rId1" Type="http://schemas.openxmlformats.org/officeDocument/2006/relationships/hyperlink" Target="http://www.youtube.com/watch?v=b_2dOI_N-ao" TargetMode="Externa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4.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ivotTable" Target="../pivotTables/pivotTable4.xml"/></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0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11.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2.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3.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4.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5.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6.xml.rels><?xml version="1.0" encoding="UTF-8" standalone="yes"?>
<Relationships xmlns="http://schemas.openxmlformats.org/package/2006/relationships"><Relationship Id="rId3" Type="http://schemas.openxmlformats.org/officeDocument/2006/relationships/printerSettings" Target="../printerSettings/printerSettings65.bin"/><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sheetPr>
  <dimension ref="A1:U74"/>
  <sheetViews>
    <sheetView zoomScale="85" zoomScaleNormal="85" workbookViewId="0">
      <selection activeCell="A29" sqref="A29"/>
    </sheetView>
  </sheetViews>
  <sheetFormatPr defaultRowHeight="15" x14ac:dyDescent="0.25"/>
  <cols>
    <col min="1" max="1" width="27.42578125" customWidth="1"/>
    <col min="2" max="2" width="13.7109375" bestFit="1" customWidth="1"/>
    <col min="3" max="3" width="2.7109375" customWidth="1"/>
    <col min="4" max="4" width="16.28515625" bestFit="1" customWidth="1"/>
    <col min="5" max="5" width="10.42578125" bestFit="1" customWidth="1"/>
    <col min="6" max="6" width="2.7109375" customWidth="1"/>
    <col min="7" max="7" width="20.140625" bestFit="1" customWidth="1"/>
    <col min="8" max="8" width="9.28515625" customWidth="1"/>
    <col min="9" max="9" width="2.140625" customWidth="1"/>
    <col min="10" max="10" width="20.5703125" bestFit="1" customWidth="1"/>
    <col min="11" max="11" width="9.28515625" customWidth="1"/>
    <col min="12" max="12" width="2.5703125" customWidth="1"/>
    <col min="13" max="13" width="14.140625" customWidth="1"/>
    <col min="14" max="14" width="9.28515625" customWidth="1"/>
    <col min="15" max="15" width="2.140625" customWidth="1"/>
    <col min="16" max="16" width="12" bestFit="1" customWidth="1"/>
    <col min="17" max="17" width="9.28515625" customWidth="1"/>
    <col min="18" max="18" width="2.140625" customWidth="1"/>
    <col min="19" max="19" width="13.140625" bestFit="1" customWidth="1"/>
    <col min="20" max="20" width="9.28515625" customWidth="1"/>
  </cols>
  <sheetData>
    <row r="1" spans="1:21" ht="15.75" x14ac:dyDescent="0.25">
      <c r="A1" s="423" t="s">
        <v>1622</v>
      </c>
      <c r="B1" s="423" t="s">
        <v>1623</v>
      </c>
      <c r="C1" s="424"/>
      <c r="D1" s="423" t="s">
        <v>1622</v>
      </c>
      <c r="E1" s="423" t="s">
        <v>1623</v>
      </c>
      <c r="F1" s="424"/>
      <c r="G1" s="423" t="s">
        <v>1622</v>
      </c>
      <c r="H1" s="423" t="s">
        <v>1623</v>
      </c>
      <c r="I1" s="424"/>
      <c r="J1" s="423" t="s">
        <v>1622</v>
      </c>
      <c r="K1" s="423" t="s">
        <v>1623</v>
      </c>
      <c r="L1" s="424"/>
      <c r="M1" s="423" t="s">
        <v>1622</v>
      </c>
      <c r="N1" s="423" t="s">
        <v>1623</v>
      </c>
      <c r="O1" s="424"/>
      <c r="P1" s="423" t="s">
        <v>1622</v>
      </c>
      <c r="Q1" s="423" t="s">
        <v>1623</v>
      </c>
      <c r="R1" s="424"/>
      <c r="S1" s="423" t="s">
        <v>1622</v>
      </c>
      <c r="T1" s="423" t="s">
        <v>1623</v>
      </c>
      <c r="U1" s="424"/>
    </row>
    <row r="2" spans="1:21" x14ac:dyDescent="0.25">
      <c r="A2" s="425" t="s">
        <v>1624</v>
      </c>
      <c r="B2" s="403"/>
      <c r="D2" s="425" t="s">
        <v>1625</v>
      </c>
      <c r="G2" t="s">
        <v>1626</v>
      </c>
      <c r="H2" s="403" t="s">
        <v>1627</v>
      </c>
      <c r="J2" t="s">
        <v>1628</v>
      </c>
      <c r="K2" s="403" t="s">
        <v>1627</v>
      </c>
      <c r="M2" t="s">
        <v>1629</v>
      </c>
      <c r="N2" s="403" t="s">
        <v>1627</v>
      </c>
      <c r="P2" t="s">
        <v>1630</v>
      </c>
      <c r="Q2" s="403" t="s">
        <v>1627</v>
      </c>
      <c r="S2" s="425" t="s">
        <v>1631</v>
      </c>
    </row>
    <row r="3" spans="1:21" x14ac:dyDescent="0.25">
      <c r="A3" t="s">
        <v>1632</v>
      </c>
      <c r="B3" s="403" t="s">
        <v>1627</v>
      </c>
      <c r="D3" t="s">
        <v>1633</v>
      </c>
      <c r="E3" s="403" t="s">
        <v>1627</v>
      </c>
      <c r="G3" t="s">
        <v>1634</v>
      </c>
      <c r="H3" s="403" t="s">
        <v>1627</v>
      </c>
      <c r="J3" t="s">
        <v>1635</v>
      </c>
      <c r="K3" s="403" t="s">
        <v>1627</v>
      </c>
      <c r="M3" t="s">
        <v>1636</v>
      </c>
      <c r="N3" s="403" t="s">
        <v>1627</v>
      </c>
      <c r="P3" t="s">
        <v>1637</v>
      </c>
      <c r="Q3" s="403" t="s">
        <v>1627</v>
      </c>
      <c r="S3" t="s">
        <v>1638</v>
      </c>
      <c r="T3" s="403" t="s">
        <v>1627</v>
      </c>
    </row>
    <row r="4" spans="1:21" x14ac:dyDescent="0.25">
      <c r="A4" s="425" t="s">
        <v>1639</v>
      </c>
      <c r="D4" t="s">
        <v>1640</v>
      </c>
      <c r="E4" s="403" t="s">
        <v>1627</v>
      </c>
      <c r="G4" t="s">
        <v>1641</v>
      </c>
      <c r="H4" s="403" t="s">
        <v>1627</v>
      </c>
      <c r="J4" t="s">
        <v>1642</v>
      </c>
      <c r="K4" s="403" t="s">
        <v>1627</v>
      </c>
      <c r="M4" t="s">
        <v>1643</v>
      </c>
      <c r="N4" s="403" t="s">
        <v>1627</v>
      </c>
      <c r="P4" t="s">
        <v>1644</v>
      </c>
      <c r="Q4" s="403" t="s">
        <v>1627</v>
      </c>
      <c r="S4" t="s">
        <v>1645</v>
      </c>
      <c r="T4" s="403" t="s">
        <v>1627</v>
      </c>
    </row>
    <row r="5" spans="1:21" x14ac:dyDescent="0.25">
      <c r="A5" t="s">
        <v>1646</v>
      </c>
      <c r="B5" s="403" t="s">
        <v>1627</v>
      </c>
      <c r="D5" t="s">
        <v>1647</v>
      </c>
      <c r="E5" s="403" t="s">
        <v>1627</v>
      </c>
      <c r="G5" t="s">
        <v>1648</v>
      </c>
      <c r="H5" s="403" t="s">
        <v>1627</v>
      </c>
      <c r="J5" t="s">
        <v>1649</v>
      </c>
      <c r="K5" s="403" t="s">
        <v>1627</v>
      </c>
      <c r="M5" t="s">
        <v>1650</v>
      </c>
      <c r="N5" s="403" t="s">
        <v>1627</v>
      </c>
      <c r="P5" t="s">
        <v>1651</v>
      </c>
      <c r="Q5" s="403" t="s">
        <v>1627</v>
      </c>
      <c r="S5" t="s">
        <v>1652</v>
      </c>
      <c r="T5" s="403" t="s">
        <v>1627</v>
      </c>
    </row>
    <row r="6" spans="1:21" x14ac:dyDescent="0.25">
      <c r="A6" t="s">
        <v>1653</v>
      </c>
      <c r="B6" s="403" t="s">
        <v>1627</v>
      </c>
      <c r="D6" t="s">
        <v>1654</v>
      </c>
      <c r="E6" s="403" t="s">
        <v>1627</v>
      </c>
      <c r="G6" t="s">
        <v>1655</v>
      </c>
      <c r="H6" s="403" t="s">
        <v>1627</v>
      </c>
      <c r="J6" t="s">
        <v>1656</v>
      </c>
      <c r="K6" s="403" t="s">
        <v>1627</v>
      </c>
      <c r="M6" t="s">
        <v>1657</v>
      </c>
      <c r="N6" s="403" t="s">
        <v>1627</v>
      </c>
      <c r="P6" t="s">
        <v>1658</v>
      </c>
      <c r="Q6" s="403" t="s">
        <v>1627</v>
      </c>
      <c r="S6" t="s">
        <v>1659</v>
      </c>
      <c r="T6" s="403" t="s">
        <v>1627</v>
      </c>
    </row>
    <row r="7" spans="1:21" x14ac:dyDescent="0.25">
      <c r="A7" t="s">
        <v>1660</v>
      </c>
      <c r="B7" s="403" t="s">
        <v>1627</v>
      </c>
      <c r="D7" t="s">
        <v>1661</v>
      </c>
      <c r="E7" s="403" t="s">
        <v>1627</v>
      </c>
      <c r="G7" t="s">
        <v>1662</v>
      </c>
      <c r="H7" s="403" t="s">
        <v>1627</v>
      </c>
      <c r="J7" t="s">
        <v>1663</v>
      </c>
      <c r="K7" s="403" t="s">
        <v>1627</v>
      </c>
      <c r="M7" t="s">
        <v>1664</v>
      </c>
      <c r="N7" s="403" t="s">
        <v>1627</v>
      </c>
      <c r="P7" t="s">
        <v>1665</v>
      </c>
      <c r="Q7" s="403" t="s">
        <v>1627</v>
      </c>
      <c r="S7" t="s">
        <v>1666</v>
      </c>
      <c r="T7" s="403" t="s">
        <v>1627</v>
      </c>
    </row>
    <row r="8" spans="1:21" x14ac:dyDescent="0.25">
      <c r="A8" s="425" t="s">
        <v>1667</v>
      </c>
      <c r="D8" t="s">
        <v>1668</v>
      </c>
      <c r="E8" s="403" t="s">
        <v>1627</v>
      </c>
      <c r="G8" t="s">
        <v>1669</v>
      </c>
      <c r="H8" s="403" t="s">
        <v>1627</v>
      </c>
      <c r="J8" t="s">
        <v>1670</v>
      </c>
      <c r="K8" s="403" t="s">
        <v>1627</v>
      </c>
      <c r="M8" t="s">
        <v>1671</v>
      </c>
      <c r="N8" s="403" t="s">
        <v>1627</v>
      </c>
      <c r="P8" t="s">
        <v>1672</v>
      </c>
      <c r="Q8" s="403" t="s">
        <v>1627</v>
      </c>
      <c r="S8" t="s">
        <v>1673</v>
      </c>
      <c r="T8" s="403" t="s">
        <v>1627</v>
      </c>
    </row>
    <row r="9" spans="1:21" x14ac:dyDescent="0.25">
      <c r="A9" t="s">
        <v>1674</v>
      </c>
      <c r="B9" s="403" t="s">
        <v>1627</v>
      </c>
      <c r="D9" t="s">
        <v>1675</v>
      </c>
      <c r="E9" s="403" t="s">
        <v>1627</v>
      </c>
      <c r="G9" t="s">
        <v>1676</v>
      </c>
      <c r="H9" s="403" t="s">
        <v>1627</v>
      </c>
      <c r="J9" t="s">
        <v>1677</v>
      </c>
      <c r="K9" s="403" t="s">
        <v>1627</v>
      </c>
      <c r="M9" t="s">
        <v>1678</v>
      </c>
      <c r="N9" s="403" t="s">
        <v>1627</v>
      </c>
      <c r="P9" t="s">
        <v>1679</v>
      </c>
      <c r="Q9" s="403" t="s">
        <v>1627</v>
      </c>
      <c r="S9" t="s">
        <v>1680</v>
      </c>
      <c r="T9" s="403" t="s">
        <v>1627</v>
      </c>
    </row>
    <row r="10" spans="1:21" x14ac:dyDescent="0.25">
      <c r="A10" t="s">
        <v>1681</v>
      </c>
      <c r="B10" s="403" t="s">
        <v>1627</v>
      </c>
      <c r="D10" t="s">
        <v>1682</v>
      </c>
      <c r="E10" s="403" t="s">
        <v>1627</v>
      </c>
      <c r="G10" t="s">
        <v>1683</v>
      </c>
      <c r="H10" s="403" t="s">
        <v>1627</v>
      </c>
      <c r="J10" t="s">
        <v>1684</v>
      </c>
      <c r="K10" s="403" t="s">
        <v>1627</v>
      </c>
      <c r="M10" t="s">
        <v>1685</v>
      </c>
      <c r="N10" s="403" t="s">
        <v>1627</v>
      </c>
      <c r="P10" t="s">
        <v>1686</v>
      </c>
      <c r="Q10" s="403" t="s">
        <v>1627</v>
      </c>
      <c r="S10" t="s">
        <v>1687</v>
      </c>
      <c r="T10" s="403" t="s">
        <v>1627</v>
      </c>
    </row>
    <row r="11" spans="1:21" x14ac:dyDescent="0.25">
      <c r="A11" t="s">
        <v>1688</v>
      </c>
      <c r="B11" s="403" t="s">
        <v>1627</v>
      </c>
      <c r="D11" t="s">
        <v>1689</v>
      </c>
      <c r="E11" s="403" t="s">
        <v>1627</v>
      </c>
      <c r="G11" t="s">
        <v>1690</v>
      </c>
      <c r="H11" s="403" t="s">
        <v>1627</v>
      </c>
      <c r="J11" t="s">
        <v>1691</v>
      </c>
      <c r="K11" s="403" t="s">
        <v>1627</v>
      </c>
      <c r="M11" t="s">
        <v>1692</v>
      </c>
      <c r="N11" s="403" t="s">
        <v>1627</v>
      </c>
      <c r="P11" t="s">
        <v>1693</v>
      </c>
      <c r="Q11" s="403" t="s">
        <v>1627</v>
      </c>
    </row>
    <row r="12" spans="1:21" x14ac:dyDescent="0.25">
      <c r="A12" t="s">
        <v>1694</v>
      </c>
      <c r="B12" s="403" t="s">
        <v>1627</v>
      </c>
      <c r="D12" t="s">
        <v>1695</v>
      </c>
      <c r="E12" s="403" t="s">
        <v>1627</v>
      </c>
      <c r="G12" t="s">
        <v>1696</v>
      </c>
      <c r="H12" s="403" t="s">
        <v>1627</v>
      </c>
      <c r="J12" s="425" t="s">
        <v>1697</v>
      </c>
      <c r="M12" t="s">
        <v>1698</v>
      </c>
      <c r="N12" s="403" t="s">
        <v>1627</v>
      </c>
      <c r="P12" t="s">
        <v>1699</v>
      </c>
      <c r="Q12" s="403" t="s">
        <v>1627</v>
      </c>
    </row>
    <row r="13" spans="1:21" x14ac:dyDescent="0.25">
      <c r="A13" t="s">
        <v>1700</v>
      </c>
      <c r="B13" s="403" t="s">
        <v>1627</v>
      </c>
      <c r="D13" t="s">
        <v>1701</v>
      </c>
      <c r="E13" s="403" t="s">
        <v>1627</v>
      </c>
      <c r="G13" t="s">
        <v>1702</v>
      </c>
      <c r="H13" s="403" t="s">
        <v>1627</v>
      </c>
      <c r="J13" t="s">
        <v>1703</v>
      </c>
      <c r="K13" s="403" t="s">
        <v>1627</v>
      </c>
      <c r="M13" t="s">
        <v>1704</v>
      </c>
      <c r="N13" s="403" t="s">
        <v>1627</v>
      </c>
      <c r="P13" t="s">
        <v>1705</v>
      </c>
      <c r="Q13" s="403" t="s">
        <v>1627</v>
      </c>
    </row>
    <row r="14" spans="1:21" x14ac:dyDescent="0.25">
      <c r="A14" t="s">
        <v>1706</v>
      </c>
      <c r="B14" s="403" t="s">
        <v>1627</v>
      </c>
      <c r="D14" t="s">
        <v>1707</v>
      </c>
      <c r="E14" s="403" t="s">
        <v>1627</v>
      </c>
      <c r="G14" t="s">
        <v>1708</v>
      </c>
      <c r="H14" s="403" t="s">
        <v>1627</v>
      </c>
      <c r="J14" t="s">
        <v>1709</v>
      </c>
      <c r="K14" s="403" t="s">
        <v>1627</v>
      </c>
      <c r="M14" t="s">
        <v>1710</v>
      </c>
      <c r="N14" s="403" t="s">
        <v>1627</v>
      </c>
      <c r="P14" t="s">
        <v>1711</v>
      </c>
      <c r="Q14" s="403" t="s">
        <v>1627</v>
      </c>
    </row>
    <row r="15" spans="1:21" x14ac:dyDescent="0.25">
      <c r="A15" t="s">
        <v>1712</v>
      </c>
      <c r="B15" s="403" t="s">
        <v>1627</v>
      </c>
      <c r="D15" t="s">
        <v>1713</v>
      </c>
      <c r="E15" s="403" t="s">
        <v>1627</v>
      </c>
      <c r="G15" t="s">
        <v>1714</v>
      </c>
      <c r="H15" s="403" t="s">
        <v>1627</v>
      </c>
      <c r="J15" t="s">
        <v>1715</v>
      </c>
      <c r="K15" s="403" t="s">
        <v>1627</v>
      </c>
      <c r="M15" t="s">
        <v>1716</v>
      </c>
      <c r="N15" s="403" t="s">
        <v>1627</v>
      </c>
      <c r="P15" s="425" t="s">
        <v>1717</v>
      </c>
    </row>
    <row r="16" spans="1:21" x14ac:dyDescent="0.25">
      <c r="A16" t="s">
        <v>1718</v>
      </c>
      <c r="B16" s="403" t="s">
        <v>1627</v>
      </c>
      <c r="D16" t="s">
        <v>1719</v>
      </c>
      <c r="E16" s="403" t="s">
        <v>1627</v>
      </c>
      <c r="G16" t="s">
        <v>1720</v>
      </c>
      <c r="H16" s="403" t="s">
        <v>1627</v>
      </c>
      <c r="J16" t="s">
        <v>1721</v>
      </c>
      <c r="K16" s="403" t="s">
        <v>1627</v>
      </c>
      <c r="M16" t="s">
        <v>1722</v>
      </c>
      <c r="N16" s="403" t="s">
        <v>1627</v>
      </c>
      <c r="P16" t="s">
        <v>1723</v>
      </c>
      <c r="Q16" s="403" t="s">
        <v>1627</v>
      </c>
    </row>
    <row r="17" spans="1:17" x14ac:dyDescent="0.25">
      <c r="A17" t="s">
        <v>1724</v>
      </c>
      <c r="B17" s="403" t="s">
        <v>1627</v>
      </c>
      <c r="D17" t="s">
        <v>1725</v>
      </c>
      <c r="E17" s="403" t="s">
        <v>1627</v>
      </c>
      <c r="G17" t="s">
        <v>1726</v>
      </c>
      <c r="H17" s="403" t="s">
        <v>1627</v>
      </c>
      <c r="J17" t="s">
        <v>1727</v>
      </c>
      <c r="K17" s="403" t="s">
        <v>1627</v>
      </c>
      <c r="M17" t="s">
        <v>1728</v>
      </c>
      <c r="N17" s="403" t="s">
        <v>1627</v>
      </c>
      <c r="P17" t="s">
        <v>1729</v>
      </c>
      <c r="Q17" s="403" t="s">
        <v>1627</v>
      </c>
    </row>
    <row r="18" spans="1:17" x14ac:dyDescent="0.25">
      <c r="A18" t="s">
        <v>1730</v>
      </c>
      <c r="B18" s="403" t="s">
        <v>1627</v>
      </c>
      <c r="D18" t="s">
        <v>1731</v>
      </c>
      <c r="E18" s="403" t="s">
        <v>1627</v>
      </c>
      <c r="G18" t="s">
        <v>1732</v>
      </c>
      <c r="H18" s="403" t="s">
        <v>1627</v>
      </c>
      <c r="J18" t="s">
        <v>1733</v>
      </c>
      <c r="K18" s="403" t="s">
        <v>1627</v>
      </c>
      <c r="M18" t="s">
        <v>1734</v>
      </c>
      <c r="N18" s="403" t="s">
        <v>1627</v>
      </c>
      <c r="P18" t="s">
        <v>1735</v>
      </c>
      <c r="Q18" s="403" t="s">
        <v>1627</v>
      </c>
    </row>
    <row r="19" spans="1:17" x14ac:dyDescent="0.25">
      <c r="A19" t="s">
        <v>1736</v>
      </c>
      <c r="B19" s="403" t="s">
        <v>1627</v>
      </c>
      <c r="D19" t="s">
        <v>1737</v>
      </c>
      <c r="E19" s="403" t="s">
        <v>1627</v>
      </c>
      <c r="G19" t="s">
        <v>1738</v>
      </c>
      <c r="H19" s="403" t="s">
        <v>1627</v>
      </c>
      <c r="J19" t="s">
        <v>1739</v>
      </c>
      <c r="K19" s="403" t="s">
        <v>1627</v>
      </c>
      <c r="M19" t="s">
        <v>1740</v>
      </c>
      <c r="N19" s="403" t="s">
        <v>1627</v>
      </c>
      <c r="P19" t="s">
        <v>1741</v>
      </c>
      <c r="Q19" s="403" t="s">
        <v>1627</v>
      </c>
    </row>
    <row r="20" spans="1:17" x14ac:dyDescent="0.25">
      <c r="A20" s="425" t="s">
        <v>1742</v>
      </c>
      <c r="D20" t="s">
        <v>1743</v>
      </c>
      <c r="E20" s="403" t="s">
        <v>1627</v>
      </c>
      <c r="G20" t="s">
        <v>1744</v>
      </c>
      <c r="H20" s="403" t="s">
        <v>1627</v>
      </c>
      <c r="J20" t="s">
        <v>1745</v>
      </c>
      <c r="K20" s="403" t="s">
        <v>1627</v>
      </c>
      <c r="M20" t="s">
        <v>1746</v>
      </c>
      <c r="N20" s="403" t="s">
        <v>1627</v>
      </c>
      <c r="P20" t="s">
        <v>1747</v>
      </c>
      <c r="Q20" s="403" t="s">
        <v>1627</v>
      </c>
    </row>
    <row r="21" spans="1:17" x14ac:dyDescent="0.25">
      <c r="A21" t="s">
        <v>1748</v>
      </c>
      <c r="B21" s="403" t="s">
        <v>1627</v>
      </c>
      <c r="D21" t="s">
        <v>1749</v>
      </c>
      <c r="E21" s="403" t="s">
        <v>1627</v>
      </c>
      <c r="G21" t="s">
        <v>1750</v>
      </c>
      <c r="H21" s="403" t="s">
        <v>1627</v>
      </c>
      <c r="J21" t="s">
        <v>1751</v>
      </c>
      <c r="K21" s="403" t="s">
        <v>1627</v>
      </c>
      <c r="M21" t="s">
        <v>1752</v>
      </c>
      <c r="N21" s="403" t="s">
        <v>1627</v>
      </c>
      <c r="P21" t="s">
        <v>1753</v>
      </c>
      <c r="Q21" s="403" t="s">
        <v>1627</v>
      </c>
    </row>
    <row r="22" spans="1:17" x14ac:dyDescent="0.25">
      <c r="A22" t="s">
        <v>1754</v>
      </c>
      <c r="B22" s="403" t="s">
        <v>1627</v>
      </c>
      <c r="D22" t="s">
        <v>1755</v>
      </c>
      <c r="E22" s="403" t="s">
        <v>1627</v>
      </c>
      <c r="G22" t="s">
        <v>1756</v>
      </c>
      <c r="H22" s="403" t="s">
        <v>1627</v>
      </c>
      <c r="J22" t="s">
        <v>1757</v>
      </c>
      <c r="K22" s="403" t="s">
        <v>1627</v>
      </c>
      <c r="M22" t="s">
        <v>1758</v>
      </c>
      <c r="N22" s="403" t="s">
        <v>1627</v>
      </c>
      <c r="P22" t="s">
        <v>1759</v>
      </c>
      <c r="Q22" s="403" t="s">
        <v>1627</v>
      </c>
    </row>
    <row r="23" spans="1:17" x14ac:dyDescent="0.25">
      <c r="A23" t="s">
        <v>1760</v>
      </c>
      <c r="B23" s="403" t="s">
        <v>1627</v>
      </c>
      <c r="D23" t="s">
        <v>1761</v>
      </c>
      <c r="E23" s="403" t="s">
        <v>1627</v>
      </c>
      <c r="G23" t="s">
        <v>1762</v>
      </c>
      <c r="H23" s="403" t="s">
        <v>1627</v>
      </c>
      <c r="J23" t="s">
        <v>1763</v>
      </c>
      <c r="K23" s="403" t="s">
        <v>1627</v>
      </c>
      <c r="M23" t="s">
        <v>1764</v>
      </c>
      <c r="N23" s="403" t="s">
        <v>1627</v>
      </c>
      <c r="P23" t="s">
        <v>1765</v>
      </c>
      <c r="Q23" s="403" t="s">
        <v>1627</v>
      </c>
    </row>
    <row r="24" spans="1:17" x14ac:dyDescent="0.25">
      <c r="A24" t="s">
        <v>1766</v>
      </c>
      <c r="B24" s="403" t="s">
        <v>1627</v>
      </c>
      <c r="D24" t="s">
        <v>1767</v>
      </c>
      <c r="E24" s="403" t="s">
        <v>1627</v>
      </c>
      <c r="G24" t="s">
        <v>1768</v>
      </c>
      <c r="H24" s="403" t="s">
        <v>1627</v>
      </c>
      <c r="J24" t="s">
        <v>1769</v>
      </c>
      <c r="K24" s="403" t="s">
        <v>1627</v>
      </c>
      <c r="M24" t="s">
        <v>1770</v>
      </c>
      <c r="N24" s="403" t="s">
        <v>1627</v>
      </c>
      <c r="P24" t="s">
        <v>1771</v>
      </c>
      <c r="Q24" s="403" t="s">
        <v>1627</v>
      </c>
    </row>
    <row r="25" spans="1:17" x14ac:dyDescent="0.25">
      <c r="A25" t="s">
        <v>1772</v>
      </c>
      <c r="B25" s="403" t="s">
        <v>1627</v>
      </c>
      <c r="D25" t="s">
        <v>1773</v>
      </c>
      <c r="E25" s="403" t="s">
        <v>1627</v>
      </c>
      <c r="G25" t="s">
        <v>1774</v>
      </c>
      <c r="H25" s="403" t="s">
        <v>1627</v>
      </c>
      <c r="J25" t="s">
        <v>1775</v>
      </c>
      <c r="K25" s="403" t="s">
        <v>1627</v>
      </c>
      <c r="M25" t="s">
        <v>1776</v>
      </c>
      <c r="N25" s="403" t="s">
        <v>1627</v>
      </c>
    </row>
    <row r="50" spans="2:2" x14ac:dyDescent="0.25">
      <c r="B50" s="403"/>
    </row>
    <row r="51" spans="2:2" x14ac:dyDescent="0.25">
      <c r="B51" s="403"/>
    </row>
    <row r="52" spans="2:2" x14ac:dyDescent="0.25">
      <c r="B52" s="403"/>
    </row>
    <row r="53" spans="2:2" x14ac:dyDescent="0.25">
      <c r="B53" s="403"/>
    </row>
    <row r="54" spans="2:2" x14ac:dyDescent="0.25">
      <c r="B54" s="403"/>
    </row>
    <row r="55" spans="2:2" x14ac:dyDescent="0.25">
      <c r="B55" s="403"/>
    </row>
    <row r="56" spans="2:2" x14ac:dyDescent="0.25">
      <c r="B56" s="403"/>
    </row>
    <row r="57" spans="2:2" x14ac:dyDescent="0.25">
      <c r="B57" s="403"/>
    </row>
    <row r="58" spans="2:2" x14ac:dyDescent="0.25">
      <c r="B58" s="403"/>
    </row>
    <row r="59" spans="2:2" x14ac:dyDescent="0.25">
      <c r="B59" s="403"/>
    </row>
    <row r="60" spans="2:2" x14ac:dyDescent="0.25">
      <c r="B60" s="403"/>
    </row>
    <row r="61" spans="2:2" x14ac:dyDescent="0.25">
      <c r="B61" s="403"/>
    </row>
    <row r="62" spans="2:2" x14ac:dyDescent="0.25">
      <c r="B62" s="403"/>
    </row>
    <row r="63" spans="2:2" x14ac:dyDescent="0.25">
      <c r="B63" s="403"/>
    </row>
    <row r="64" spans="2:2" x14ac:dyDescent="0.25">
      <c r="B64" s="403"/>
    </row>
    <row r="65" spans="2:2" x14ac:dyDescent="0.25">
      <c r="B65" s="403"/>
    </row>
    <row r="66" spans="2:2" x14ac:dyDescent="0.25">
      <c r="B66" s="403"/>
    </row>
    <row r="67" spans="2:2" x14ac:dyDescent="0.25">
      <c r="B67" s="403"/>
    </row>
    <row r="68" spans="2:2" x14ac:dyDescent="0.25">
      <c r="B68" s="403"/>
    </row>
    <row r="69" spans="2:2" x14ac:dyDescent="0.25">
      <c r="B69" s="403"/>
    </row>
    <row r="70" spans="2:2" x14ac:dyDescent="0.25">
      <c r="B70" s="403"/>
    </row>
    <row r="71" spans="2:2" x14ac:dyDescent="0.25">
      <c r="B71" s="403"/>
    </row>
    <row r="72" spans="2:2" x14ac:dyDescent="0.25">
      <c r="B72" s="403"/>
    </row>
    <row r="73" spans="2:2" x14ac:dyDescent="0.25">
      <c r="B73" s="403"/>
    </row>
    <row r="74" spans="2:2" x14ac:dyDescent="0.25">
      <c r="B74" s="403"/>
    </row>
  </sheetData>
  <hyperlinks>
    <hyperlink ref="B3" location="'Setup'!A1" display="Click here!" xr:uid="{00000000-0004-0000-0000-000000000000}"/>
    <hyperlink ref="B5" location="'KeyB'!A1" display="Click here!" xr:uid="{00000000-0004-0000-0000-000001000000}"/>
    <hyperlink ref="B6" location="'KeyB(2)'!A1" display="Click here!" xr:uid="{00000000-0004-0000-0000-000002000000}"/>
    <hyperlink ref="B7" location="'KeyB(3)'!A1" display="Click here!" xr:uid="{00000000-0004-0000-0000-000003000000}"/>
    <hyperlink ref="B9" location="'SUMIFS'!A1" display="Click here!" xr:uid="{00000000-0004-0000-0000-000004000000}"/>
    <hyperlink ref="B10" location="'PT'!A1" display="Click here!" xr:uid="{00000000-0004-0000-0000-000005000000}"/>
    <hyperlink ref="B11" location="'Tables'!A1" display="Click here!" xr:uid="{00000000-0004-0000-0000-000006000000}"/>
    <hyperlink ref="B12" location="'Decimals'!A1" display="Click here!" xr:uid="{00000000-0004-0000-0000-000007000000}"/>
    <hyperlink ref="B13" location="'DateMath'!A1" display="Click here!" xr:uid="{00000000-0004-0000-0000-000008000000}"/>
    <hyperlink ref="B14" location="'TimeMath'!A1" display="Click here!" xr:uid="{00000000-0004-0000-0000-000009000000}"/>
    <hyperlink ref="B15" location="'Percentage(1)'!A1" display="Click here!" xr:uid="{00000000-0004-0000-0000-00000A000000}"/>
    <hyperlink ref="B16" location="'Percentage(2)'!A1" display="Click here!" xr:uid="{00000000-0004-0000-0000-00000B000000}"/>
    <hyperlink ref="B17" location="'Align(1)'!A1" display="Click here!" xr:uid="{00000000-0004-0000-0000-00000C000000}"/>
    <hyperlink ref="B18" location="'Align(2)'!A1" display="Click here!" xr:uid="{00000000-0004-0000-0000-00000D000000}"/>
    <hyperlink ref="B19" location="'Align(3)'!A1" display="Click here!" xr:uid="{00000000-0004-0000-0000-00000E000000}"/>
    <hyperlink ref="B21" location="'Store 1'!A1" display="Click here!" xr:uid="{00000000-0004-0000-0000-00000F000000}"/>
    <hyperlink ref="B22" location="'Store 2'!A1" display="Click here!" xr:uid="{00000000-0004-0000-0000-000010000000}"/>
    <hyperlink ref="B23" location="'Jones - Amortization Table'!A1" display="Click here!" xr:uid="{00000000-0004-0000-0000-000011000000}"/>
    <hyperlink ref="B24" location="'Styles(1)'!A1" display="Click here!" xr:uid="{00000000-0004-0000-0000-000012000000}"/>
    <hyperlink ref="B25" location="'Styles(2)'!A1" display="Click here!" xr:uid="{00000000-0004-0000-0000-000013000000}"/>
    <hyperlink ref="E4" location="'MathOperators'!A1" display="Click here!" xr:uid="{00000000-0004-0000-0000-000014000000}"/>
    <hyperlink ref="E6" location="'OrderOfOperations'!A1" display="Click here!" xr:uid="{00000000-0004-0000-0000-000015000000}"/>
    <hyperlink ref="E7" location="'OOO'!A1" display="Click here!" xr:uid="{00000000-0004-0000-0000-000016000000}"/>
    <hyperlink ref="E8" location="'3WaysToGetCR'!A1" display="Click here!" xr:uid="{00000000-0004-0000-0000-000017000000}"/>
    <hyperlink ref="E9" location="'CR(1)'!A1" display="Click here!" xr:uid="{00000000-0004-0000-0000-000018000000}"/>
    <hyperlink ref="E10" location="'CR(2)'!A1" display="Click here!" xr:uid="{00000000-0004-0000-0000-000019000000}"/>
    <hyperlink ref="E11" location="'CR(3)'!A1" display="Click here!" xr:uid="{00000000-0004-0000-0000-00001A000000}"/>
    <hyperlink ref="E12" location="'CR(4)'!A1" display="Click here!" xr:uid="{00000000-0004-0000-0000-00001B000000}"/>
    <hyperlink ref="E13" location="'CR(5)'!A1" display="Click here!" xr:uid="{00000000-0004-0000-0000-00001C000000}"/>
    <hyperlink ref="E14" location="'CR(6)'!A1" display="Click here!" xr:uid="{00000000-0004-0000-0000-00001D000000}"/>
    <hyperlink ref="E15" location="'CR(7)'!A1" display="Click here!" xr:uid="{00000000-0004-0000-0000-00001E000000}"/>
    <hyperlink ref="E16" location="'Assumption'!A1" display="Click here!" xr:uid="{00000000-0004-0000-0000-00001F000000}"/>
    <hyperlink ref="E17" location="'Scenarios'!A1" display="Click here!" xr:uid="{00000000-0004-0000-0000-000020000000}"/>
    <hyperlink ref="E18" location="'CR(8)'!A1" display="Click here!" xr:uid="{00000000-0004-0000-0000-000021000000}"/>
    <hyperlink ref="E19" location="'CAR'!A1" display="Click here!" xr:uid="{00000000-0004-0000-0000-000022000000}"/>
    <hyperlink ref="E20" location="'CR(9)'!A1" display="Click here!" xr:uid="{00000000-0004-0000-0000-000023000000}"/>
    <hyperlink ref="E21" location="'Corp'!A1" display="Click here!" xr:uid="{00000000-0004-0000-0000-000024000000}"/>
    <hyperlink ref="E22" location="'Oak'!A1" display="Click here!" xr:uid="{00000000-0004-0000-0000-000025000000}"/>
    <hyperlink ref="E23" location="'Sea'!A1" display="Click here!" xr:uid="{00000000-0004-0000-0000-000026000000}"/>
    <hyperlink ref="E24" location="'Tac'!A1" display="Click here!" xr:uid="{00000000-0004-0000-0000-000027000000}"/>
    <hyperlink ref="E25" location="'Ranges'!A1" display="Click here!" xr:uid="{00000000-0004-0000-0000-000028000000}"/>
    <hyperlink ref="H2" location="'Functions(1)'!A1" display="Click here!" xr:uid="{00000000-0004-0000-0000-000029000000}"/>
    <hyperlink ref="H3" location="'Functions(2)'!A1" display="Click here!" xr:uid="{00000000-0004-0000-0000-00002A000000}"/>
    <hyperlink ref="H4" location="'SUMPRODUCT'!A1" display="Click here!" xr:uid="{00000000-0004-0000-0000-00002B000000}"/>
    <hyperlink ref="H5" location="'SP(2)'!A1" display="Click here!" xr:uid="{00000000-0004-0000-0000-00002C000000}"/>
    <hyperlink ref="N2" location="'ST(2)'!A1" display="Click here!" xr:uid="{00000000-0004-0000-0000-00002D000000}"/>
    <hyperlink ref="N3" location="'ST PT C'!A1" display="Click here!" xr:uid="{00000000-0004-0000-0000-00002E000000}"/>
    <hyperlink ref="N4" location="'PTData'!A1" display="Click here!" xr:uid="{00000000-0004-0000-0000-00002F000000}"/>
    <hyperlink ref="N5" location="'FormulaS'!A1" display="Click here!" xr:uid="{00000000-0004-0000-0000-000030000000}"/>
    <hyperlink ref="N6" location="'PTData (2)'!A1" display="Click here!" xr:uid="{00000000-0004-0000-0000-000031000000}"/>
    <hyperlink ref="N7" location="'PTData (3)'!A1" display="Click here!" xr:uid="{00000000-0004-0000-0000-000032000000}"/>
    <hyperlink ref="N8" location="'PTData (4)'!A1" display="Click here!" xr:uid="{00000000-0004-0000-0000-000033000000}"/>
    <hyperlink ref="N9" location="'Visualize'!A1" display="Click here!" xr:uid="{00000000-0004-0000-0000-000034000000}"/>
    <hyperlink ref="N10" location="'PT(5)'!A1" display="Click here!" xr:uid="{00000000-0004-0000-0000-000035000000}"/>
    <hyperlink ref="N11" location="'PTData (5)'!A1" display="Click here!" xr:uid="{00000000-0004-0000-0000-000036000000}"/>
    <hyperlink ref="N12" location="'PTData (6)'!A1" display="Click here!" xr:uid="{00000000-0004-0000-0000-000037000000}"/>
    <hyperlink ref="N13" location="'PTData (7)'!A1" display="Click here!" xr:uid="{00000000-0004-0000-0000-000038000000}"/>
    <hyperlink ref="N14" location="'PTData (8)'!A1" display="Click here!" xr:uid="{00000000-0004-0000-0000-000039000000}"/>
    <hyperlink ref="N15" location="'PT(11)'!A1" display="Click here!" xr:uid="{00000000-0004-0000-0000-00003A000000}"/>
    <hyperlink ref="N16" location="'PTData (9)'!A1" display="Click here!" xr:uid="{00000000-0004-0000-0000-00003B000000}"/>
    <hyperlink ref="N17" location="'Filter'!A1" display="Click here!" xr:uid="{00000000-0004-0000-0000-00003C000000}"/>
    <hyperlink ref="N18" location="'PFilter'!A1" display="Click here!" xr:uid="{00000000-0004-0000-0000-00003D000000}"/>
    <hyperlink ref="N19" location="'FilterC'!A1" display="Click here!" xr:uid="{00000000-0004-0000-0000-00003E000000}"/>
    <hyperlink ref="N20" location="'FilterT'!A1" display="Click here!" xr:uid="{00000000-0004-0000-0000-00003F000000}"/>
    <hyperlink ref="N21" location="'FilterD'!A1" display="Click here!" xr:uid="{00000000-0004-0000-0000-000040000000}"/>
    <hyperlink ref="N22" location="'FilterSales'!A1" display="Click here!" xr:uid="{00000000-0004-0000-0000-000041000000}"/>
    <hyperlink ref="N23" location="'AF(1)'!A1" display="Click here!" xr:uid="{00000000-0004-0000-0000-000042000000}"/>
    <hyperlink ref="N24" location="'AF(2)'!A1" display="Click here!" xr:uid="{00000000-0004-0000-0000-000043000000}"/>
    <hyperlink ref="N25" location="'AF(3)'!A1" display="Click here!" xr:uid="{00000000-0004-0000-0000-000044000000}"/>
    <hyperlink ref="Q2" location="'AF(4)'!A1" display="Click here!" xr:uid="{00000000-0004-0000-0000-000045000000}"/>
    <hyperlink ref="Q3" location="'AF(5)'!A1" display="Click here!" xr:uid="{00000000-0004-0000-0000-000046000000}"/>
    <hyperlink ref="Q4" location="'AF(6)'!A1" display="Click here!" xr:uid="{00000000-0004-0000-0000-000047000000}"/>
    <hyperlink ref="Q5" location="'AF(7)'!A1" display="Click here!" xr:uid="{00000000-0004-0000-0000-000048000000}"/>
    <hyperlink ref="Q6" location="'Extract'!A1" display="Click here!" xr:uid="{00000000-0004-0000-0000-000049000000}"/>
    <hyperlink ref="Q7" location="'AF(8)'!A1" display="Click here!" xr:uid="{00000000-0004-0000-0000-00004A000000}"/>
    <hyperlink ref="Q8" location="'TTC(1)'!A1" display="Click here!" xr:uid="{00000000-0004-0000-0000-00004B000000}"/>
    <hyperlink ref="Q9" location="'TTC2'!A1" display="Click here!" xr:uid="{00000000-0004-0000-0000-00004C000000}"/>
    <hyperlink ref="Q10" location="'ID(1)'!A1" display="Click here!" xr:uid="{00000000-0004-0000-0000-00004D000000}"/>
    <hyperlink ref="Q11" location="'ID(2)'!A1" display="Click here!" xr:uid="{00000000-0004-0000-0000-00004E000000}"/>
    <hyperlink ref="Q12" location="'ID(3)'!A1" display="Click here!" xr:uid="{00000000-0004-0000-0000-00004F000000}"/>
    <hyperlink ref="Q13" location="'Ct(1)'!A1" display="Click here!" xr:uid="{00000000-0004-0000-0000-000050000000}"/>
    <hyperlink ref="Q14" location="'Ct(3)'!A1" display="Click here!" xr:uid="{00000000-0004-0000-0000-000051000000}"/>
    <hyperlink ref="Q16" location="'C(1)'!A1" display="Click here!" xr:uid="{00000000-0004-0000-0000-000052000000}"/>
    <hyperlink ref="Q17" location="'C(2)'!A1" display="Click here!" xr:uid="{00000000-0004-0000-0000-000053000000}"/>
    <hyperlink ref="Q18" location="'C(3)'!A1" display="Click here!" xr:uid="{00000000-0004-0000-0000-000054000000}"/>
    <hyperlink ref="Q19" location="'C(4)'!A1" display="Click here!" xr:uid="{00000000-0004-0000-0000-000055000000}"/>
    <hyperlink ref="Q20" location="'C(5)'!A1" display="Click here!" xr:uid="{00000000-0004-0000-0000-000056000000}"/>
    <hyperlink ref="Q21" location="'C(6)'!A1" display="Click here!" xr:uid="{00000000-0004-0000-0000-000057000000}"/>
    <hyperlink ref="Q22" location="'C(7)'!A1" display="Click here!" xr:uid="{00000000-0004-0000-0000-000058000000}"/>
    <hyperlink ref="Q23" location="'C(8)'!A1" display="Click here!" xr:uid="{00000000-0004-0000-0000-000059000000}"/>
    <hyperlink ref="Q24" location="'C(9)'!A1" display="Click here!" xr:uid="{00000000-0004-0000-0000-00005A000000}"/>
    <hyperlink ref="T3" location="'CF(1)'!A1" display="Click here!" xr:uid="{00000000-0004-0000-0000-00005B000000}"/>
    <hyperlink ref="T4" location="'CF(2)'!A1" display="Click here!" xr:uid="{00000000-0004-0000-0000-00005C000000}"/>
    <hyperlink ref="T5" location="'Logical'!A1" display="Click here!" xr:uid="{00000000-0004-0000-0000-00005D000000}"/>
    <hyperlink ref="T6" location="'CF(3)'!A1" display="Click here!" xr:uid="{00000000-0004-0000-0000-00005E000000}"/>
    <hyperlink ref="T7" location="'CF(4)'!A1" display="Click here!" xr:uid="{00000000-0004-0000-0000-00005F000000}"/>
    <hyperlink ref="T8" location="'CF(5)'!A1" display="Click here!" xr:uid="{00000000-0004-0000-0000-000060000000}"/>
    <hyperlink ref="T9" location="'CF(6)'!A1" display="Click here!" xr:uid="{00000000-0004-0000-0000-000061000000}"/>
    <hyperlink ref="T10" location="'F&amp;R&amp;GotTo'!A1" display="Click here!" xr:uid="{00000000-0004-0000-0000-000062000000}"/>
    <hyperlink ref="K6" location="'GS'!A1" display="Click here!" xr:uid="{00000000-0004-0000-0000-000063000000}"/>
    <hyperlink ref="K5" location="'RANK'!A1" display="Click here!" xr:uid="{00000000-0004-0000-0000-000064000000}"/>
    <hyperlink ref="K4" location="'MODE'!A1" display="Click here!" xr:uid="{00000000-0004-0000-0000-000065000000}"/>
    <hyperlink ref="K3" location="'MED'!A1" display="Click here!" xr:uid="{00000000-0004-0000-0000-000066000000}"/>
    <hyperlink ref="K2" location="'AVE'!A1" display="Click here!" xr:uid="{00000000-0004-0000-0000-000067000000}"/>
    <hyperlink ref="H25" location="'ROUND information'!A1" display="Click here!" xr:uid="{00000000-0004-0000-0000-000068000000}"/>
    <hyperlink ref="H24" location="'ROUND'!A1" display="Click here!" xr:uid="{00000000-0004-0000-0000-000069000000}"/>
    <hyperlink ref="H23" location="'I(3)'!A1" display="Click here!" xr:uid="{00000000-0004-0000-0000-00006A000000}"/>
    <hyperlink ref="H22" location="'I(2)'!A1" display="Click here!" xr:uid="{00000000-0004-0000-0000-00006B000000}"/>
    <hyperlink ref="H21" location="'I(1)'!A1" display="Click here!" xr:uid="{00000000-0004-0000-0000-00006C000000}"/>
    <hyperlink ref="H20" location="'MasterList'!A1" display="Click here!" xr:uid="{00000000-0004-0000-0000-00006D000000}"/>
    <hyperlink ref="H19" location="'2wl'!A1" display="Click here!" xr:uid="{00000000-0004-0000-0000-00006E000000}"/>
    <hyperlink ref="H18" location="'CTable'!A1" display="Click here!" xr:uid="{00000000-0004-0000-0000-00006F000000}"/>
    <hyperlink ref="H17" location="'V(5)'!A1" display="Click here!" xr:uid="{00000000-0004-0000-0000-000070000000}"/>
    <hyperlink ref="H16" location="'V(4)'!A1" display="Click here!" xr:uid="{00000000-0004-0000-0000-000071000000}"/>
    <hyperlink ref="H15" location="'V(3)'!A1" display="Click here!" xr:uid="{00000000-0004-0000-0000-000072000000}"/>
    <hyperlink ref="H14" location="'VLOOKUP(2)'!A1" display="Click here!" xr:uid="{00000000-0004-0000-0000-000073000000}"/>
    <hyperlink ref="H13" location="'VLOOKUP(1)'!A1" display="Click here!" xr:uid="{00000000-0004-0000-0000-000074000000}"/>
    <hyperlink ref="H12" location="'IF(7)'!A1" display="Click here!" xr:uid="{00000000-0004-0000-0000-000075000000}"/>
    <hyperlink ref="H11" location="'IF(6)'!A1" display="Click here!" xr:uid="{00000000-0004-0000-0000-000076000000}"/>
    <hyperlink ref="H10" location="'IF(5)'!A1" display="Click here!" xr:uid="{00000000-0004-0000-0000-000077000000}"/>
    <hyperlink ref="H9" location="'IF(4)'!A1" display="Click here!" xr:uid="{00000000-0004-0000-0000-000078000000}"/>
    <hyperlink ref="H8" location="'IF(3)'!A1" display="Click here!" xr:uid="{00000000-0004-0000-0000-000079000000}"/>
    <hyperlink ref="H7" location="'IF(2)'!A1" display="Click here!" xr:uid="{00000000-0004-0000-0000-00007A000000}"/>
    <hyperlink ref="H6" location="'IF(1)'!A1" display="Click here!" xr:uid="{00000000-0004-0000-0000-00007B000000}"/>
    <hyperlink ref="E5" location="MathOperators!A1" display="Click here!" xr:uid="{00000000-0004-0000-0000-00007C000000}"/>
    <hyperlink ref="E3" location="'Formula(2)'!A1" display="Click here!" xr:uid="{00000000-0004-0000-0000-00007D000000}"/>
    <hyperlink ref="K7" location="'Array(1)'!A1" display="Click here!" xr:uid="{00000000-0004-0000-0000-00007E000000}"/>
    <hyperlink ref="K8" location="'Array(2)'!A1" display="Click here!" xr:uid="{00000000-0004-0000-0000-00007F000000}"/>
    <hyperlink ref="K9" location="'Array(3)'!A1" display="Click here!" xr:uid="{00000000-0004-0000-0000-000080000000}"/>
    <hyperlink ref="K10" location="'Array(4)'!A1" display="Click here!" xr:uid="{00000000-0004-0000-0000-000081000000}"/>
    <hyperlink ref="K11" location="'Errors'!A1" display="Click here!" xr:uid="{00000000-0004-0000-0000-000082000000}"/>
    <hyperlink ref="K13" location="'S(1)'!A1" display="Click here!" xr:uid="{00000000-0004-0000-0000-000083000000}"/>
    <hyperlink ref="K14" location="'S(2)'!A1" display="Click here!" xr:uid="{00000000-0004-0000-0000-000084000000}"/>
    <hyperlink ref="K15" location="'S(3)'!A1" display="Click here!" xr:uid="{00000000-0004-0000-0000-000085000000}"/>
    <hyperlink ref="K16" location="'S(4)'!A1" display="Click here!" xr:uid="{00000000-0004-0000-0000-000086000000}"/>
    <hyperlink ref="K17" location="'S(5)'!A1" display="Click here!" xr:uid="{00000000-0004-0000-0000-000087000000}"/>
    <hyperlink ref="K18" location="'S(6)'!A1" display="Click here!" xr:uid="{00000000-0004-0000-0000-000088000000}"/>
    <hyperlink ref="K19" location="'S(7)'!A1" display="Click here!" xr:uid="{00000000-0004-0000-0000-000089000000}"/>
    <hyperlink ref="K20" location="'S(8)'!A1" display="Click here!" xr:uid="{00000000-0004-0000-0000-00008A000000}"/>
    <hyperlink ref="K21" location="'S(9)'!A1" display="Click here!" xr:uid="{00000000-0004-0000-0000-00008B000000}"/>
    <hyperlink ref="K22" location="'S(10)'!A1" display="Click here!" xr:uid="{00000000-0004-0000-0000-00008C000000}"/>
    <hyperlink ref="K23" location="'S(11)'!A1" display="Click here!" xr:uid="{00000000-0004-0000-0000-00008D000000}"/>
    <hyperlink ref="K24" location="'ST(1)'!A1" display="Click here!" xr:uid="{00000000-0004-0000-0000-00008E000000}"/>
    <hyperlink ref="K25" location="'STpaste'!A1" display="Click here!" xr:uid="{00000000-0004-0000-0000-00008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FF"/>
  </sheetPr>
  <dimension ref="A1:N19"/>
  <sheetViews>
    <sheetView workbookViewId="0"/>
  </sheetViews>
  <sheetFormatPr defaultRowHeight="15" x14ac:dyDescent="0.25"/>
  <sheetData>
    <row r="1" spans="1:14" x14ac:dyDescent="0.25">
      <c r="C1" s="1"/>
    </row>
    <row r="2" spans="1:14" x14ac:dyDescent="0.25">
      <c r="C2" s="1"/>
    </row>
    <row r="3" spans="1:14" x14ac:dyDescent="0.25">
      <c r="C3" s="1"/>
    </row>
    <row r="4" spans="1:14" x14ac:dyDescent="0.25">
      <c r="C4" s="2"/>
    </row>
    <row r="5" spans="1:14" x14ac:dyDescent="0.25">
      <c r="A5" s="3"/>
      <c r="B5" s="3"/>
      <c r="C5" s="359"/>
      <c r="D5" s="3"/>
      <c r="E5" s="3"/>
      <c r="F5" s="3"/>
      <c r="G5" s="3"/>
      <c r="H5" s="3"/>
      <c r="I5" s="3"/>
      <c r="J5" s="3"/>
      <c r="K5" s="3"/>
      <c r="L5" s="3"/>
      <c r="M5" s="3"/>
      <c r="N5" s="3"/>
    </row>
    <row r="6" spans="1:14" x14ac:dyDescent="0.25">
      <c r="C6" s="4"/>
    </row>
    <row r="7" spans="1:14" x14ac:dyDescent="0.25">
      <c r="C7" s="1"/>
    </row>
    <row r="8" spans="1:14" x14ac:dyDescent="0.25">
      <c r="C8" s="1"/>
    </row>
    <row r="9" spans="1:14" x14ac:dyDescent="0.25">
      <c r="C9" s="1"/>
    </row>
    <row r="10" spans="1:14" x14ac:dyDescent="0.25">
      <c r="C10" s="1"/>
    </row>
    <row r="11" spans="1:14" x14ac:dyDescent="0.25">
      <c r="C11" s="1"/>
    </row>
    <row r="12" spans="1:14" x14ac:dyDescent="0.25">
      <c r="C12" s="1"/>
    </row>
    <row r="13" spans="1:14" x14ac:dyDescent="0.25">
      <c r="C13" s="1"/>
    </row>
    <row r="14" spans="1:14" x14ac:dyDescent="0.25">
      <c r="C14" s="1"/>
    </row>
    <row r="15" spans="1:14" x14ac:dyDescent="0.25">
      <c r="C15" s="1"/>
    </row>
    <row r="16" spans="1:14" x14ac:dyDescent="0.25">
      <c r="C16" s="1"/>
    </row>
    <row r="17" spans="3:3" x14ac:dyDescent="0.25">
      <c r="C17" s="1"/>
    </row>
    <row r="18" spans="3:3" x14ac:dyDescent="0.25">
      <c r="C18" s="1"/>
    </row>
    <row r="19" spans="3:3" x14ac:dyDescent="0.25">
      <c r="C19"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FC5DD-2EBA-431F-A06B-4AD4C091E02B}">
  <sheetPr>
    <tabColor rgb="FF0000FF"/>
  </sheetPr>
  <dimension ref="A1:K15"/>
  <sheetViews>
    <sheetView workbookViewId="0">
      <selection activeCell="K3" sqref="K3"/>
    </sheetView>
  </sheetViews>
  <sheetFormatPr defaultRowHeight="15" x14ac:dyDescent="0.25"/>
  <cols>
    <col min="1" max="1" width="12.7109375" bestFit="1" customWidth="1"/>
    <col min="2" max="5" width="10.42578125" bestFit="1" customWidth="1"/>
    <col min="6" max="6" width="9.85546875" bestFit="1" customWidth="1"/>
  </cols>
  <sheetData>
    <row r="1" spans="1:11" x14ac:dyDescent="0.25">
      <c r="A1" s="322" t="s">
        <v>1238</v>
      </c>
      <c r="B1" s="18" t="s">
        <v>1239</v>
      </c>
      <c r="C1" s="18" t="s">
        <v>1240</v>
      </c>
      <c r="D1" s="18" t="s">
        <v>1241</v>
      </c>
      <c r="E1" s="18" t="s">
        <v>1242</v>
      </c>
      <c r="F1" s="18" t="s">
        <v>785</v>
      </c>
    </row>
    <row r="2" spans="1:11" x14ac:dyDescent="0.25">
      <c r="A2" s="9" t="s">
        <v>381</v>
      </c>
      <c r="B2" s="323">
        <v>415</v>
      </c>
      <c r="C2" s="323">
        <v>244</v>
      </c>
      <c r="D2" s="323">
        <v>248</v>
      </c>
      <c r="E2" s="323">
        <v>417</v>
      </c>
      <c r="F2" s="324">
        <f t="shared" ref="F2:F7" si="0">SUM(B2:E2)</f>
        <v>1324</v>
      </c>
      <c r="H2" t="s">
        <v>1780</v>
      </c>
      <c r="K2" s="27" t="s">
        <v>1785</v>
      </c>
    </row>
    <row r="3" spans="1:11" x14ac:dyDescent="0.25">
      <c r="A3" s="9" t="s">
        <v>382</v>
      </c>
      <c r="B3" s="325">
        <v>279</v>
      </c>
      <c r="C3" s="325">
        <v>223</v>
      </c>
      <c r="D3" s="325">
        <v>321</v>
      </c>
      <c r="E3" s="325">
        <v>191</v>
      </c>
      <c r="F3" s="326">
        <f t="shared" si="0"/>
        <v>1014</v>
      </c>
    </row>
    <row r="4" spans="1:11" x14ac:dyDescent="0.25">
      <c r="A4" s="9" t="s">
        <v>383</v>
      </c>
      <c r="B4" s="325">
        <v>379</v>
      </c>
      <c r="C4" s="325">
        <v>382</v>
      </c>
      <c r="D4" s="325">
        <v>215</v>
      </c>
      <c r="E4" s="325">
        <v>304</v>
      </c>
      <c r="F4" s="326">
        <f t="shared" si="0"/>
        <v>1280</v>
      </c>
    </row>
    <row r="5" spans="1:11" x14ac:dyDescent="0.25">
      <c r="A5" s="9" t="s">
        <v>384</v>
      </c>
      <c r="B5" s="325">
        <v>181</v>
      </c>
      <c r="C5" s="325">
        <v>227</v>
      </c>
      <c r="D5" s="325">
        <v>150</v>
      </c>
      <c r="E5" s="325">
        <v>260</v>
      </c>
      <c r="F5" s="326">
        <f t="shared" si="0"/>
        <v>818</v>
      </c>
    </row>
    <row r="6" spans="1:11" x14ac:dyDescent="0.25">
      <c r="A6" s="9" t="s">
        <v>385</v>
      </c>
      <c r="B6" s="325">
        <v>290</v>
      </c>
      <c r="C6" s="325">
        <v>440</v>
      </c>
      <c r="D6" s="325">
        <v>212</v>
      </c>
      <c r="E6" s="325">
        <v>368</v>
      </c>
      <c r="F6" s="326">
        <f t="shared" si="0"/>
        <v>1310</v>
      </c>
    </row>
    <row r="7" spans="1:11" x14ac:dyDescent="0.25">
      <c r="A7" s="9" t="s">
        <v>785</v>
      </c>
      <c r="B7" s="327">
        <f>SUM(B2:B6)</f>
        <v>1544</v>
      </c>
      <c r="C7" s="327">
        <f>SUM(C2:C6)</f>
        <v>1516</v>
      </c>
      <c r="D7" s="327">
        <f>SUM(D2:D6)</f>
        <v>1146</v>
      </c>
      <c r="E7" s="327">
        <f>SUM(E2:E6)</f>
        <v>1540</v>
      </c>
      <c r="F7" s="328">
        <f t="shared" si="0"/>
        <v>5746</v>
      </c>
    </row>
    <row r="10" spans="1:11" x14ac:dyDescent="0.25">
      <c r="A10" s="322" t="s">
        <v>1238</v>
      </c>
      <c r="B10" s="9" t="s">
        <v>381</v>
      </c>
      <c r="C10" s="9" t="s">
        <v>382</v>
      </c>
      <c r="D10" s="9" t="s">
        <v>383</v>
      </c>
      <c r="E10" s="9" t="s">
        <v>384</v>
      </c>
      <c r="F10" s="9" t="s">
        <v>385</v>
      </c>
      <c r="G10" s="9" t="s">
        <v>785</v>
      </c>
    </row>
    <row r="11" spans="1:11" x14ac:dyDescent="0.25">
      <c r="A11" s="18" t="s">
        <v>1239</v>
      </c>
      <c r="B11" s="323">
        <v>415</v>
      </c>
      <c r="C11" s="325">
        <v>279</v>
      </c>
      <c r="D11" s="325">
        <v>379</v>
      </c>
      <c r="E11" s="325">
        <v>181</v>
      </c>
      <c r="F11" s="325">
        <v>290</v>
      </c>
      <c r="G11" s="327">
        <f>SUM(B11:F11)</f>
        <v>1544</v>
      </c>
      <c r="I11" t="s">
        <v>1781</v>
      </c>
    </row>
    <row r="12" spans="1:11" x14ac:dyDescent="0.25">
      <c r="A12" s="18" t="s">
        <v>1240</v>
      </c>
      <c r="B12" s="323">
        <v>244</v>
      </c>
      <c r="C12" s="325">
        <v>223</v>
      </c>
      <c r="D12" s="325">
        <v>382</v>
      </c>
      <c r="E12" s="325">
        <v>227</v>
      </c>
      <c r="F12" s="325">
        <v>440</v>
      </c>
      <c r="G12" s="327">
        <f>SUM(B12:F12)</f>
        <v>1516</v>
      </c>
    </row>
    <row r="13" spans="1:11" x14ac:dyDescent="0.25">
      <c r="A13" s="18" t="s">
        <v>1241</v>
      </c>
      <c r="B13" s="323">
        <v>248</v>
      </c>
      <c r="C13" s="325">
        <v>321</v>
      </c>
      <c r="D13" s="325">
        <v>215</v>
      </c>
      <c r="E13" s="325">
        <v>150</v>
      </c>
      <c r="F13" s="325">
        <v>212</v>
      </c>
      <c r="G13" s="327">
        <f>SUM(B13:F13)</f>
        <v>1146</v>
      </c>
    </row>
    <row r="14" spans="1:11" x14ac:dyDescent="0.25">
      <c r="A14" s="18" t="s">
        <v>1242</v>
      </c>
      <c r="B14" s="323">
        <v>417</v>
      </c>
      <c r="C14" s="325">
        <v>191</v>
      </c>
      <c r="D14" s="325">
        <v>304</v>
      </c>
      <c r="E14" s="325">
        <v>260</v>
      </c>
      <c r="F14" s="325">
        <v>368</v>
      </c>
      <c r="G14" s="327">
        <f>SUM(B14:F14)</f>
        <v>1540</v>
      </c>
    </row>
    <row r="15" spans="1:11" x14ac:dyDescent="0.25">
      <c r="A15" s="18" t="s">
        <v>785</v>
      </c>
      <c r="B15" s="324">
        <f>SUM(B11:B14)</f>
        <v>1324</v>
      </c>
      <c r="C15" s="326">
        <f>SUM(C11:C14)</f>
        <v>1014</v>
      </c>
      <c r="D15" s="326">
        <f>SUM(D11:D14)</f>
        <v>1280</v>
      </c>
      <c r="E15" s="326">
        <f>SUM(E11:E14)</f>
        <v>818</v>
      </c>
      <c r="F15" s="326">
        <f>SUM(F11:F14)</f>
        <v>1310</v>
      </c>
      <c r="G15" s="328">
        <f>SUM(G11:G14)</f>
        <v>5746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FF"/>
  </sheetPr>
  <dimension ref="A1:M77"/>
  <sheetViews>
    <sheetView workbookViewId="0">
      <selection activeCell="C11" sqref="C11"/>
    </sheetView>
  </sheetViews>
  <sheetFormatPr defaultColWidth="9.140625" defaultRowHeight="15" x14ac:dyDescent="0.25"/>
  <cols>
    <col min="1" max="1" width="12.7109375" bestFit="1" customWidth="1"/>
    <col min="2" max="5" width="10.7109375" bestFit="1" customWidth="1"/>
    <col min="6" max="6" width="9.85546875" bestFit="1" customWidth="1"/>
    <col min="8" max="8" width="12.7109375" bestFit="1" customWidth="1"/>
    <col min="9" max="12" width="10.7109375" bestFit="1" customWidth="1"/>
    <col min="13" max="13" width="9.85546875" bestFit="1" customWidth="1"/>
  </cols>
  <sheetData>
    <row r="1" spans="1:13" x14ac:dyDescent="0.25">
      <c r="H1" s="322" t="s">
        <v>1238</v>
      </c>
      <c r="I1" s="18" t="s">
        <v>1239</v>
      </c>
      <c r="J1" s="18" t="s">
        <v>1240</v>
      </c>
      <c r="K1" s="18" t="s">
        <v>1241</v>
      </c>
      <c r="L1" s="18" t="s">
        <v>1242</v>
      </c>
      <c r="M1" s="18" t="s">
        <v>785</v>
      </c>
    </row>
    <row r="2" spans="1:13" x14ac:dyDescent="0.25">
      <c r="H2" s="9" t="s">
        <v>381</v>
      </c>
      <c r="I2" s="323">
        <v>415</v>
      </c>
      <c r="J2" s="323">
        <v>244</v>
      </c>
      <c r="K2" s="323">
        <v>248</v>
      </c>
      <c r="L2" s="323">
        <v>417</v>
      </c>
      <c r="M2" s="324">
        <f t="shared" ref="M2:M7" si="0">SUM(I2:L2)</f>
        <v>1324</v>
      </c>
    </row>
    <row r="3" spans="1:13" x14ac:dyDescent="0.25">
      <c r="H3" s="9" t="s">
        <v>382</v>
      </c>
      <c r="I3" s="325">
        <v>279</v>
      </c>
      <c r="J3" s="325">
        <v>223</v>
      </c>
      <c r="K3" s="325">
        <v>321</v>
      </c>
      <c r="L3" s="325">
        <v>191</v>
      </c>
      <c r="M3" s="326">
        <f t="shared" si="0"/>
        <v>1014</v>
      </c>
    </row>
    <row r="4" spans="1:13" x14ac:dyDescent="0.25">
      <c r="H4" s="9" t="s">
        <v>383</v>
      </c>
      <c r="I4" s="325">
        <v>379</v>
      </c>
      <c r="J4" s="325">
        <v>382</v>
      </c>
      <c r="K4" s="325">
        <v>215</v>
      </c>
      <c r="L4" s="325">
        <v>304</v>
      </c>
      <c r="M4" s="326">
        <f t="shared" si="0"/>
        <v>1280</v>
      </c>
    </row>
    <row r="5" spans="1:13" x14ac:dyDescent="0.25">
      <c r="H5" s="9" t="s">
        <v>384</v>
      </c>
      <c r="I5" s="325">
        <v>181</v>
      </c>
      <c r="J5" s="325">
        <v>227</v>
      </c>
      <c r="K5" s="325">
        <v>150</v>
      </c>
      <c r="L5" s="325">
        <v>260</v>
      </c>
      <c r="M5" s="326">
        <f t="shared" si="0"/>
        <v>818</v>
      </c>
    </row>
    <row r="6" spans="1:13" x14ac:dyDescent="0.25">
      <c r="H6" s="9" t="s">
        <v>385</v>
      </c>
      <c r="I6" s="325">
        <v>290</v>
      </c>
      <c r="J6" s="325">
        <v>440</v>
      </c>
      <c r="K6" s="325">
        <v>212</v>
      </c>
      <c r="L6" s="325">
        <v>368</v>
      </c>
      <c r="M6" s="326">
        <f t="shared" si="0"/>
        <v>1310</v>
      </c>
    </row>
    <row r="7" spans="1:13" x14ac:dyDescent="0.25">
      <c r="H7" s="9" t="s">
        <v>785</v>
      </c>
      <c r="I7" s="327">
        <f>SUM(I2:I6)</f>
        <v>1544</v>
      </c>
      <c r="J7" s="327">
        <f>SUM(J2:J6)</f>
        <v>1516</v>
      </c>
      <c r="K7" s="327">
        <f>SUM(K2:K6)</f>
        <v>1146</v>
      </c>
      <c r="L7" s="327">
        <f>SUM(L2:L6)</f>
        <v>1540</v>
      </c>
      <c r="M7" s="328">
        <f t="shared" si="0"/>
        <v>5746</v>
      </c>
    </row>
    <row r="10" spans="1:13" x14ac:dyDescent="0.25">
      <c r="C10" s="27" t="s">
        <v>1243</v>
      </c>
    </row>
    <row r="11" spans="1:13" x14ac:dyDescent="0.25">
      <c r="A11" s="27" t="s">
        <v>1244</v>
      </c>
      <c r="C11">
        <f>SUM(A12:A77)</f>
        <v>44164</v>
      </c>
      <c r="E11" t="s">
        <v>1782</v>
      </c>
    </row>
    <row r="12" spans="1:13" x14ac:dyDescent="0.25">
      <c r="A12">
        <v>563</v>
      </c>
    </row>
    <row r="13" spans="1:13" x14ac:dyDescent="0.25">
      <c r="A13">
        <v>719</v>
      </c>
    </row>
    <row r="14" spans="1:13" x14ac:dyDescent="0.25">
      <c r="A14">
        <v>477</v>
      </c>
    </row>
    <row r="15" spans="1:13" x14ac:dyDescent="0.25">
      <c r="A15">
        <v>601</v>
      </c>
    </row>
    <row r="16" spans="1:13" x14ac:dyDescent="0.25">
      <c r="A16">
        <v>773</v>
      </c>
    </row>
    <row r="17" spans="1:1" x14ac:dyDescent="0.25">
      <c r="A17">
        <v>926</v>
      </c>
    </row>
    <row r="18" spans="1:1" x14ac:dyDescent="0.25">
      <c r="A18">
        <v>373</v>
      </c>
    </row>
    <row r="19" spans="1:1" x14ac:dyDescent="0.25">
      <c r="A19">
        <v>537</v>
      </c>
    </row>
    <row r="20" spans="1:1" x14ac:dyDescent="0.25">
      <c r="A20">
        <v>387</v>
      </c>
    </row>
    <row r="21" spans="1:1" x14ac:dyDescent="0.25">
      <c r="A21">
        <v>657</v>
      </c>
    </row>
    <row r="22" spans="1:1" x14ac:dyDescent="0.25">
      <c r="A22">
        <v>811</v>
      </c>
    </row>
    <row r="23" spans="1:1" x14ac:dyDescent="0.25">
      <c r="A23">
        <v>704</v>
      </c>
    </row>
    <row r="24" spans="1:1" x14ac:dyDescent="0.25">
      <c r="A24">
        <v>353</v>
      </c>
    </row>
    <row r="25" spans="1:1" x14ac:dyDescent="0.25">
      <c r="A25">
        <v>875</v>
      </c>
    </row>
    <row r="26" spans="1:1" x14ac:dyDescent="0.25">
      <c r="A26">
        <v>866</v>
      </c>
    </row>
    <row r="27" spans="1:1" x14ac:dyDescent="0.25">
      <c r="A27">
        <v>989</v>
      </c>
    </row>
    <row r="28" spans="1:1" x14ac:dyDescent="0.25">
      <c r="A28">
        <v>907</v>
      </c>
    </row>
    <row r="29" spans="1:1" x14ac:dyDescent="0.25">
      <c r="A29">
        <v>771</v>
      </c>
    </row>
    <row r="30" spans="1:1" x14ac:dyDescent="0.25">
      <c r="A30">
        <v>581</v>
      </c>
    </row>
    <row r="31" spans="1:1" x14ac:dyDescent="0.25">
      <c r="A31">
        <v>308</v>
      </c>
    </row>
    <row r="32" spans="1:1" x14ac:dyDescent="0.25">
      <c r="A32">
        <v>370</v>
      </c>
    </row>
    <row r="33" spans="1:1" x14ac:dyDescent="0.25">
      <c r="A33">
        <v>950</v>
      </c>
    </row>
    <row r="34" spans="1:1" x14ac:dyDescent="0.25">
      <c r="A34">
        <v>715</v>
      </c>
    </row>
    <row r="35" spans="1:1" x14ac:dyDescent="0.25">
      <c r="A35">
        <v>847</v>
      </c>
    </row>
    <row r="36" spans="1:1" x14ac:dyDescent="0.25">
      <c r="A36">
        <v>930</v>
      </c>
    </row>
    <row r="37" spans="1:1" x14ac:dyDescent="0.25">
      <c r="A37">
        <v>755</v>
      </c>
    </row>
    <row r="38" spans="1:1" x14ac:dyDescent="0.25">
      <c r="A38">
        <v>861</v>
      </c>
    </row>
    <row r="39" spans="1:1" x14ac:dyDescent="0.25">
      <c r="A39">
        <v>477</v>
      </c>
    </row>
    <row r="40" spans="1:1" x14ac:dyDescent="0.25">
      <c r="A40">
        <v>707</v>
      </c>
    </row>
    <row r="41" spans="1:1" x14ac:dyDescent="0.25">
      <c r="A41">
        <v>504</v>
      </c>
    </row>
    <row r="42" spans="1:1" x14ac:dyDescent="0.25">
      <c r="A42">
        <v>670</v>
      </c>
    </row>
    <row r="43" spans="1:1" x14ac:dyDescent="0.25">
      <c r="A43">
        <v>540</v>
      </c>
    </row>
    <row r="44" spans="1:1" x14ac:dyDescent="0.25">
      <c r="A44">
        <v>735</v>
      </c>
    </row>
    <row r="45" spans="1:1" x14ac:dyDescent="0.25">
      <c r="A45">
        <v>413</v>
      </c>
    </row>
    <row r="46" spans="1:1" x14ac:dyDescent="0.25">
      <c r="A46">
        <v>925</v>
      </c>
    </row>
    <row r="47" spans="1:1" x14ac:dyDescent="0.25">
      <c r="A47">
        <v>650</v>
      </c>
    </row>
    <row r="48" spans="1:1" x14ac:dyDescent="0.25">
      <c r="A48">
        <v>725</v>
      </c>
    </row>
    <row r="49" spans="1:1" x14ac:dyDescent="0.25">
      <c r="A49">
        <v>569</v>
      </c>
    </row>
    <row r="50" spans="1:1" x14ac:dyDescent="0.25">
      <c r="A50">
        <v>413</v>
      </c>
    </row>
    <row r="51" spans="1:1" x14ac:dyDescent="0.25">
      <c r="A51">
        <v>441</v>
      </c>
    </row>
    <row r="52" spans="1:1" x14ac:dyDescent="0.25">
      <c r="A52">
        <v>686</v>
      </c>
    </row>
    <row r="53" spans="1:1" x14ac:dyDescent="0.25">
      <c r="A53">
        <v>519</v>
      </c>
    </row>
    <row r="54" spans="1:1" x14ac:dyDescent="0.25">
      <c r="A54">
        <v>429</v>
      </c>
    </row>
    <row r="55" spans="1:1" x14ac:dyDescent="0.25">
      <c r="A55">
        <v>750</v>
      </c>
    </row>
    <row r="56" spans="1:1" x14ac:dyDescent="0.25">
      <c r="A56">
        <v>581</v>
      </c>
    </row>
    <row r="57" spans="1:1" x14ac:dyDescent="0.25">
      <c r="A57">
        <v>696</v>
      </c>
    </row>
    <row r="58" spans="1:1" x14ac:dyDescent="0.25">
      <c r="A58">
        <v>476</v>
      </c>
    </row>
    <row r="59" spans="1:1" x14ac:dyDescent="0.25">
      <c r="A59">
        <v>450</v>
      </c>
    </row>
    <row r="60" spans="1:1" x14ac:dyDescent="0.25">
      <c r="A60">
        <v>794</v>
      </c>
    </row>
    <row r="61" spans="1:1" x14ac:dyDescent="0.25">
      <c r="A61">
        <v>932</v>
      </c>
    </row>
    <row r="62" spans="1:1" x14ac:dyDescent="0.25">
      <c r="A62">
        <v>927</v>
      </c>
    </row>
    <row r="63" spans="1:1" x14ac:dyDescent="0.25">
      <c r="A63">
        <v>446</v>
      </c>
    </row>
    <row r="64" spans="1:1" x14ac:dyDescent="0.25">
      <c r="A64">
        <v>568</v>
      </c>
    </row>
    <row r="65" spans="1:1" x14ac:dyDescent="0.25">
      <c r="A65">
        <v>861</v>
      </c>
    </row>
    <row r="66" spans="1:1" x14ac:dyDescent="0.25">
      <c r="A66">
        <v>477</v>
      </c>
    </row>
    <row r="67" spans="1:1" x14ac:dyDescent="0.25">
      <c r="A67">
        <v>605</v>
      </c>
    </row>
    <row r="68" spans="1:1" x14ac:dyDescent="0.25">
      <c r="A68">
        <v>499</v>
      </c>
    </row>
    <row r="69" spans="1:1" x14ac:dyDescent="0.25">
      <c r="A69">
        <v>395</v>
      </c>
    </row>
    <row r="70" spans="1:1" x14ac:dyDescent="0.25">
      <c r="A70">
        <v>860</v>
      </c>
    </row>
    <row r="71" spans="1:1" x14ac:dyDescent="0.25">
      <c r="A71">
        <v>872</v>
      </c>
    </row>
    <row r="72" spans="1:1" x14ac:dyDescent="0.25">
      <c r="A72">
        <v>967</v>
      </c>
    </row>
    <row r="73" spans="1:1" x14ac:dyDescent="0.25">
      <c r="A73">
        <v>860</v>
      </c>
    </row>
    <row r="74" spans="1:1" x14ac:dyDescent="0.25">
      <c r="A74">
        <v>321</v>
      </c>
    </row>
    <row r="75" spans="1:1" x14ac:dyDescent="0.25">
      <c r="A75">
        <v>925</v>
      </c>
    </row>
    <row r="76" spans="1:1" x14ac:dyDescent="0.25">
      <c r="A76">
        <v>914</v>
      </c>
    </row>
    <row r="77" spans="1:1" x14ac:dyDescent="0.25">
      <c r="A77">
        <v>979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sheetPr>
  <dimension ref="A1:H9"/>
  <sheetViews>
    <sheetView workbookViewId="0">
      <selection activeCell="E4" sqref="E4"/>
    </sheetView>
  </sheetViews>
  <sheetFormatPr defaultColWidth="9.140625" defaultRowHeight="15" x14ac:dyDescent="0.25"/>
  <cols>
    <col min="1" max="1" width="12.7109375" bestFit="1" customWidth="1"/>
    <col min="2" max="5" width="10.7109375" bestFit="1" customWidth="1"/>
    <col min="6" max="6" width="9.85546875" bestFit="1" customWidth="1"/>
    <col min="8" max="8" width="12.7109375" bestFit="1" customWidth="1"/>
    <col min="9" max="12" width="10.7109375" bestFit="1" customWidth="1"/>
    <col min="13" max="13" width="9.85546875" bestFit="1" customWidth="1"/>
  </cols>
  <sheetData>
    <row r="1" spans="1:8" x14ac:dyDescent="0.25">
      <c r="A1" s="27" t="s">
        <v>37</v>
      </c>
      <c r="E1" s="27" t="s">
        <v>66</v>
      </c>
      <c r="F1" s="27" t="s">
        <v>67</v>
      </c>
      <c r="G1" s="27" t="s">
        <v>68</v>
      </c>
      <c r="H1" s="27" t="s">
        <v>69</v>
      </c>
    </row>
    <row r="2" spans="1:8" x14ac:dyDescent="0.25">
      <c r="A2">
        <v>10</v>
      </c>
      <c r="D2" s="27" t="s">
        <v>122</v>
      </c>
      <c r="E2" s="329">
        <v>10000</v>
      </c>
      <c r="F2" s="329">
        <v>20000</v>
      </c>
      <c r="G2" s="329">
        <v>18500</v>
      </c>
      <c r="H2" s="329">
        <v>21550</v>
      </c>
    </row>
    <row r="3" spans="1:8" x14ac:dyDescent="0.25">
      <c r="A3">
        <v>22</v>
      </c>
      <c r="D3" s="27" t="s">
        <v>103</v>
      </c>
      <c r="E3" s="330">
        <v>6600</v>
      </c>
      <c r="F3" s="330">
        <v>13800</v>
      </c>
      <c r="G3" s="330">
        <v>12025</v>
      </c>
      <c r="H3" s="330">
        <v>15947</v>
      </c>
    </row>
    <row r="4" spans="1:8" x14ac:dyDescent="0.25">
      <c r="A4">
        <v>50</v>
      </c>
      <c r="D4" s="27" t="s">
        <v>104</v>
      </c>
      <c r="E4" s="439">
        <f>E2-E3</f>
        <v>3400</v>
      </c>
      <c r="F4" s="439">
        <f>F2-F3</f>
        <v>6200</v>
      </c>
      <c r="G4" s="439">
        <f>G2-G3</f>
        <v>6475</v>
      </c>
      <c r="H4" s="439">
        <f>H2-H3</f>
        <v>5603</v>
      </c>
    </row>
    <row r="5" spans="1:8" x14ac:dyDescent="0.25">
      <c r="A5">
        <v>35</v>
      </c>
    </row>
    <row r="6" spans="1:8" x14ac:dyDescent="0.25">
      <c r="A6">
        <v>14</v>
      </c>
    </row>
    <row r="7" spans="1:8" x14ac:dyDescent="0.25">
      <c r="A7">
        <v>52</v>
      </c>
    </row>
    <row r="8" spans="1:8" ht="15.75" thickBot="1" x14ac:dyDescent="0.3">
      <c r="A8" s="125">
        <f>SUM(A2:A7)</f>
        <v>183</v>
      </c>
      <c r="H8" s="331"/>
    </row>
    <row r="9" spans="1:8" ht="15.75" thickTop="1" x14ac:dyDescent="0.25"/>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1">
    <tabColor rgb="FF0000FF"/>
  </sheetPr>
  <dimension ref="A1:C34"/>
  <sheetViews>
    <sheetView showGridLines="0" workbookViewId="0"/>
  </sheetViews>
  <sheetFormatPr defaultColWidth="9.140625" defaultRowHeight="15" x14ac:dyDescent="0.25"/>
  <cols>
    <col min="1" max="1" width="54" bestFit="1" customWidth="1"/>
    <col min="2" max="2" width="2.42578125" bestFit="1" customWidth="1"/>
    <col min="3" max="3" width="23.42578125" bestFit="1" customWidth="1"/>
    <col min="4" max="5" width="10.7109375" bestFit="1" customWidth="1"/>
    <col min="6" max="6" width="9.85546875" bestFit="1" customWidth="1"/>
    <col min="8" max="8" width="12.7109375" bestFit="1" customWidth="1"/>
    <col min="9" max="12" width="10.7109375" bestFit="1" customWidth="1"/>
    <col min="13" max="13" width="9.85546875" bestFit="1" customWidth="1"/>
  </cols>
  <sheetData>
    <row r="1" spans="1:3" x14ac:dyDescent="0.25">
      <c r="A1" s="339" t="s">
        <v>1257</v>
      </c>
      <c r="B1" s="339" t="s">
        <v>1258</v>
      </c>
      <c r="C1" s="340" t="s">
        <v>1259</v>
      </c>
    </row>
    <row r="2" spans="1:3" x14ac:dyDescent="0.25">
      <c r="A2" s="339" t="s">
        <v>1260</v>
      </c>
      <c r="B2" s="339" t="s">
        <v>1258</v>
      </c>
      <c r="C2" s="340" t="s">
        <v>1261</v>
      </c>
    </row>
    <row r="3" spans="1:3" x14ac:dyDescent="0.25">
      <c r="A3" s="339" t="s">
        <v>1262</v>
      </c>
      <c r="B3" s="339" t="s">
        <v>1258</v>
      </c>
      <c r="C3" s="340" t="s">
        <v>1263</v>
      </c>
    </row>
    <row r="4" spans="1:3" x14ac:dyDescent="0.25">
      <c r="A4" s="339" t="s">
        <v>1264</v>
      </c>
      <c r="B4" s="339" t="s">
        <v>1258</v>
      </c>
      <c r="C4" s="340" t="s">
        <v>1265</v>
      </c>
    </row>
    <row r="5" spans="1:3" x14ac:dyDescent="0.25">
      <c r="A5" s="339" t="s">
        <v>1266</v>
      </c>
      <c r="B5" s="339" t="s">
        <v>1258</v>
      </c>
      <c r="C5" s="340" t="s">
        <v>1267</v>
      </c>
    </row>
    <row r="6" spans="1:3" x14ac:dyDescent="0.25">
      <c r="A6" s="339" t="s">
        <v>1268</v>
      </c>
      <c r="B6" s="339" t="s">
        <v>1258</v>
      </c>
      <c r="C6" s="340" t="s">
        <v>1269</v>
      </c>
    </row>
    <row r="7" spans="1:3" x14ac:dyDescent="0.25">
      <c r="A7" s="339" t="s">
        <v>1270</v>
      </c>
      <c r="B7" s="339" t="s">
        <v>1258</v>
      </c>
      <c r="C7" s="340" t="s">
        <v>1271</v>
      </c>
    </row>
    <row r="8" spans="1:3" x14ac:dyDescent="0.25">
      <c r="A8" s="339" t="s">
        <v>1272</v>
      </c>
      <c r="B8" s="339" t="s">
        <v>1258</v>
      </c>
      <c r="C8" s="340" t="s">
        <v>1273</v>
      </c>
    </row>
    <row r="9" spans="1:3" x14ac:dyDescent="0.25">
      <c r="A9" s="339" t="s">
        <v>1274</v>
      </c>
      <c r="B9" s="339" t="s">
        <v>1258</v>
      </c>
      <c r="C9" s="340" t="s">
        <v>1275</v>
      </c>
    </row>
    <row r="10" spans="1:3" x14ac:dyDescent="0.25">
      <c r="A10" s="339" t="s">
        <v>1289</v>
      </c>
      <c r="B10" s="339" t="s">
        <v>1258</v>
      </c>
      <c r="C10" s="340" t="s">
        <v>1290</v>
      </c>
    </row>
    <row r="11" spans="1:3" x14ac:dyDescent="0.25">
      <c r="A11" s="339" t="s">
        <v>1276</v>
      </c>
      <c r="B11" s="339" t="s">
        <v>1258</v>
      </c>
      <c r="C11" s="340" t="s">
        <v>1277</v>
      </c>
    </row>
    <row r="12" spans="1:3" x14ac:dyDescent="0.25">
      <c r="A12" s="339" t="s">
        <v>1278</v>
      </c>
      <c r="B12" s="339" t="s">
        <v>1258</v>
      </c>
      <c r="C12" s="340" t="s">
        <v>1279</v>
      </c>
    </row>
    <row r="13" spans="1:3" x14ac:dyDescent="0.25">
      <c r="A13" s="339" t="s">
        <v>1280</v>
      </c>
      <c r="B13" s="339" t="s">
        <v>1258</v>
      </c>
      <c r="C13" s="340" t="s">
        <v>1281</v>
      </c>
    </row>
    <row r="15" spans="1:3" x14ac:dyDescent="0.25">
      <c r="A15" s="339" t="s">
        <v>1270</v>
      </c>
      <c r="B15" s="339" t="s">
        <v>1258</v>
      </c>
      <c r="C15" s="340" t="s">
        <v>1285</v>
      </c>
    </row>
    <row r="16" spans="1:3" x14ac:dyDescent="0.25">
      <c r="A16" s="339" t="s">
        <v>1257</v>
      </c>
      <c r="B16" s="339" t="s">
        <v>1258</v>
      </c>
      <c r="C16" s="340" t="s">
        <v>1282</v>
      </c>
    </row>
    <row r="17" spans="1:3" x14ac:dyDescent="0.25">
      <c r="A17" s="339" t="s">
        <v>1268</v>
      </c>
      <c r="B17" s="339" t="s">
        <v>1258</v>
      </c>
      <c r="C17" s="340" t="s">
        <v>1283</v>
      </c>
    </row>
    <row r="18" spans="1:3" x14ac:dyDescent="0.25">
      <c r="A18" s="339" t="s">
        <v>1286</v>
      </c>
      <c r="B18" s="339" t="s">
        <v>1258</v>
      </c>
      <c r="C18" s="340" t="s">
        <v>1287</v>
      </c>
    </row>
    <row r="19" spans="1:3" x14ac:dyDescent="0.25">
      <c r="A19" s="339" t="s">
        <v>1276</v>
      </c>
      <c r="B19" s="339" t="s">
        <v>1258</v>
      </c>
      <c r="C19" s="340" t="s">
        <v>1284</v>
      </c>
    </row>
    <row r="21" spans="1:3" x14ac:dyDescent="0.25">
      <c r="A21" s="343" t="s">
        <v>1301</v>
      </c>
      <c r="B21" s="344"/>
      <c r="C21" s="345"/>
    </row>
    <row r="22" spans="1:3" x14ac:dyDescent="0.25">
      <c r="A22" s="339" t="s">
        <v>1306</v>
      </c>
      <c r="B22" s="339" t="s">
        <v>1258</v>
      </c>
      <c r="C22" s="340" t="s">
        <v>1292</v>
      </c>
    </row>
    <row r="23" spans="1:3" x14ac:dyDescent="0.25">
      <c r="A23" s="339" t="s">
        <v>1307</v>
      </c>
      <c r="B23" s="339" t="s">
        <v>1258</v>
      </c>
      <c r="C23" s="340" t="s">
        <v>1294</v>
      </c>
    </row>
    <row r="24" spans="1:3" x14ac:dyDescent="0.25">
      <c r="A24" s="339" t="s">
        <v>1310</v>
      </c>
      <c r="B24" s="339" t="s">
        <v>1258</v>
      </c>
      <c r="C24" s="340" t="s">
        <v>1296</v>
      </c>
    </row>
    <row r="25" spans="1:3" x14ac:dyDescent="0.25">
      <c r="A25" s="339" t="s">
        <v>1311</v>
      </c>
      <c r="B25" s="339" t="s">
        <v>1258</v>
      </c>
      <c r="C25" s="340" t="s">
        <v>1297</v>
      </c>
    </row>
    <row r="26" spans="1:3" x14ac:dyDescent="0.25">
      <c r="A26" s="339" t="s">
        <v>1308</v>
      </c>
      <c r="B26" s="339" t="s">
        <v>1258</v>
      </c>
      <c r="C26" s="340" t="s">
        <v>1299</v>
      </c>
    </row>
    <row r="27" spans="1:3" x14ac:dyDescent="0.25">
      <c r="A27" s="339" t="s">
        <v>1309</v>
      </c>
      <c r="B27" s="339" t="s">
        <v>1258</v>
      </c>
      <c r="C27" s="340" t="s">
        <v>1300</v>
      </c>
    </row>
    <row r="29" spans="1:3" x14ac:dyDescent="0.25">
      <c r="A29" s="343" t="s">
        <v>1312</v>
      </c>
      <c r="B29" s="344"/>
      <c r="C29" s="345"/>
    </row>
    <row r="30" spans="1:3" x14ac:dyDescent="0.25">
      <c r="A30" s="339" t="s">
        <v>1291</v>
      </c>
      <c r="B30" s="339" t="s">
        <v>1258</v>
      </c>
      <c r="C30" s="340" t="s">
        <v>1302</v>
      </c>
    </row>
    <row r="31" spans="1:3" x14ac:dyDescent="0.25">
      <c r="A31" s="339" t="s">
        <v>1293</v>
      </c>
      <c r="B31" s="339" t="s">
        <v>1258</v>
      </c>
      <c r="C31" s="340" t="s">
        <v>1303</v>
      </c>
    </row>
    <row r="32" spans="1:3" x14ac:dyDescent="0.25">
      <c r="A32" s="339" t="s">
        <v>1295</v>
      </c>
      <c r="B32" s="339" t="s">
        <v>1258</v>
      </c>
      <c r="C32" s="340" t="s">
        <v>1304</v>
      </c>
    </row>
    <row r="33" spans="1:3" x14ac:dyDescent="0.25">
      <c r="A33" s="339" t="s">
        <v>1298</v>
      </c>
      <c r="B33" s="339" t="s">
        <v>1258</v>
      </c>
      <c r="C33" s="340" t="s">
        <v>1305</v>
      </c>
    </row>
    <row r="34" spans="1:3" x14ac:dyDescent="0.25">
      <c r="A34" s="339" t="s">
        <v>1313</v>
      </c>
      <c r="B34" s="339" t="s">
        <v>1258</v>
      </c>
      <c r="C34" s="340" t="s">
        <v>1314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00FF"/>
  </sheetPr>
  <dimension ref="A1:E10"/>
  <sheetViews>
    <sheetView zoomScale="130" zoomScaleNormal="130" workbookViewId="0">
      <selection activeCell="C9" sqref="B9:C10"/>
    </sheetView>
  </sheetViews>
  <sheetFormatPr defaultRowHeight="15" x14ac:dyDescent="0.25"/>
  <cols>
    <col min="1" max="1" width="11.85546875" bestFit="1" customWidth="1"/>
    <col min="3" max="3" width="9.5703125" bestFit="1" customWidth="1"/>
    <col min="5" max="5" width="34" customWidth="1"/>
  </cols>
  <sheetData>
    <row r="1" spans="1:5" x14ac:dyDescent="0.25">
      <c r="A1" s="5" t="s">
        <v>0</v>
      </c>
      <c r="B1" s="5" t="s">
        <v>1</v>
      </c>
      <c r="C1" s="6" t="s">
        <v>2</v>
      </c>
    </row>
    <row r="2" spans="1:5" x14ac:dyDescent="0.25">
      <c r="A2" s="7">
        <v>40399</v>
      </c>
      <c r="B2" s="8" t="s">
        <v>3</v>
      </c>
      <c r="C2" s="9">
        <v>10</v>
      </c>
    </row>
    <row r="3" spans="1:5" x14ac:dyDescent="0.25">
      <c r="A3" s="7">
        <v>40399</v>
      </c>
      <c r="B3" s="8" t="s">
        <v>4</v>
      </c>
      <c r="C3" s="8">
        <v>9</v>
      </c>
    </row>
    <row r="4" spans="1:5" x14ac:dyDescent="0.25">
      <c r="A4" s="7">
        <v>40400</v>
      </c>
      <c r="B4" s="8" t="s">
        <v>3</v>
      </c>
      <c r="C4" s="8">
        <v>4</v>
      </c>
    </row>
    <row r="5" spans="1:5" x14ac:dyDescent="0.25">
      <c r="A5" s="7">
        <v>40400</v>
      </c>
      <c r="B5" s="8" t="s">
        <v>4</v>
      </c>
      <c r="C5" s="8">
        <v>8</v>
      </c>
    </row>
    <row r="6" spans="1:5" x14ac:dyDescent="0.25">
      <c r="A6" s="7">
        <v>40401</v>
      </c>
      <c r="B6" s="8" t="s">
        <v>3</v>
      </c>
      <c r="C6" s="8">
        <v>1</v>
      </c>
    </row>
    <row r="7" spans="1:5" x14ac:dyDescent="0.25">
      <c r="A7" s="7">
        <v>40401</v>
      </c>
      <c r="B7" s="8" t="s">
        <v>4</v>
      </c>
      <c r="C7" s="8">
        <v>3</v>
      </c>
    </row>
    <row r="9" spans="1:5" x14ac:dyDescent="0.25">
      <c r="A9" s="5" t="s">
        <v>5</v>
      </c>
      <c r="B9" s="5" t="s">
        <v>1</v>
      </c>
      <c r="C9" s="6" t="s">
        <v>2</v>
      </c>
    </row>
    <row r="10" spans="1:5" x14ac:dyDescent="0.25">
      <c r="A10" s="8" t="s">
        <v>6</v>
      </c>
      <c r="B10" s="8" t="s">
        <v>3</v>
      </c>
      <c r="C10" s="10">
        <f>SUMIFS(C2:C7,B2:B7,B10)</f>
        <v>15</v>
      </c>
      <c r="E10" t="s">
        <v>1783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9B62B-3375-4798-ADE5-73F4F6A282D2}">
  <sheetPr>
    <tabColor rgb="FF0000FF"/>
  </sheetPr>
  <dimension ref="A3:B7"/>
  <sheetViews>
    <sheetView workbookViewId="0">
      <selection activeCell="A3" sqref="A3"/>
    </sheetView>
  </sheetViews>
  <sheetFormatPr defaultRowHeight="15" x14ac:dyDescent="0.25"/>
  <cols>
    <col min="1" max="1" width="13.140625" bestFit="1" customWidth="1"/>
    <col min="2" max="2" width="16.28515625" bestFit="1" customWidth="1"/>
  </cols>
  <sheetData>
    <row r="3" spans="1:2" x14ac:dyDescent="0.25">
      <c r="A3" s="310" t="s">
        <v>1047</v>
      </c>
      <c r="B3" t="s">
        <v>1784</v>
      </c>
    </row>
    <row r="4" spans="1:2" x14ac:dyDescent="0.25">
      <c r="A4" s="227" t="s">
        <v>7</v>
      </c>
      <c r="B4" s="30">
        <v>24</v>
      </c>
    </row>
    <row r="5" spans="1:2" x14ac:dyDescent="0.25">
      <c r="A5" s="227" t="s">
        <v>3</v>
      </c>
      <c r="B5" s="30">
        <v>25</v>
      </c>
    </row>
    <row r="6" spans="1:2" x14ac:dyDescent="0.25">
      <c r="A6" s="227" t="s">
        <v>4</v>
      </c>
      <c r="B6" s="30">
        <v>31</v>
      </c>
    </row>
    <row r="7" spans="1:2" x14ac:dyDescent="0.25">
      <c r="A7" s="227" t="s">
        <v>1014</v>
      </c>
      <c r="B7" s="30">
        <v>80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0000FF"/>
  </sheetPr>
  <dimension ref="A1:I19"/>
  <sheetViews>
    <sheetView workbookViewId="0">
      <selection sqref="A1:C14"/>
    </sheetView>
  </sheetViews>
  <sheetFormatPr defaultRowHeight="15" x14ac:dyDescent="0.25"/>
  <cols>
    <col min="1" max="1" width="9.7109375" bestFit="1" customWidth="1"/>
    <col min="3" max="3" width="10.5703125" customWidth="1"/>
    <col min="6" max="6" width="11.28515625" bestFit="1" customWidth="1"/>
    <col min="7" max="7" width="16.28515625" bestFit="1" customWidth="1"/>
  </cols>
  <sheetData>
    <row r="1" spans="1:9" x14ac:dyDescent="0.25">
      <c r="A1" s="5" t="s">
        <v>0</v>
      </c>
      <c r="B1" s="5" t="s">
        <v>1</v>
      </c>
      <c r="C1" s="6" t="s">
        <v>2</v>
      </c>
      <c r="F1" s="310" t="s">
        <v>1</v>
      </c>
      <c r="G1" t="s">
        <v>1784</v>
      </c>
    </row>
    <row r="2" spans="1:9" x14ac:dyDescent="0.25">
      <c r="A2" s="7">
        <v>40399</v>
      </c>
      <c r="B2" s="8" t="s">
        <v>3</v>
      </c>
      <c r="C2" s="11">
        <v>10</v>
      </c>
      <c r="F2" t="s">
        <v>7</v>
      </c>
      <c r="G2" s="30">
        <v>24</v>
      </c>
    </row>
    <row r="3" spans="1:9" x14ac:dyDescent="0.25">
      <c r="A3" s="7">
        <v>40399</v>
      </c>
      <c r="B3" s="8" t="s">
        <v>4</v>
      </c>
      <c r="C3" s="8">
        <v>9</v>
      </c>
      <c r="F3" t="s">
        <v>3</v>
      </c>
      <c r="G3" s="30">
        <v>25</v>
      </c>
      <c r="I3" t="s">
        <v>1786</v>
      </c>
    </row>
    <row r="4" spans="1:9" x14ac:dyDescent="0.25">
      <c r="A4" s="7">
        <v>40400</v>
      </c>
      <c r="B4" s="8" t="s">
        <v>3</v>
      </c>
      <c r="C4" s="8">
        <v>4</v>
      </c>
      <c r="F4" t="s">
        <v>4</v>
      </c>
      <c r="G4" s="30">
        <v>31</v>
      </c>
    </row>
    <row r="5" spans="1:9" x14ac:dyDescent="0.25">
      <c r="A5" s="7">
        <v>40400</v>
      </c>
      <c r="B5" s="8" t="s">
        <v>4</v>
      </c>
      <c r="C5" s="8">
        <v>8</v>
      </c>
      <c r="F5" t="s">
        <v>1014</v>
      </c>
      <c r="G5" s="30">
        <v>80</v>
      </c>
    </row>
    <row r="6" spans="1:9" x14ac:dyDescent="0.25">
      <c r="A6" s="7">
        <v>40401</v>
      </c>
      <c r="B6" s="8" t="s">
        <v>3</v>
      </c>
      <c r="C6" s="8">
        <v>1</v>
      </c>
    </row>
    <row r="7" spans="1:9" x14ac:dyDescent="0.25">
      <c r="A7" s="7">
        <v>40401</v>
      </c>
      <c r="B7" s="8" t="s">
        <v>4</v>
      </c>
      <c r="C7" s="8">
        <v>3</v>
      </c>
    </row>
    <row r="8" spans="1:9" x14ac:dyDescent="0.25">
      <c r="A8" s="7">
        <v>40402</v>
      </c>
      <c r="B8" s="11" t="s">
        <v>7</v>
      </c>
      <c r="C8" s="11">
        <v>4</v>
      </c>
    </row>
    <row r="9" spans="1:9" x14ac:dyDescent="0.25">
      <c r="A9" s="7">
        <v>40402</v>
      </c>
      <c r="B9" s="8" t="s">
        <v>3</v>
      </c>
      <c r="C9" s="11">
        <v>5</v>
      </c>
    </row>
    <row r="10" spans="1:9" x14ac:dyDescent="0.25">
      <c r="A10" s="7">
        <v>40402</v>
      </c>
      <c r="B10" s="8" t="s">
        <v>4</v>
      </c>
      <c r="C10" s="11">
        <v>3</v>
      </c>
    </row>
    <row r="11" spans="1:9" x14ac:dyDescent="0.25">
      <c r="A11" s="7">
        <v>40403</v>
      </c>
      <c r="B11" s="11" t="s">
        <v>7</v>
      </c>
      <c r="C11" s="11">
        <v>6</v>
      </c>
    </row>
    <row r="12" spans="1:9" x14ac:dyDescent="0.25">
      <c r="A12" s="7">
        <v>40403</v>
      </c>
      <c r="B12" s="8" t="s">
        <v>3</v>
      </c>
      <c r="C12" s="11">
        <v>5</v>
      </c>
    </row>
    <row r="13" spans="1:9" x14ac:dyDescent="0.25">
      <c r="A13" s="7">
        <v>40403</v>
      </c>
      <c r="B13" s="8" t="s">
        <v>4</v>
      </c>
      <c r="C13" s="11">
        <v>8</v>
      </c>
    </row>
    <row r="14" spans="1:9" x14ac:dyDescent="0.25">
      <c r="A14" s="7">
        <v>40404</v>
      </c>
      <c r="B14" s="11" t="s">
        <v>7</v>
      </c>
      <c r="C14" s="11">
        <v>14</v>
      </c>
    </row>
    <row r="19" spans="4:4" x14ac:dyDescent="0.25">
      <c r="D19" t="s">
        <v>1787</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00FF"/>
  </sheetPr>
  <dimension ref="A1:J23"/>
  <sheetViews>
    <sheetView topLeftCell="A13" workbookViewId="0">
      <selection activeCell="E6" sqref="E6"/>
    </sheetView>
  </sheetViews>
  <sheetFormatPr defaultRowHeight="15" x14ac:dyDescent="0.25"/>
  <cols>
    <col min="1" max="1" width="8.5703125" bestFit="1" customWidth="1"/>
    <col min="2" max="2" width="11.140625" customWidth="1"/>
    <col min="3" max="3" width="13.85546875" customWidth="1"/>
    <col min="4" max="4" width="11.7109375" customWidth="1"/>
    <col min="5" max="5" width="12.5703125" customWidth="1"/>
    <col min="6" max="6" width="2.140625" customWidth="1"/>
  </cols>
  <sheetData>
    <row r="1" spans="1:10" ht="30" x14ac:dyDescent="0.25">
      <c r="A1" s="442" t="s">
        <v>0</v>
      </c>
      <c r="B1" s="443" t="s">
        <v>1</v>
      </c>
      <c r="C1" s="443" t="s">
        <v>8</v>
      </c>
      <c r="D1" s="443" t="s">
        <v>2</v>
      </c>
      <c r="E1" s="444" t="s">
        <v>9</v>
      </c>
      <c r="G1" s="14" t="s">
        <v>1354</v>
      </c>
      <c r="H1" s="8" t="s">
        <v>4</v>
      </c>
      <c r="I1" s="14" t="s">
        <v>37</v>
      </c>
      <c r="J1" s="10">
        <f>SUMIFS(BoomSales[Total Sales],BoomSales[SalesRep],H1)</f>
        <v>2641.48</v>
      </c>
    </row>
    <row r="2" spans="1:10" x14ac:dyDescent="0.25">
      <c r="A2" s="440">
        <v>40186</v>
      </c>
      <c r="B2" s="8" t="s">
        <v>4</v>
      </c>
      <c r="C2" s="8" t="s">
        <v>14</v>
      </c>
      <c r="D2" s="8">
        <v>27</v>
      </c>
      <c r="E2" s="446">
        <v>1179.6299999999999</v>
      </c>
      <c r="G2" s="14" t="s">
        <v>1354</v>
      </c>
      <c r="H2" s="8" t="s">
        <v>10</v>
      </c>
      <c r="I2" s="14" t="s">
        <v>37</v>
      </c>
      <c r="J2" s="10">
        <f>SUMIFS(BoomSales[Total Sales],BoomSales[SalesRep],H2)</f>
        <v>1080.7</v>
      </c>
    </row>
    <row r="3" spans="1:10" x14ac:dyDescent="0.25">
      <c r="A3" s="441">
        <v>40181</v>
      </c>
      <c r="B3" s="9" t="s">
        <v>13</v>
      </c>
      <c r="C3" s="9" t="s">
        <v>14</v>
      </c>
      <c r="D3" s="9">
        <v>20</v>
      </c>
      <c r="E3" s="447">
        <v>873.8</v>
      </c>
      <c r="G3" s="14" t="s">
        <v>1354</v>
      </c>
      <c r="H3" s="8" t="s">
        <v>7</v>
      </c>
      <c r="I3" s="14" t="s">
        <v>37</v>
      </c>
      <c r="J3" s="10">
        <f>SUMIFS(BoomSales[Total Sales],BoomSales[SalesRep],H3)</f>
        <v>302</v>
      </c>
    </row>
    <row r="4" spans="1:10" x14ac:dyDescent="0.25">
      <c r="A4" s="440">
        <v>40184</v>
      </c>
      <c r="B4" s="8" t="s">
        <v>4</v>
      </c>
      <c r="C4" s="8" t="s">
        <v>18</v>
      </c>
      <c r="D4" s="8">
        <v>23</v>
      </c>
      <c r="E4" s="446">
        <v>757.85</v>
      </c>
    </row>
    <row r="5" spans="1:10" x14ac:dyDescent="0.25">
      <c r="A5" s="440">
        <v>40179</v>
      </c>
      <c r="B5" s="8" t="s">
        <v>10</v>
      </c>
      <c r="C5" s="8" t="s">
        <v>11</v>
      </c>
      <c r="D5" s="8">
        <v>26</v>
      </c>
      <c r="E5" s="446">
        <v>492.7</v>
      </c>
    </row>
    <row r="6" spans="1:10" x14ac:dyDescent="0.25">
      <c r="A6" s="440">
        <v>40184</v>
      </c>
      <c r="B6" s="8" t="s">
        <v>4</v>
      </c>
      <c r="C6" s="8" t="s">
        <v>12</v>
      </c>
      <c r="D6" s="8">
        <v>25</v>
      </c>
      <c r="E6" s="446">
        <v>350</v>
      </c>
    </row>
    <row r="7" spans="1:10" x14ac:dyDescent="0.25">
      <c r="A7" s="440">
        <v>40186</v>
      </c>
      <c r="B7" s="8" t="s">
        <v>3</v>
      </c>
      <c r="C7" s="8" t="s">
        <v>17</v>
      </c>
      <c r="D7" s="8">
        <v>23</v>
      </c>
      <c r="E7" s="446">
        <v>343.84999999999997</v>
      </c>
    </row>
    <row r="8" spans="1:10" x14ac:dyDescent="0.25">
      <c r="A8" s="440">
        <v>40180</v>
      </c>
      <c r="B8" s="8" t="s">
        <v>10</v>
      </c>
      <c r="C8" s="8" t="s">
        <v>12</v>
      </c>
      <c r="D8" s="8">
        <v>24</v>
      </c>
      <c r="E8" s="446">
        <v>336</v>
      </c>
    </row>
    <row r="9" spans="1:10" x14ac:dyDescent="0.25">
      <c r="A9" s="440">
        <v>40183</v>
      </c>
      <c r="B9" s="8" t="s">
        <v>16</v>
      </c>
      <c r="C9" s="8" t="s">
        <v>17</v>
      </c>
      <c r="D9" s="8">
        <v>18</v>
      </c>
      <c r="E9" s="446">
        <v>269.09999999999997</v>
      </c>
      <c r="G9" t="s">
        <v>1788</v>
      </c>
    </row>
    <row r="10" spans="1:10" x14ac:dyDescent="0.25">
      <c r="A10" s="440">
        <v>40185</v>
      </c>
      <c r="B10" s="8" t="s">
        <v>16</v>
      </c>
      <c r="C10" s="8" t="s">
        <v>11</v>
      </c>
      <c r="D10" s="8">
        <v>14</v>
      </c>
      <c r="E10" s="446">
        <v>265.3</v>
      </c>
    </row>
    <row r="11" spans="1:10" x14ac:dyDescent="0.25">
      <c r="A11" s="440">
        <v>40186</v>
      </c>
      <c r="B11" s="8" t="s">
        <v>10</v>
      </c>
      <c r="C11" s="8" t="s">
        <v>20</v>
      </c>
      <c r="D11" s="8">
        <v>14</v>
      </c>
      <c r="E11" s="446">
        <v>252</v>
      </c>
    </row>
    <row r="12" spans="1:10" x14ac:dyDescent="0.25">
      <c r="A12" s="440">
        <v>40185</v>
      </c>
      <c r="B12" s="8" t="s">
        <v>4</v>
      </c>
      <c r="C12" s="8" t="s">
        <v>20</v>
      </c>
      <c r="D12" s="8">
        <v>13</v>
      </c>
      <c r="E12" s="446">
        <v>234</v>
      </c>
    </row>
    <row r="13" spans="1:10" x14ac:dyDescent="0.25">
      <c r="A13" s="440">
        <v>40184</v>
      </c>
      <c r="B13" s="8" t="s">
        <v>7</v>
      </c>
      <c r="C13" s="8" t="s">
        <v>12</v>
      </c>
      <c r="D13" s="8">
        <v>13</v>
      </c>
      <c r="E13" s="446">
        <v>182</v>
      </c>
    </row>
    <row r="14" spans="1:10" x14ac:dyDescent="0.25">
      <c r="A14" s="440">
        <v>40181</v>
      </c>
      <c r="B14" s="8" t="s">
        <v>13</v>
      </c>
      <c r="C14" s="8" t="s">
        <v>15</v>
      </c>
      <c r="D14" s="8">
        <v>10</v>
      </c>
      <c r="E14" s="446">
        <v>159.5</v>
      </c>
    </row>
    <row r="15" spans="1:10" x14ac:dyDescent="0.25">
      <c r="A15" s="440">
        <v>40185</v>
      </c>
      <c r="B15" s="8" t="s">
        <v>13</v>
      </c>
      <c r="C15" s="8" t="s">
        <v>21</v>
      </c>
      <c r="D15" s="8">
        <v>6</v>
      </c>
      <c r="E15" s="446">
        <v>153.30000000000001</v>
      </c>
    </row>
    <row r="16" spans="1:10" x14ac:dyDescent="0.25">
      <c r="A16" s="440">
        <v>40184</v>
      </c>
      <c r="B16" s="8" t="s">
        <v>13</v>
      </c>
      <c r="C16" s="8" t="s">
        <v>15</v>
      </c>
      <c r="D16" s="8">
        <v>8</v>
      </c>
      <c r="E16" s="446">
        <v>127.6</v>
      </c>
    </row>
    <row r="17" spans="1:7" x14ac:dyDescent="0.25">
      <c r="A17" s="445">
        <v>40184</v>
      </c>
      <c r="B17" s="190" t="s">
        <v>7</v>
      </c>
      <c r="C17" s="190" t="s">
        <v>19</v>
      </c>
      <c r="D17" s="190">
        <v>10</v>
      </c>
      <c r="E17" s="448">
        <v>120</v>
      </c>
    </row>
    <row r="18" spans="1:7" x14ac:dyDescent="0.25">
      <c r="A18" s="445">
        <v>40391</v>
      </c>
      <c r="B18" s="190" t="s">
        <v>4</v>
      </c>
      <c r="C18" s="190" t="s">
        <v>22</v>
      </c>
      <c r="D18" s="190">
        <v>12</v>
      </c>
      <c r="E18" s="448">
        <v>120</v>
      </c>
    </row>
    <row r="19" spans="1:7" x14ac:dyDescent="0.25">
      <c r="A19" s="445">
        <v>40422</v>
      </c>
      <c r="B19" s="190" t="s">
        <v>23</v>
      </c>
      <c r="C19" s="190" t="s">
        <v>20</v>
      </c>
      <c r="D19" s="190">
        <v>1</v>
      </c>
      <c r="E19" s="448">
        <v>29</v>
      </c>
      <c r="G19" t="s">
        <v>1789</v>
      </c>
    </row>
    <row r="22" spans="1:7" x14ac:dyDescent="0.25">
      <c r="A22" s="13"/>
    </row>
    <row r="23" spans="1:7" x14ac:dyDescent="0.25">
      <c r="A23" s="13"/>
    </row>
  </sheetData>
  <sortState xmlns:xlrd2="http://schemas.microsoft.com/office/spreadsheetml/2017/richdata2" ref="A2:E17">
    <sortCondition descending="1" ref="E3:E17"/>
  </sortState>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000FF"/>
  </sheetPr>
  <dimension ref="A1:E11"/>
  <sheetViews>
    <sheetView workbookViewId="0">
      <selection activeCell="E3" sqref="E3"/>
    </sheetView>
  </sheetViews>
  <sheetFormatPr defaultColWidth="9.140625" defaultRowHeight="15" x14ac:dyDescent="0.25"/>
  <cols>
    <col min="1" max="1" width="12.85546875" bestFit="1" customWidth="1"/>
    <col min="3" max="3" width="16.5703125" bestFit="1" customWidth="1"/>
    <col min="6" max="6" width="26.42578125" bestFit="1" customWidth="1"/>
    <col min="8" max="8" width="11.28515625" bestFit="1" customWidth="1"/>
    <col min="9" max="9" width="16.85546875" bestFit="1" customWidth="1"/>
    <col min="10" max="10" width="23.28515625" bestFit="1" customWidth="1"/>
    <col min="11" max="19" width="8.85546875" customWidth="1"/>
  </cols>
  <sheetData>
    <row r="1" spans="1:5" x14ac:dyDescent="0.25">
      <c r="A1" s="14" t="s">
        <v>24</v>
      </c>
      <c r="C1" s="14" t="s">
        <v>25</v>
      </c>
    </row>
    <row r="2" spans="1:5" x14ac:dyDescent="0.25">
      <c r="A2" s="102">
        <v>10.255000000000001</v>
      </c>
      <c r="B2" s="15"/>
      <c r="C2" s="102">
        <v>10</v>
      </c>
      <c r="E2" t="s">
        <v>1791</v>
      </c>
    </row>
    <row r="3" spans="1:5" x14ac:dyDescent="0.25">
      <c r="A3" s="102">
        <v>2.359</v>
      </c>
      <c r="B3" s="15"/>
      <c r="C3" s="102">
        <v>2</v>
      </c>
    </row>
    <row r="4" spans="1:5" x14ac:dyDescent="0.25">
      <c r="A4" s="102">
        <v>9.9550000000000001</v>
      </c>
      <c r="B4" s="15"/>
      <c r="C4" s="102">
        <v>10</v>
      </c>
    </row>
    <row r="5" spans="1:5" x14ac:dyDescent="0.25">
      <c r="A5" s="102">
        <v>6.333333333333333</v>
      </c>
      <c r="B5" s="15"/>
      <c r="C5" s="102">
        <v>6</v>
      </c>
    </row>
    <row r="6" spans="1:5" x14ac:dyDescent="0.25">
      <c r="A6" s="102">
        <v>3.2</v>
      </c>
      <c r="B6" s="15"/>
      <c r="C6" s="102">
        <v>3</v>
      </c>
    </row>
    <row r="7" spans="1:5" x14ac:dyDescent="0.25">
      <c r="A7" s="102">
        <v>3.65</v>
      </c>
      <c r="B7" s="15"/>
      <c r="C7" s="102">
        <v>4</v>
      </c>
    </row>
    <row r="8" spans="1:5" x14ac:dyDescent="0.25">
      <c r="A8" s="102">
        <v>4.8875000000000002</v>
      </c>
      <c r="B8" s="15"/>
      <c r="C8" s="102">
        <v>5</v>
      </c>
    </row>
    <row r="9" spans="1:5" x14ac:dyDescent="0.25">
      <c r="A9" s="449">
        <f>SUM(A2:A8)</f>
        <v>40.639833333333335</v>
      </c>
      <c r="B9" s="266"/>
      <c r="C9" s="449">
        <f>SUM(C2:C8)</f>
        <v>40</v>
      </c>
    </row>
    <row r="11" spans="1:5" x14ac:dyDescent="0.25">
      <c r="A11" t="s">
        <v>1790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0000FF"/>
  </sheetPr>
  <dimension ref="A1:H9"/>
  <sheetViews>
    <sheetView workbookViewId="0">
      <selection activeCell="G3" sqref="G3"/>
    </sheetView>
  </sheetViews>
  <sheetFormatPr defaultColWidth="9.140625" defaultRowHeight="15" x14ac:dyDescent="0.25"/>
  <cols>
    <col min="1" max="1" width="12.42578125" bestFit="1" customWidth="1"/>
    <col min="2" max="2" width="9.7109375" bestFit="1" customWidth="1"/>
    <col min="6" max="6" width="14.85546875" bestFit="1" customWidth="1"/>
    <col min="7" max="7" width="9.7109375" bestFit="1" customWidth="1"/>
  </cols>
  <sheetData>
    <row r="1" spans="1:8" x14ac:dyDescent="0.25">
      <c r="B1" s="13">
        <v>1</v>
      </c>
      <c r="F1" s="8" t="s">
        <v>26</v>
      </c>
      <c r="G1" s="7">
        <v>40179</v>
      </c>
    </row>
    <row r="2" spans="1:8" x14ac:dyDescent="0.25">
      <c r="B2" s="13">
        <v>1</v>
      </c>
      <c r="F2" s="8" t="s">
        <v>27</v>
      </c>
      <c r="G2" s="8">
        <v>45</v>
      </c>
      <c r="H2" t="s">
        <v>28</v>
      </c>
    </row>
    <row r="3" spans="1:8" x14ac:dyDescent="0.25">
      <c r="A3" t="s">
        <v>1792</v>
      </c>
      <c r="B3" s="30">
        <v>39929</v>
      </c>
      <c r="F3" s="8" t="s">
        <v>29</v>
      </c>
      <c r="G3" s="16">
        <f>G1+G2</f>
        <v>40224</v>
      </c>
    </row>
    <row r="4" spans="1:8" x14ac:dyDescent="0.25">
      <c r="A4" t="s">
        <v>1793</v>
      </c>
      <c r="B4" s="30">
        <v>39945</v>
      </c>
    </row>
    <row r="5" spans="1:8" x14ac:dyDescent="0.25">
      <c r="A5" t="s">
        <v>1794</v>
      </c>
      <c r="B5" s="30">
        <f>B4-B3</f>
        <v>16</v>
      </c>
    </row>
    <row r="8" spans="1:8" x14ac:dyDescent="0.25">
      <c r="A8" t="s">
        <v>1795</v>
      </c>
    </row>
    <row r="9" spans="1:8" x14ac:dyDescent="0.25">
      <c r="A9" t="s">
        <v>1796</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sheetPr>
  <dimension ref="A1:J13"/>
  <sheetViews>
    <sheetView tabSelected="1" workbookViewId="0">
      <selection activeCell="H16" sqref="H16"/>
    </sheetView>
  </sheetViews>
  <sheetFormatPr defaultColWidth="9.140625" defaultRowHeight="15" x14ac:dyDescent="0.25"/>
  <cols>
    <col min="1" max="1" width="24" bestFit="1" customWidth="1"/>
    <col min="2" max="2" width="11.85546875" customWidth="1"/>
    <col min="3" max="3" width="11.85546875" bestFit="1" customWidth="1"/>
    <col min="9" max="9" width="14.28515625" customWidth="1"/>
    <col min="10" max="10" width="11.5703125" bestFit="1" customWidth="1"/>
  </cols>
  <sheetData>
    <row r="1" spans="1:10" x14ac:dyDescent="0.25">
      <c r="A1" s="8" t="s">
        <v>30</v>
      </c>
      <c r="B1" s="17">
        <v>0.25</v>
      </c>
      <c r="C1" s="450">
        <v>0.25</v>
      </c>
      <c r="I1" s="18" t="s">
        <v>31</v>
      </c>
      <c r="J1" s="18" t="s">
        <v>32</v>
      </c>
    </row>
    <row r="2" spans="1:10" x14ac:dyDescent="0.25">
      <c r="A2" s="8" t="s">
        <v>33</v>
      </c>
      <c r="B2" s="17">
        <v>0.6875</v>
      </c>
      <c r="I2" s="8">
        <v>0</v>
      </c>
      <c r="J2" s="19">
        <f t="shared" ref="J2:J8" si="0">I2</f>
        <v>0</v>
      </c>
    </row>
    <row r="3" spans="1:10" x14ac:dyDescent="0.25">
      <c r="A3" s="8" t="s">
        <v>34</v>
      </c>
      <c r="B3" s="451">
        <f>B2-B1</f>
        <v>0.4375</v>
      </c>
      <c r="I3" s="8">
        <v>0.25</v>
      </c>
      <c r="J3" s="19">
        <f t="shared" si="0"/>
        <v>0.25</v>
      </c>
    </row>
    <row r="4" spans="1:10" x14ac:dyDescent="0.25">
      <c r="A4" s="11" t="s">
        <v>35</v>
      </c>
      <c r="B4" s="20">
        <f>B3*24</f>
        <v>10.5</v>
      </c>
      <c r="I4" s="8">
        <f>1/3</f>
        <v>0.33333333333333331</v>
      </c>
      <c r="J4" s="19">
        <f t="shared" si="0"/>
        <v>0.33333333333333331</v>
      </c>
    </row>
    <row r="5" spans="1:10" x14ac:dyDescent="0.25">
      <c r="I5" s="8">
        <v>0.5</v>
      </c>
      <c r="J5" s="19">
        <f t="shared" si="0"/>
        <v>0.5</v>
      </c>
    </row>
    <row r="6" spans="1:10" x14ac:dyDescent="0.25">
      <c r="I6" s="8">
        <v>0.75</v>
      </c>
      <c r="J6" s="19">
        <f t="shared" si="0"/>
        <v>0.75</v>
      </c>
    </row>
    <row r="7" spans="1:10" x14ac:dyDescent="0.25">
      <c r="A7" s="8" t="s">
        <v>30</v>
      </c>
      <c r="B7" s="17">
        <v>0.25</v>
      </c>
      <c r="I7" s="8">
        <f>(24*60*60-1)/(24*60*60)</f>
        <v>0.99998842592592596</v>
      </c>
      <c r="J7" s="19">
        <f t="shared" si="0"/>
        <v>0.99998842592592596</v>
      </c>
    </row>
    <row r="8" spans="1:10" x14ac:dyDescent="0.25">
      <c r="A8" s="8" t="s">
        <v>33</v>
      </c>
      <c r="B8" s="17">
        <v>0.47916666666666669</v>
      </c>
      <c r="I8" s="8">
        <v>1</v>
      </c>
      <c r="J8" s="19">
        <f t="shared" si="0"/>
        <v>1</v>
      </c>
    </row>
    <row r="9" spans="1:10" x14ac:dyDescent="0.25">
      <c r="A9" s="8" t="s">
        <v>30</v>
      </c>
      <c r="B9" s="17">
        <v>0.54166666666666663</v>
      </c>
    </row>
    <row r="10" spans="1:10" x14ac:dyDescent="0.25">
      <c r="A10" s="8" t="s">
        <v>33</v>
      </c>
      <c r="B10" s="17">
        <v>0.6875</v>
      </c>
    </row>
    <row r="11" spans="1:10" x14ac:dyDescent="0.25">
      <c r="A11" s="8" t="s">
        <v>1616</v>
      </c>
      <c r="B11" s="451">
        <f>(B8-B7)+(B10-B9)</f>
        <v>0.37500000000000006</v>
      </c>
    </row>
    <row r="12" spans="1:10" x14ac:dyDescent="0.25">
      <c r="A12" s="11" t="s">
        <v>1617</v>
      </c>
      <c r="B12" s="10"/>
    </row>
    <row r="13" spans="1:10" x14ac:dyDescent="0.25">
      <c r="A13" s="8" t="s">
        <v>1618</v>
      </c>
      <c r="B13" s="10"/>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0000FF"/>
  </sheetPr>
  <dimension ref="A1:B9"/>
  <sheetViews>
    <sheetView workbookViewId="0"/>
  </sheetViews>
  <sheetFormatPr defaultColWidth="9.140625" defaultRowHeight="15" x14ac:dyDescent="0.25"/>
  <cols>
    <col min="1" max="1" width="14.5703125" bestFit="1" customWidth="1"/>
  </cols>
  <sheetData>
    <row r="1" spans="1:2" x14ac:dyDescent="0.25">
      <c r="A1" s="18" t="s">
        <v>36</v>
      </c>
    </row>
    <row r="2" spans="1:2" x14ac:dyDescent="0.25">
      <c r="A2" s="21"/>
    </row>
    <row r="5" spans="1:2" x14ac:dyDescent="0.25">
      <c r="A5" s="18" t="s">
        <v>0</v>
      </c>
      <c r="B5" s="18" t="s">
        <v>32</v>
      </c>
    </row>
    <row r="6" spans="1:2" x14ac:dyDescent="0.25">
      <c r="A6" s="7">
        <v>40072</v>
      </c>
      <c r="B6" s="17">
        <v>0.46597222222222223</v>
      </c>
    </row>
    <row r="8" spans="1:2" x14ac:dyDescent="0.25">
      <c r="A8" s="18" t="s">
        <v>37</v>
      </c>
      <c r="B8" s="18" t="s">
        <v>38</v>
      </c>
    </row>
    <row r="9" spans="1:2" x14ac:dyDescent="0.25">
      <c r="A9" s="22">
        <v>10</v>
      </c>
      <c r="B9" s="23">
        <f>A9*A2</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0000FF"/>
  </sheetPr>
  <dimension ref="A1:C6"/>
  <sheetViews>
    <sheetView workbookViewId="0"/>
  </sheetViews>
  <sheetFormatPr defaultRowHeight="15" x14ac:dyDescent="0.25"/>
  <cols>
    <col min="1" max="1" width="11" bestFit="1" customWidth="1"/>
    <col min="2" max="2" width="32" bestFit="1" customWidth="1"/>
  </cols>
  <sheetData>
    <row r="1" spans="1:3" x14ac:dyDescent="0.25">
      <c r="A1" s="8" t="s">
        <v>39</v>
      </c>
      <c r="B1" s="8" t="s">
        <v>40</v>
      </c>
      <c r="C1" s="24"/>
    </row>
    <row r="2" spans="1:3" x14ac:dyDescent="0.25">
      <c r="A2" s="8" t="s">
        <v>41</v>
      </c>
      <c r="B2" s="8" t="s">
        <v>42</v>
      </c>
      <c r="C2" s="21"/>
    </row>
    <row r="3" spans="1:3" x14ac:dyDescent="0.25">
      <c r="A3" s="8" t="s">
        <v>43</v>
      </c>
      <c r="B3" s="8" t="s">
        <v>44</v>
      </c>
      <c r="C3" s="24"/>
    </row>
    <row r="4" spans="1:3" x14ac:dyDescent="0.25">
      <c r="A4" s="8" t="s">
        <v>45</v>
      </c>
      <c r="B4" s="8" t="s">
        <v>46</v>
      </c>
      <c r="C4" s="24"/>
    </row>
    <row r="5" spans="1:3" x14ac:dyDescent="0.25">
      <c r="A5" s="8" t="s">
        <v>47</v>
      </c>
      <c r="B5" s="8" t="s">
        <v>48</v>
      </c>
      <c r="C5" s="24"/>
    </row>
    <row r="6" spans="1:3" x14ac:dyDescent="0.25">
      <c r="A6" s="8" t="s">
        <v>49</v>
      </c>
      <c r="B6" s="8" t="s">
        <v>50</v>
      </c>
      <c r="C6"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00FF"/>
  </sheetPr>
  <dimension ref="A1:A6"/>
  <sheetViews>
    <sheetView zoomScale="145" zoomScaleNormal="145" workbookViewId="0"/>
  </sheetViews>
  <sheetFormatPr defaultRowHeight="15" x14ac:dyDescent="0.25"/>
  <cols>
    <col min="1" max="1" width="42.42578125" bestFit="1" customWidth="1"/>
    <col min="4" max="7" width="9.5703125" bestFit="1" customWidth="1"/>
    <col min="8" max="8" width="23.28515625" bestFit="1" customWidth="1"/>
  </cols>
  <sheetData>
    <row r="1" spans="1:1" ht="15.75" x14ac:dyDescent="0.25">
      <c r="A1" s="25" t="s">
        <v>51</v>
      </c>
    </row>
    <row r="2" spans="1:1" x14ac:dyDescent="0.25">
      <c r="A2" s="11"/>
    </row>
    <row r="3" spans="1:1" ht="15.75" x14ac:dyDescent="0.25">
      <c r="A3" s="25" t="s">
        <v>52</v>
      </c>
    </row>
    <row r="4" spans="1:1" x14ac:dyDescent="0.25">
      <c r="A4" s="11"/>
    </row>
    <row r="5" spans="1:1" ht="15.75" x14ac:dyDescent="0.25">
      <c r="A5" s="25" t="s">
        <v>53</v>
      </c>
    </row>
    <row r="6" spans="1:1" x14ac:dyDescent="0.25">
      <c r="A6" s="11"/>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0000FF"/>
  </sheetPr>
  <dimension ref="A1:C20"/>
  <sheetViews>
    <sheetView workbookViewId="0"/>
  </sheetViews>
  <sheetFormatPr defaultColWidth="9.140625" defaultRowHeight="15" x14ac:dyDescent="0.25"/>
  <cols>
    <col min="1" max="2" width="10.5703125" customWidth="1"/>
    <col min="3" max="3" width="10.7109375" customWidth="1"/>
    <col min="4" max="6" width="8.85546875" customWidth="1"/>
  </cols>
  <sheetData>
    <row r="1" spans="1:3" ht="45" x14ac:dyDescent="0.25">
      <c r="A1" s="26" t="s">
        <v>54</v>
      </c>
      <c r="B1" s="26"/>
      <c r="C1" s="27" t="s">
        <v>55</v>
      </c>
    </row>
    <row r="2" spans="1:3" x14ac:dyDescent="0.25">
      <c r="A2" s="28" t="s">
        <v>56</v>
      </c>
      <c r="B2" s="28"/>
      <c r="C2" s="13">
        <v>40079</v>
      </c>
    </row>
    <row r="3" spans="1:3" x14ac:dyDescent="0.25">
      <c r="A3" s="28" t="s">
        <v>57</v>
      </c>
      <c r="B3" s="28"/>
      <c r="C3" s="29" t="s">
        <v>58</v>
      </c>
    </row>
    <row r="4" spans="1:3" x14ac:dyDescent="0.25">
      <c r="A4" s="28" t="s">
        <v>59</v>
      </c>
      <c r="B4" s="28"/>
      <c r="C4" s="28" t="s">
        <v>60</v>
      </c>
    </row>
    <row r="5" spans="1:3" x14ac:dyDescent="0.25">
      <c r="A5" s="28" t="s">
        <v>61</v>
      </c>
      <c r="B5" s="28"/>
      <c r="C5" s="13" t="s">
        <v>62</v>
      </c>
    </row>
    <row r="6" spans="1:3" x14ac:dyDescent="0.25">
      <c r="A6" s="28" t="s">
        <v>57</v>
      </c>
      <c r="B6" s="28"/>
    </row>
    <row r="7" spans="1:3" x14ac:dyDescent="0.25">
      <c r="A7" s="28" t="s">
        <v>59</v>
      </c>
      <c r="B7" s="28"/>
    </row>
    <row r="8" spans="1:3" x14ac:dyDescent="0.25">
      <c r="A8" s="28" t="s">
        <v>63</v>
      </c>
      <c r="B8" s="28"/>
    </row>
    <row r="9" spans="1:3" x14ac:dyDescent="0.25">
      <c r="A9" s="30"/>
      <c r="B9" s="30" t="s">
        <v>1315</v>
      </c>
    </row>
    <row r="10" spans="1:3" x14ac:dyDescent="0.25">
      <c r="A10" s="30"/>
      <c r="B10" s="30" t="s">
        <v>1316</v>
      </c>
    </row>
    <row r="11" spans="1:3" x14ac:dyDescent="0.25">
      <c r="A11" s="30"/>
      <c r="B11" s="30"/>
    </row>
    <row r="12" spans="1:3" ht="45" x14ac:dyDescent="0.25">
      <c r="A12" s="26" t="s">
        <v>54</v>
      </c>
      <c r="B12" s="30"/>
    </row>
    <row r="13" spans="1:3" x14ac:dyDescent="0.25">
      <c r="A13" s="30" t="s">
        <v>56</v>
      </c>
    </row>
    <row r="14" spans="1:3" x14ac:dyDescent="0.25">
      <c r="A14" s="30" t="s">
        <v>57</v>
      </c>
    </row>
    <row r="15" spans="1:3" x14ac:dyDescent="0.25">
      <c r="A15" s="30" t="s">
        <v>59</v>
      </c>
    </row>
    <row r="16" spans="1:3" x14ac:dyDescent="0.25">
      <c r="A16" s="30" t="s">
        <v>61</v>
      </c>
    </row>
    <row r="17" spans="1:1" x14ac:dyDescent="0.25">
      <c r="A17" s="30" t="s">
        <v>57</v>
      </c>
    </row>
    <row r="18" spans="1:1" x14ac:dyDescent="0.25">
      <c r="A18" s="30" t="s">
        <v>59</v>
      </c>
    </row>
    <row r="19" spans="1:1" x14ac:dyDescent="0.25">
      <c r="A19" s="30" t="s">
        <v>63</v>
      </c>
    </row>
    <row r="20" spans="1:1" x14ac:dyDescent="0.25">
      <c r="A20" s="30" t="e">
        <f>A13+A14+A15+A16+A17+A18+A19</f>
        <v>#VALUE!</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00FF"/>
  </sheetPr>
  <dimension ref="A1:C9"/>
  <sheetViews>
    <sheetView workbookViewId="0">
      <selection activeCell="C8" sqref="C8"/>
    </sheetView>
  </sheetViews>
  <sheetFormatPr defaultColWidth="9.140625" defaultRowHeight="15" x14ac:dyDescent="0.25"/>
  <cols>
    <col min="1" max="1" width="10.5703125" customWidth="1"/>
    <col min="2" max="2" width="9.5703125" customWidth="1"/>
    <col min="3" max="3" width="10.5703125" customWidth="1"/>
    <col min="5" max="5" width="9.140625" customWidth="1"/>
  </cols>
  <sheetData>
    <row r="1" spans="1:3" ht="45" x14ac:dyDescent="0.25">
      <c r="A1" s="26" t="s">
        <v>54</v>
      </c>
      <c r="C1" s="26" t="s">
        <v>64</v>
      </c>
    </row>
    <row r="2" spans="1:3" x14ac:dyDescent="0.25">
      <c r="A2" s="31">
        <v>15</v>
      </c>
      <c r="C2" s="28" t="s">
        <v>56</v>
      </c>
    </row>
    <row r="3" spans="1:3" x14ac:dyDescent="0.25">
      <c r="A3" s="31">
        <v>25</v>
      </c>
      <c r="C3" s="28" t="s">
        <v>57</v>
      </c>
    </row>
    <row r="4" spans="1:3" x14ac:dyDescent="0.25">
      <c r="A4" s="31">
        <v>62</v>
      </c>
      <c r="C4" s="28" t="s">
        <v>59</v>
      </c>
    </row>
    <row r="5" spans="1:3" x14ac:dyDescent="0.25">
      <c r="A5" s="31">
        <v>52</v>
      </c>
      <c r="C5" s="28" t="s">
        <v>61</v>
      </c>
    </row>
    <row r="6" spans="1:3" x14ac:dyDescent="0.25">
      <c r="A6" s="31">
        <v>25</v>
      </c>
      <c r="C6" s="28" t="s">
        <v>57</v>
      </c>
    </row>
    <row r="7" spans="1:3" x14ac:dyDescent="0.25">
      <c r="A7" s="31">
        <v>62</v>
      </c>
      <c r="C7" s="28" t="s">
        <v>59</v>
      </c>
    </row>
    <row r="8" spans="1:3" x14ac:dyDescent="0.25">
      <c r="A8" s="31">
        <v>32</v>
      </c>
      <c r="C8" s="28" t="s">
        <v>63</v>
      </c>
    </row>
    <row r="9" spans="1:3" x14ac:dyDescent="0.25">
      <c r="A9" s="32">
        <f>SUM(A2:A8)</f>
        <v>273</v>
      </c>
      <c r="C9">
        <f>SUM(C2:C8)</f>
        <v>0</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00FF"/>
  </sheetPr>
  <dimension ref="A1:G8"/>
  <sheetViews>
    <sheetView zoomScaleNormal="100" workbookViewId="0">
      <selection activeCell="C8" sqref="C8"/>
    </sheetView>
  </sheetViews>
  <sheetFormatPr defaultRowHeight="15" x14ac:dyDescent="0.25"/>
  <cols>
    <col min="1" max="1" width="12" bestFit="1" customWidth="1"/>
    <col min="2" max="7" width="9.5703125" bestFit="1" customWidth="1"/>
  </cols>
  <sheetData>
    <row r="1" spans="1:7" x14ac:dyDescent="0.25">
      <c r="A1" t="s">
        <v>65</v>
      </c>
    </row>
    <row r="2" spans="1:7" x14ac:dyDescent="0.25">
      <c r="B2" t="s">
        <v>66</v>
      </c>
      <c r="C2" t="s">
        <v>67</v>
      </c>
      <c r="D2" t="s">
        <v>68</v>
      </c>
      <c r="E2" t="s">
        <v>69</v>
      </c>
      <c r="F2" t="s">
        <v>70</v>
      </c>
      <c r="G2" t="s">
        <v>71</v>
      </c>
    </row>
    <row r="3" spans="1:7" x14ac:dyDescent="0.25">
      <c r="A3" t="s">
        <v>72</v>
      </c>
      <c r="B3">
        <v>350</v>
      </c>
      <c r="C3">
        <v>273</v>
      </c>
      <c r="D3">
        <v>375</v>
      </c>
      <c r="E3">
        <v>500</v>
      </c>
      <c r="F3">
        <v>955</v>
      </c>
      <c r="G3">
        <v>1092</v>
      </c>
    </row>
    <row r="4" spans="1:7" x14ac:dyDescent="0.25">
      <c r="A4" t="s">
        <v>73</v>
      </c>
      <c r="B4">
        <v>957</v>
      </c>
      <c r="C4">
        <v>925</v>
      </c>
      <c r="D4">
        <v>1250</v>
      </c>
      <c r="E4">
        <v>1100</v>
      </c>
      <c r="F4">
        <v>2010</v>
      </c>
      <c r="G4">
        <v>2290</v>
      </c>
    </row>
    <row r="5" spans="1:7" x14ac:dyDescent="0.25">
      <c r="A5" t="s">
        <v>74</v>
      </c>
      <c r="B5">
        <v>160</v>
      </c>
      <c r="C5">
        <v>220</v>
      </c>
      <c r="D5">
        <v>291</v>
      </c>
      <c r="E5">
        <v>446</v>
      </c>
      <c r="F5">
        <v>537</v>
      </c>
      <c r="G5">
        <v>208</v>
      </c>
    </row>
    <row r="6" spans="1:7" x14ac:dyDescent="0.25">
      <c r="A6" t="s">
        <v>75</v>
      </c>
      <c r="B6">
        <v>525</v>
      </c>
      <c r="C6">
        <v>625</v>
      </c>
      <c r="D6">
        <v>570</v>
      </c>
      <c r="E6">
        <v>852</v>
      </c>
      <c r="F6">
        <v>750</v>
      </c>
      <c r="G6">
        <v>575</v>
      </c>
    </row>
    <row r="7" spans="1:7" x14ac:dyDescent="0.25">
      <c r="A7" t="s">
        <v>76</v>
      </c>
      <c r="B7">
        <f t="shared" ref="B7:G7" si="0">SUM(B3:B6)</f>
        <v>1992</v>
      </c>
      <c r="C7">
        <f t="shared" si="0"/>
        <v>2043</v>
      </c>
      <c r="D7">
        <f t="shared" si="0"/>
        <v>2486</v>
      </c>
      <c r="E7">
        <f t="shared" si="0"/>
        <v>2898</v>
      </c>
      <c r="F7">
        <f t="shared" si="0"/>
        <v>4252</v>
      </c>
      <c r="G7">
        <f t="shared" si="0"/>
        <v>4165</v>
      </c>
    </row>
    <row r="8" spans="1:7" x14ac:dyDescent="0.25">
      <c r="A8" s="33"/>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00FF"/>
  </sheetPr>
  <dimension ref="A1:G16"/>
  <sheetViews>
    <sheetView zoomScaleNormal="100" zoomScaleSheetLayoutView="100" workbookViewId="0">
      <selection activeCell="C8" sqref="C8"/>
    </sheetView>
  </sheetViews>
  <sheetFormatPr defaultColWidth="9.140625" defaultRowHeight="15" x14ac:dyDescent="0.25"/>
  <cols>
    <col min="1" max="1" width="12" bestFit="1" customWidth="1"/>
    <col min="2" max="7" width="8.140625" customWidth="1"/>
  </cols>
  <sheetData>
    <row r="1" spans="1:7" ht="18.75" x14ac:dyDescent="0.3">
      <c r="A1" s="34" t="s">
        <v>77</v>
      </c>
      <c r="B1" s="34"/>
      <c r="C1" s="34"/>
      <c r="D1" s="34"/>
      <c r="E1" s="34"/>
      <c r="F1" s="34"/>
      <c r="G1" s="34"/>
    </row>
    <row r="2" spans="1:7" x14ac:dyDescent="0.25">
      <c r="A2" s="8"/>
      <c r="B2" s="35" t="s">
        <v>78</v>
      </c>
      <c r="C2" s="35" t="s">
        <v>79</v>
      </c>
      <c r="D2" s="35" t="s">
        <v>80</v>
      </c>
      <c r="E2" s="35" t="s">
        <v>81</v>
      </c>
      <c r="F2" s="35" t="s">
        <v>82</v>
      </c>
      <c r="G2" s="35" t="s">
        <v>83</v>
      </c>
    </row>
    <row r="3" spans="1:7" x14ac:dyDescent="0.25">
      <c r="A3" s="35" t="s">
        <v>72</v>
      </c>
      <c r="B3" s="36">
        <f t="shared" ref="B3:G6" si="0">B11*1.075</f>
        <v>376.25</v>
      </c>
      <c r="C3" s="36">
        <f t="shared" si="0"/>
        <v>293.47499999999997</v>
      </c>
      <c r="D3" s="36">
        <f t="shared" si="0"/>
        <v>403.125</v>
      </c>
      <c r="E3" s="36">
        <f t="shared" si="0"/>
        <v>537.5</v>
      </c>
      <c r="F3" s="36">
        <f t="shared" si="0"/>
        <v>1026.625</v>
      </c>
      <c r="G3" s="36">
        <f t="shared" si="0"/>
        <v>1173.8999999999999</v>
      </c>
    </row>
    <row r="4" spans="1:7" x14ac:dyDescent="0.25">
      <c r="A4" s="35" t="s">
        <v>73</v>
      </c>
      <c r="B4" s="36">
        <f t="shared" si="0"/>
        <v>1028.7749999999999</v>
      </c>
      <c r="C4" s="36">
        <f t="shared" si="0"/>
        <v>994.375</v>
      </c>
      <c r="D4" s="36">
        <f t="shared" si="0"/>
        <v>1343.75</v>
      </c>
      <c r="E4" s="36">
        <f t="shared" si="0"/>
        <v>1182.5</v>
      </c>
      <c r="F4" s="36">
        <f t="shared" si="0"/>
        <v>2160.75</v>
      </c>
      <c r="G4" s="36">
        <f t="shared" si="0"/>
        <v>2461.75</v>
      </c>
    </row>
    <row r="5" spans="1:7" x14ac:dyDescent="0.25">
      <c r="A5" s="35" t="s">
        <v>74</v>
      </c>
      <c r="B5" s="36">
        <f t="shared" si="0"/>
        <v>172</v>
      </c>
      <c r="C5" s="36">
        <f t="shared" si="0"/>
        <v>236.5</v>
      </c>
      <c r="D5" s="36">
        <f t="shared" si="0"/>
        <v>312.82499999999999</v>
      </c>
      <c r="E5" s="36">
        <f t="shared" si="0"/>
        <v>479.45</v>
      </c>
      <c r="F5" s="36">
        <f t="shared" si="0"/>
        <v>577.27499999999998</v>
      </c>
      <c r="G5" s="36">
        <f t="shared" si="0"/>
        <v>223.6</v>
      </c>
    </row>
    <row r="6" spans="1:7" ht="15.75" thickBot="1" x14ac:dyDescent="0.3">
      <c r="A6" s="37" t="s">
        <v>75</v>
      </c>
      <c r="B6" s="38">
        <f t="shared" si="0"/>
        <v>564.375</v>
      </c>
      <c r="C6" s="38">
        <f t="shared" si="0"/>
        <v>671.875</v>
      </c>
      <c r="D6" s="38">
        <f t="shared" si="0"/>
        <v>612.75</v>
      </c>
      <c r="E6" s="38">
        <f t="shared" si="0"/>
        <v>915.9</v>
      </c>
      <c r="F6" s="38">
        <f t="shared" si="0"/>
        <v>806.25</v>
      </c>
      <c r="G6" s="38">
        <f t="shared" si="0"/>
        <v>618.125</v>
      </c>
    </row>
    <row r="7" spans="1:7" ht="15.75" thickBot="1" x14ac:dyDescent="0.3">
      <c r="A7" s="39" t="s">
        <v>76</v>
      </c>
      <c r="B7" s="40">
        <f t="shared" ref="B7" si="1">SUM(B3:B6)</f>
        <v>2141.3999999999996</v>
      </c>
      <c r="C7" s="40">
        <f t="shared" ref="C7:G7" si="2">SUM(C3:C6)</f>
        <v>2196.2249999999999</v>
      </c>
      <c r="D7" s="40">
        <f t="shared" si="2"/>
        <v>2672.45</v>
      </c>
      <c r="E7" s="40">
        <f t="shared" si="2"/>
        <v>3115.35</v>
      </c>
      <c r="F7" s="40">
        <f t="shared" si="2"/>
        <v>4570.8999999999996</v>
      </c>
      <c r="G7" s="40">
        <f t="shared" si="2"/>
        <v>4477.375</v>
      </c>
    </row>
    <row r="8" spans="1:7" ht="15.75" thickTop="1" x14ac:dyDescent="0.25"/>
    <row r="9" spans="1:7" ht="18.75" x14ac:dyDescent="0.3">
      <c r="A9" s="34" t="s">
        <v>77</v>
      </c>
      <c r="B9" s="34"/>
      <c r="C9" s="34"/>
      <c r="D9" s="34"/>
      <c r="E9" s="34"/>
      <c r="F9" s="34"/>
      <c r="G9" s="34"/>
    </row>
    <row r="10" spans="1:7" x14ac:dyDescent="0.25">
      <c r="A10" s="8"/>
      <c r="B10" s="35" t="s">
        <v>66</v>
      </c>
      <c r="C10" s="35" t="s">
        <v>67</v>
      </c>
      <c r="D10" s="35" t="s">
        <v>68</v>
      </c>
      <c r="E10" s="35" t="s">
        <v>69</v>
      </c>
      <c r="F10" s="35" t="s">
        <v>70</v>
      </c>
      <c r="G10" s="35" t="s">
        <v>71</v>
      </c>
    </row>
    <row r="11" spans="1:7" x14ac:dyDescent="0.25">
      <c r="A11" s="35" t="s">
        <v>72</v>
      </c>
      <c r="B11" s="36">
        <v>350</v>
      </c>
      <c r="C11" s="36">
        <v>273</v>
      </c>
      <c r="D11" s="36">
        <v>375</v>
      </c>
      <c r="E11" s="36">
        <v>500</v>
      </c>
      <c r="F11" s="36">
        <v>955</v>
      </c>
      <c r="G11" s="36">
        <v>1092</v>
      </c>
    </row>
    <row r="12" spans="1:7" x14ac:dyDescent="0.25">
      <c r="A12" s="35" t="s">
        <v>73</v>
      </c>
      <c r="B12" s="36">
        <v>957</v>
      </c>
      <c r="C12" s="36">
        <v>925</v>
      </c>
      <c r="D12" s="36">
        <v>1250</v>
      </c>
      <c r="E12" s="36">
        <v>1100</v>
      </c>
      <c r="F12" s="36">
        <v>2010</v>
      </c>
      <c r="G12" s="36">
        <v>2290</v>
      </c>
    </row>
    <row r="13" spans="1:7" x14ac:dyDescent="0.25">
      <c r="A13" s="35" t="s">
        <v>74</v>
      </c>
      <c r="B13" s="36">
        <v>160</v>
      </c>
      <c r="C13" s="36">
        <v>220</v>
      </c>
      <c r="D13" s="36">
        <v>291</v>
      </c>
      <c r="E13" s="36">
        <v>446</v>
      </c>
      <c r="F13" s="36">
        <v>537</v>
      </c>
      <c r="G13" s="36">
        <v>208</v>
      </c>
    </row>
    <row r="14" spans="1:7" ht="15.75" thickBot="1" x14ac:dyDescent="0.3">
      <c r="A14" s="37" t="s">
        <v>75</v>
      </c>
      <c r="B14" s="38">
        <v>525</v>
      </c>
      <c r="C14" s="38">
        <v>625</v>
      </c>
      <c r="D14" s="38">
        <v>570</v>
      </c>
      <c r="E14" s="38">
        <v>852</v>
      </c>
      <c r="F14" s="38">
        <v>750</v>
      </c>
      <c r="G14" s="38">
        <v>575</v>
      </c>
    </row>
    <row r="15" spans="1:7" ht="15.75" thickBot="1" x14ac:dyDescent="0.3">
      <c r="A15" s="39" t="s">
        <v>76</v>
      </c>
      <c r="B15" s="40">
        <f t="shared" ref="B15:G15" si="3">SUM(B11:B14)</f>
        <v>1992</v>
      </c>
      <c r="C15" s="40">
        <f t="shared" si="3"/>
        <v>2043</v>
      </c>
      <c r="D15" s="40">
        <f t="shared" si="3"/>
        <v>2486</v>
      </c>
      <c r="E15" s="40">
        <f t="shared" si="3"/>
        <v>2898</v>
      </c>
      <c r="F15" s="40">
        <f t="shared" si="3"/>
        <v>4252</v>
      </c>
      <c r="G15" s="40">
        <f t="shared" si="3"/>
        <v>4165</v>
      </c>
    </row>
    <row r="16" spans="1:7" ht="15.75" thickTop="1" x14ac:dyDescent="0.25"/>
  </sheetData>
  <printOptions horizontalCentered="1"/>
  <pageMargins left="0.7" right="0.7" top="0.75" bottom="0.75" header="0.3" footer="0.3"/>
  <pageSetup scale="150" orientation="landscape" r:id="rId1"/>
  <headerFooter>
    <oddHeader>&amp;L&amp;A&amp;C&amp;D&amp;RYour Name</oddHeader>
    <oddFooter>Page &amp;P of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00FF"/>
  </sheetPr>
  <dimension ref="A1:H365"/>
  <sheetViews>
    <sheetView zoomScaleNormal="100" workbookViewId="0">
      <selection activeCell="C8" sqref="C8"/>
    </sheetView>
  </sheetViews>
  <sheetFormatPr defaultRowHeight="15" x14ac:dyDescent="0.25"/>
  <cols>
    <col min="1" max="1" width="6.85546875" bestFit="1" customWidth="1"/>
    <col min="2" max="2" width="11.85546875" bestFit="1" customWidth="1"/>
    <col min="4" max="4" width="13.140625" bestFit="1" customWidth="1"/>
    <col min="5" max="5" width="11.85546875" bestFit="1" customWidth="1"/>
    <col min="6" max="6" width="15.5703125" bestFit="1" customWidth="1"/>
    <col min="7" max="7" width="24.28515625" bestFit="1" customWidth="1"/>
    <col min="8" max="8" width="10.42578125" bestFit="1" customWidth="1"/>
    <col min="257" max="257" width="6.85546875" bestFit="1" customWidth="1"/>
    <col min="258" max="258" width="11.85546875" bestFit="1" customWidth="1"/>
    <col min="260" max="260" width="13.140625" bestFit="1" customWidth="1"/>
    <col min="261" max="261" width="11.85546875" bestFit="1" customWidth="1"/>
    <col min="262" max="262" width="15.5703125" bestFit="1" customWidth="1"/>
    <col min="263" max="263" width="24.28515625" bestFit="1" customWidth="1"/>
    <col min="264" max="264" width="10.42578125" bestFit="1" customWidth="1"/>
    <col min="513" max="513" width="6.85546875" bestFit="1" customWidth="1"/>
    <col min="514" max="514" width="11.85546875" bestFit="1" customWidth="1"/>
    <col min="516" max="516" width="13.140625" bestFit="1" customWidth="1"/>
    <col min="517" max="517" width="11.85546875" bestFit="1" customWidth="1"/>
    <col min="518" max="518" width="15.5703125" bestFit="1" customWidth="1"/>
    <col min="519" max="519" width="24.28515625" bestFit="1" customWidth="1"/>
    <col min="520" max="520" width="10.42578125" bestFit="1" customWidth="1"/>
    <col min="769" max="769" width="6.85546875" bestFit="1" customWidth="1"/>
    <col min="770" max="770" width="11.85546875" bestFit="1" customWidth="1"/>
    <col min="772" max="772" width="13.140625" bestFit="1" customWidth="1"/>
    <col min="773" max="773" width="11.85546875" bestFit="1" customWidth="1"/>
    <col min="774" max="774" width="15.5703125" bestFit="1" customWidth="1"/>
    <col min="775" max="775" width="24.28515625" bestFit="1" customWidth="1"/>
    <col min="776" max="776" width="10.42578125" bestFit="1" customWidth="1"/>
    <col min="1025" max="1025" width="6.85546875" bestFit="1" customWidth="1"/>
    <col min="1026" max="1026" width="11.85546875" bestFit="1" customWidth="1"/>
    <col min="1028" max="1028" width="13.140625" bestFit="1" customWidth="1"/>
    <col min="1029" max="1029" width="11.85546875" bestFit="1" customWidth="1"/>
    <col min="1030" max="1030" width="15.5703125" bestFit="1" customWidth="1"/>
    <col min="1031" max="1031" width="24.28515625" bestFit="1" customWidth="1"/>
    <col min="1032" max="1032" width="10.42578125" bestFit="1" customWidth="1"/>
    <col min="1281" max="1281" width="6.85546875" bestFit="1" customWidth="1"/>
    <col min="1282" max="1282" width="11.85546875" bestFit="1" customWidth="1"/>
    <col min="1284" max="1284" width="13.140625" bestFit="1" customWidth="1"/>
    <col min="1285" max="1285" width="11.85546875" bestFit="1" customWidth="1"/>
    <col min="1286" max="1286" width="15.5703125" bestFit="1" customWidth="1"/>
    <col min="1287" max="1287" width="24.28515625" bestFit="1" customWidth="1"/>
    <col min="1288" max="1288" width="10.42578125" bestFit="1" customWidth="1"/>
    <col min="1537" max="1537" width="6.85546875" bestFit="1" customWidth="1"/>
    <col min="1538" max="1538" width="11.85546875" bestFit="1" customWidth="1"/>
    <col min="1540" max="1540" width="13.140625" bestFit="1" customWidth="1"/>
    <col min="1541" max="1541" width="11.85546875" bestFit="1" customWidth="1"/>
    <col min="1542" max="1542" width="15.5703125" bestFit="1" customWidth="1"/>
    <col min="1543" max="1543" width="24.28515625" bestFit="1" customWidth="1"/>
    <col min="1544" max="1544" width="10.42578125" bestFit="1" customWidth="1"/>
    <col min="1793" max="1793" width="6.85546875" bestFit="1" customWidth="1"/>
    <col min="1794" max="1794" width="11.85546875" bestFit="1" customWidth="1"/>
    <col min="1796" max="1796" width="13.140625" bestFit="1" customWidth="1"/>
    <col min="1797" max="1797" width="11.85546875" bestFit="1" customWidth="1"/>
    <col min="1798" max="1798" width="15.5703125" bestFit="1" customWidth="1"/>
    <col min="1799" max="1799" width="24.28515625" bestFit="1" customWidth="1"/>
    <col min="1800" max="1800" width="10.42578125" bestFit="1" customWidth="1"/>
    <col min="2049" max="2049" width="6.85546875" bestFit="1" customWidth="1"/>
    <col min="2050" max="2050" width="11.85546875" bestFit="1" customWidth="1"/>
    <col min="2052" max="2052" width="13.140625" bestFit="1" customWidth="1"/>
    <col min="2053" max="2053" width="11.85546875" bestFit="1" customWidth="1"/>
    <col min="2054" max="2054" width="15.5703125" bestFit="1" customWidth="1"/>
    <col min="2055" max="2055" width="24.28515625" bestFit="1" customWidth="1"/>
    <col min="2056" max="2056" width="10.42578125" bestFit="1" customWidth="1"/>
    <col min="2305" max="2305" width="6.85546875" bestFit="1" customWidth="1"/>
    <col min="2306" max="2306" width="11.85546875" bestFit="1" customWidth="1"/>
    <col min="2308" max="2308" width="13.140625" bestFit="1" customWidth="1"/>
    <col min="2309" max="2309" width="11.85546875" bestFit="1" customWidth="1"/>
    <col min="2310" max="2310" width="15.5703125" bestFit="1" customWidth="1"/>
    <col min="2311" max="2311" width="24.28515625" bestFit="1" customWidth="1"/>
    <col min="2312" max="2312" width="10.42578125" bestFit="1" customWidth="1"/>
    <col min="2561" max="2561" width="6.85546875" bestFit="1" customWidth="1"/>
    <col min="2562" max="2562" width="11.85546875" bestFit="1" customWidth="1"/>
    <col min="2564" max="2564" width="13.140625" bestFit="1" customWidth="1"/>
    <col min="2565" max="2565" width="11.85546875" bestFit="1" customWidth="1"/>
    <col min="2566" max="2566" width="15.5703125" bestFit="1" customWidth="1"/>
    <col min="2567" max="2567" width="24.28515625" bestFit="1" customWidth="1"/>
    <col min="2568" max="2568" width="10.42578125" bestFit="1" customWidth="1"/>
    <col min="2817" max="2817" width="6.85546875" bestFit="1" customWidth="1"/>
    <col min="2818" max="2818" width="11.85546875" bestFit="1" customWidth="1"/>
    <col min="2820" max="2820" width="13.140625" bestFit="1" customWidth="1"/>
    <col min="2821" max="2821" width="11.85546875" bestFit="1" customWidth="1"/>
    <col min="2822" max="2822" width="15.5703125" bestFit="1" customWidth="1"/>
    <col min="2823" max="2823" width="24.28515625" bestFit="1" customWidth="1"/>
    <col min="2824" max="2824" width="10.42578125" bestFit="1" customWidth="1"/>
    <col min="3073" max="3073" width="6.85546875" bestFit="1" customWidth="1"/>
    <col min="3074" max="3074" width="11.85546875" bestFit="1" customWidth="1"/>
    <col min="3076" max="3076" width="13.140625" bestFit="1" customWidth="1"/>
    <col min="3077" max="3077" width="11.85546875" bestFit="1" customWidth="1"/>
    <col min="3078" max="3078" width="15.5703125" bestFit="1" customWidth="1"/>
    <col min="3079" max="3079" width="24.28515625" bestFit="1" customWidth="1"/>
    <col min="3080" max="3080" width="10.42578125" bestFit="1" customWidth="1"/>
    <col min="3329" max="3329" width="6.85546875" bestFit="1" customWidth="1"/>
    <col min="3330" max="3330" width="11.85546875" bestFit="1" customWidth="1"/>
    <col min="3332" max="3332" width="13.140625" bestFit="1" customWidth="1"/>
    <col min="3333" max="3333" width="11.85546875" bestFit="1" customWidth="1"/>
    <col min="3334" max="3334" width="15.5703125" bestFit="1" customWidth="1"/>
    <col min="3335" max="3335" width="24.28515625" bestFit="1" customWidth="1"/>
    <col min="3336" max="3336" width="10.42578125" bestFit="1" customWidth="1"/>
    <col min="3585" max="3585" width="6.85546875" bestFit="1" customWidth="1"/>
    <col min="3586" max="3586" width="11.85546875" bestFit="1" customWidth="1"/>
    <col min="3588" max="3588" width="13.140625" bestFit="1" customWidth="1"/>
    <col min="3589" max="3589" width="11.85546875" bestFit="1" customWidth="1"/>
    <col min="3590" max="3590" width="15.5703125" bestFit="1" customWidth="1"/>
    <col min="3591" max="3591" width="24.28515625" bestFit="1" customWidth="1"/>
    <col min="3592" max="3592" width="10.42578125" bestFit="1" customWidth="1"/>
    <col min="3841" max="3841" width="6.85546875" bestFit="1" customWidth="1"/>
    <col min="3842" max="3842" width="11.85546875" bestFit="1" customWidth="1"/>
    <col min="3844" max="3844" width="13.140625" bestFit="1" customWidth="1"/>
    <col min="3845" max="3845" width="11.85546875" bestFit="1" customWidth="1"/>
    <col min="3846" max="3846" width="15.5703125" bestFit="1" customWidth="1"/>
    <col min="3847" max="3847" width="24.28515625" bestFit="1" customWidth="1"/>
    <col min="3848" max="3848" width="10.42578125" bestFit="1" customWidth="1"/>
    <col min="4097" max="4097" width="6.85546875" bestFit="1" customWidth="1"/>
    <col min="4098" max="4098" width="11.85546875" bestFit="1" customWidth="1"/>
    <col min="4100" max="4100" width="13.140625" bestFit="1" customWidth="1"/>
    <col min="4101" max="4101" width="11.85546875" bestFit="1" customWidth="1"/>
    <col min="4102" max="4102" width="15.5703125" bestFit="1" customWidth="1"/>
    <col min="4103" max="4103" width="24.28515625" bestFit="1" customWidth="1"/>
    <col min="4104" max="4104" width="10.42578125" bestFit="1" customWidth="1"/>
    <col min="4353" max="4353" width="6.85546875" bestFit="1" customWidth="1"/>
    <col min="4354" max="4354" width="11.85546875" bestFit="1" customWidth="1"/>
    <col min="4356" max="4356" width="13.140625" bestFit="1" customWidth="1"/>
    <col min="4357" max="4357" width="11.85546875" bestFit="1" customWidth="1"/>
    <col min="4358" max="4358" width="15.5703125" bestFit="1" customWidth="1"/>
    <col min="4359" max="4359" width="24.28515625" bestFit="1" customWidth="1"/>
    <col min="4360" max="4360" width="10.42578125" bestFit="1" customWidth="1"/>
    <col min="4609" max="4609" width="6.85546875" bestFit="1" customWidth="1"/>
    <col min="4610" max="4610" width="11.85546875" bestFit="1" customWidth="1"/>
    <col min="4612" max="4612" width="13.140625" bestFit="1" customWidth="1"/>
    <col min="4613" max="4613" width="11.85546875" bestFit="1" customWidth="1"/>
    <col min="4614" max="4614" width="15.5703125" bestFit="1" customWidth="1"/>
    <col min="4615" max="4615" width="24.28515625" bestFit="1" customWidth="1"/>
    <col min="4616" max="4616" width="10.42578125" bestFit="1" customWidth="1"/>
    <col min="4865" max="4865" width="6.85546875" bestFit="1" customWidth="1"/>
    <col min="4866" max="4866" width="11.85546875" bestFit="1" customWidth="1"/>
    <col min="4868" max="4868" width="13.140625" bestFit="1" customWidth="1"/>
    <col min="4869" max="4869" width="11.85546875" bestFit="1" customWidth="1"/>
    <col min="4870" max="4870" width="15.5703125" bestFit="1" customWidth="1"/>
    <col min="4871" max="4871" width="24.28515625" bestFit="1" customWidth="1"/>
    <col min="4872" max="4872" width="10.42578125" bestFit="1" customWidth="1"/>
    <col min="5121" max="5121" width="6.85546875" bestFit="1" customWidth="1"/>
    <col min="5122" max="5122" width="11.85546875" bestFit="1" customWidth="1"/>
    <col min="5124" max="5124" width="13.140625" bestFit="1" customWidth="1"/>
    <col min="5125" max="5125" width="11.85546875" bestFit="1" customWidth="1"/>
    <col min="5126" max="5126" width="15.5703125" bestFit="1" customWidth="1"/>
    <col min="5127" max="5127" width="24.28515625" bestFit="1" customWidth="1"/>
    <col min="5128" max="5128" width="10.42578125" bestFit="1" customWidth="1"/>
    <col min="5377" max="5377" width="6.85546875" bestFit="1" customWidth="1"/>
    <col min="5378" max="5378" width="11.85546875" bestFit="1" customWidth="1"/>
    <col min="5380" max="5380" width="13.140625" bestFit="1" customWidth="1"/>
    <col min="5381" max="5381" width="11.85546875" bestFit="1" customWidth="1"/>
    <col min="5382" max="5382" width="15.5703125" bestFit="1" customWidth="1"/>
    <col min="5383" max="5383" width="24.28515625" bestFit="1" customWidth="1"/>
    <col min="5384" max="5384" width="10.42578125" bestFit="1" customWidth="1"/>
    <col min="5633" max="5633" width="6.85546875" bestFit="1" customWidth="1"/>
    <col min="5634" max="5634" width="11.85546875" bestFit="1" customWidth="1"/>
    <col min="5636" max="5636" width="13.140625" bestFit="1" customWidth="1"/>
    <col min="5637" max="5637" width="11.85546875" bestFit="1" customWidth="1"/>
    <col min="5638" max="5638" width="15.5703125" bestFit="1" customWidth="1"/>
    <col min="5639" max="5639" width="24.28515625" bestFit="1" customWidth="1"/>
    <col min="5640" max="5640" width="10.42578125" bestFit="1" customWidth="1"/>
    <col min="5889" max="5889" width="6.85546875" bestFit="1" customWidth="1"/>
    <col min="5890" max="5890" width="11.85546875" bestFit="1" customWidth="1"/>
    <col min="5892" max="5892" width="13.140625" bestFit="1" customWidth="1"/>
    <col min="5893" max="5893" width="11.85546875" bestFit="1" customWidth="1"/>
    <col min="5894" max="5894" width="15.5703125" bestFit="1" customWidth="1"/>
    <col min="5895" max="5895" width="24.28515625" bestFit="1" customWidth="1"/>
    <col min="5896" max="5896" width="10.42578125" bestFit="1" customWidth="1"/>
    <col min="6145" max="6145" width="6.85546875" bestFit="1" customWidth="1"/>
    <col min="6146" max="6146" width="11.85546875" bestFit="1" customWidth="1"/>
    <col min="6148" max="6148" width="13.140625" bestFit="1" customWidth="1"/>
    <col min="6149" max="6149" width="11.85546875" bestFit="1" customWidth="1"/>
    <col min="6150" max="6150" width="15.5703125" bestFit="1" customWidth="1"/>
    <col min="6151" max="6151" width="24.28515625" bestFit="1" customWidth="1"/>
    <col min="6152" max="6152" width="10.42578125" bestFit="1" customWidth="1"/>
    <col min="6401" max="6401" width="6.85546875" bestFit="1" customWidth="1"/>
    <col min="6402" max="6402" width="11.85546875" bestFit="1" customWidth="1"/>
    <col min="6404" max="6404" width="13.140625" bestFit="1" customWidth="1"/>
    <col min="6405" max="6405" width="11.85546875" bestFit="1" customWidth="1"/>
    <col min="6406" max="6406" width="15.5703125" bestFit="1" customWidth="1"/>
    <col min="6407" max="6407" width="24.28515625" bestFit="1" customWidth="1"/>
    <col min="6408" max="6408" width="10.42578125" bestFit="1" customWidth="1"/>
    <col min="6657" max="6657" width="6.85546875" bestFit="1" customWidth="1"/>
    <col min="6658" max="6658" width="11.85546875" bestFit="1" customWidth="1"/>
    <col min="6660" max="6660" width="13.140625" bestFit="1" customWidth="1"/>
    <col min="6661" max="6661" width="11.85546875" bestFit="1" customWidth="1"/>
    <col min="6662" max="6662" width="15.5703125" bestFit="1" customWidth="1"/>
    <col min="6663" max="6663" width="24.28515625" bestFit="1" customWidth="1"/>
    <col min="6664" max="6664" width="10.42578125" bestFit="1" customWidth="1"/>
    <col min="6913" max="6913" width="6.85546875" bestFit="1" customWidth="1"/>
    <col min="6914" max="6914" width="11.85546875" bestFit="1" customWidth="1"/>
    <col min="6916" max="6916" width="13.140625" bestFit="1" customWidth="1"/>
    <col min="6917" max="6917" width="11.85546875" bestFit="1" customWidth="1"/>
    <col min="6918" max="6918" width="15.5703125" bestFit="1" customWidth="1"/>
    <col min="6919" max="6919" width="24.28515625" bestFit="1" customWidth="1"/>
    <col min="6920" max="6920" width="10.42578125" bestFit="1" customWidth="1"/>
    <col min="7169" max="7169" width="6.85546875" bestFit="1" customWidth="1"/>
    <col min="7170" max="7170" width="11.85546875" bestFit="1" customWidth="1"/>
    <col min="7172" max="7172" width="13.140625" bestFit="1" customWidth="1"/>
    <col min="7173" max="7173" width="11.85546875" bestFit="1" customWidth="1"/>
    <col min="7174" max="7174" width="15.5703125" bestFit="1" customWidth="1"/>
    <col min="7175" max="7175" width="24.28515625" bestFit="1" customWidth="1"/>
    <col min="7176" max="7176" width="10.42578125" bestFit="1" customWidth="1"/>
    <col min="7425" max="7425" width="6.85546875" bestFit="1" customWidth="1"/>
    <col min="7426" max="7426" width="11.85546875" bestFit="1" customWidth="1"/>
    <col min="7428" max="7428" width="13.140625" bestFit="1" customWidth="1"/>
    <col min="7429" max="7429" width="11.85546875" bestFit="1" customWidth="1"/>
    <col min="7430" max="7430" width="15.5703125" bestFit="1" customWidth="1"/>
    <col min="7431" max="7431" width="24.28515625" bestFit="1" customWidth="1"/>
    <col min="7432" max="7432" width="10.42578125" bestFit="1" customWidth="1"/>
    <col min="7681" max="7681" width="6.85546875" bestFit="1" customWidth="1"/>
    <col min="7682" max="7682" width="11.85546875" bestFit="1" customWidth="1"/>
    <col min="7684" max="7684" width="13.140625" bestFit="1" customWidth="1"/>
    <col min="7685" max="7685" width="11.85546875" bestFit="1" customWidth="1"/>
    <col min="7686" max="7686" width="15.5703125" bestFit="1" customWidth="1"/>
    <col min="7687" max="7687" width="24.28515625" bestFit="1" customWidth="1"/>
    <col min="7688" max="7688" width="10.42578125" bestFit="1" customWidth="1"/>
    <col min="7937" max="7937" width="6.85546875" bestFit="1" customWidth="1"/>
    <col min="7938" max="7938" width="11.85546875" bestFit="1" customWidth="1"/>
    <col min="7940" max="7940" width="13.140625" bestFit="1" customWidth="1"/>
    <col min="7941" max="7941" width="11.85546875" bestFit="1" customWidth="1"/>
    <col min="7942" max="7942" width="15.5703125" bestFit="1" customWidth="1"/>
    <col min="7943" max="7943" width="24.28515625" bestFit="1" customWidth="1"/>
    <col min="7944" max="7944" width="10.42578125" bestFit="1" customWidth="1"/>
    <col min="8193" max="8193" width="6.85546875" bestFit="1" customWidth="1"/>
    <col min="8194" max="8194" width="11.85546875" bestFit="1" customWidth="1"/>
    <col min="8196" max="8196" width="13.140625" bestFit="1" customWidth="1"/>
    <col min="8197" max="8197" width="11.85546875" bestFit="1" customWidth="1"/>
    <col min="8198" max="8198" width="15.5703125" bestFit="1" customWidth="1"/>
    <col min="8199" max="8199" width="24.28515625" bestFit="1" customWidth="1"/>
    <col min="8200" max="8200" width="10.42578125" bestFit="1" customWidth="1"/>
    <col min="8449" max="8449" width="6.85546875" bestFit="1" customWidth="1"/>
    <col min="8450" max="8450" width="11.85546875" bestFit="1" customWidth="1"/>
    <col min="8452" max="8452" width="13.140625" bestFit="1" customWidth="1"/>
    <col min="8453" max="8453" width="11.85546875" bestFit="1" customWidth="1"/>
    <col min="8454" max="8454" width="15.5703125" bestFit="1" customWidth="1"/>
    <col min="8455" max="8455" width="24.28515625" bestFit="1" customWidth="1"/>
    <col min="8456" max="8456" width="10.42578125" bestFit="1" customWidth="1"/>
    <col min="8705" max="8705" width="6.85546875" bestFit="1" customWidth="1"/>
    <col min="8706" max="8706" width="11.85546875" bestFit="1" customWidth="1"/>
    <col min="8708" max="8708" width="13.140625" bestFit="1" customWidth="1"/>
    <col min="8709" max="8709" width="11.85546875" bestFit="1" customWidth="1"/>
    <col min="8710" max="8710" width="15.5703125" bestFit="1" customWidth="1"/>
    <col min="8711" max="8711" width="24.28515625" bestFit="1" customWidth="1"/>
    <col min="8712" max="8712" width="10.42578125" bestFit="1" customWidth="1"/>
    <col min="8961" max="8961" width="6.85546875" bestFit="1" customWidth="1"/>
    <col min="8962" max="8962" width="11.85546875" bestFit="1" customWidth="1"/>
    <col min="8964" max="8964" width="13.140625" bestFit="1" customWidth="1"/>
    <col min="8965" max="8965" width="11.85546875" bestFit="1" customWidth="1"/>
    <col min="8966" max="8966" width="15.5703125" bestFit="1" customWidth="1"/>
    <col min="8967" max="8967" width="24.28515625" bestFit="1" customWidth="1"/>
    <col min="8968" max="8968" width="10.42578125" bestFit="1" customWidth="1"/>
    <col min="9217" max="9217" width="6.85546875" bestFit="1" customWidth="1"/>
    <col min="9218" max="9218" width="11.85546875" bestFit="1" customWidth="1"/>
    <col min="9220" max="9220" width="13.140625" bestFit="1" customWidth="1"/>
    <col min="9221" max="9221" width="11.85546875" bestFit="1" customWidth="1"/>
    <col min="9222" max="9222" width="15.5703125" bestFit="1" customWidth="1"/>
    <col min="9223" max="9223" width="24.28515625" bestFit="1" customWidth="1"/>
    <col min="9224" max="9224" width="10.42578125" bestFit="1" customWidth="1"/>
    <col min="9473" max="9473" width="6.85546875" bestFit="1" customWidth="1"/>
    <col min="9474" max="9474" width="11.85546875" bestFit="1" customWidth="1"/>
    <col min="9476" max="9476" width="13.140625" bestFit="1" customWidth="1"/>
    <col min="9477" max="9477" width="11.85546875" bestFit="1" customWidth="1"/>
    <col min="9478" max="9478" width="15.5703125" bestFit="1" customWidth="1"/>
    <col min="9479" max="9479" width="24.28515625" bestFit="1" customWidth="1"/>
    <col min="9480" max="9480" width="10.42578125" bestFit="1" customWidth="1"/>
    <col min="9729" max="9729" width="6.85546875" bestFit="1" customWidth="1"/>
    <col min="9730" max="9730" width="11.85546875" bestFit="1" customWidth="1"/>
    <col min="9732" max="9732" width="13.140625" bestFit="1" customWidth="1"/>
    <col min="9733" max="9733" width="11.85546875" bestFit="1" customWidth="1"/>
    <col min="9734" max="9734" width="15.5703125" bestFit="1" customWidth="1"/>
    <col min="9735" max="9735" width="24.28515625" bestFit="1" customWidth="1"/>
    <col min="9736" max="9736" width="10.42578125" bestFit="1" customWidth="1"/>
    <col min="9985" max="9985" width="6.85546875" bestFit="1" customWidth="1"/>
    <col min="9986" max="9986" width="11.85546875" bestFit="1" customWidth="1"/>
    <col min="9988" max="9988" width="13.140625" bestFit="1" customWidth="1"/>
    <col min="9989" max="9989" width="11.85546875" bestFit="1" customWidth="1"/>
    <col min="9990" max="9990" width="15.5703125" bestFit="1" customWidth="1"/>
    <col min="9991" max="9991" width="24.28515625" bestFit="1" customWidth="1"/>
    <col min="9992" max="9992" width="10.42578125" bestFit="1" customWidth="1"/>
    <col min="10241" max="10241" width="6.85546875" bestFit="1" customWidth="1"/>
    <col min="10242" max="10242" width="11.85546875" bestFit="1" customWidth="1"/>
    <col min="10244" max="10244" width="13.140625" bestFit="1" customWidth="1"/>
    <col min="10245" max="10245" width="11.85546875" bestFit="1" customWidth="1"/>
    <col min="10246" max="10246" width="15.5703125" bestFit="1" customWidth="1"/>
    <col min="10247" max="10247" width="24.28515625" bestFit="1" customWidth="1"/>
    <col min="10248" max="10248" width="10.42578125" bestFit="1" customWidth="1"/>
    <col min="10497" max="10497" width="6.85546875" bestFit="1" customWidth="1"/>
    <col min="10498" max="10498" width="11.85546875" bestFit="1" customWidth="1"/>
    <col min="10500" max="10500" width="13.140625" bestFit="1" customWidth="1"/>
    <col min="10501" max="10501" width="11.85546875" bestFit="1" customWidth="1"/>
    <col min="10502" max="10502" width="15.5703125" bestFit="1" customWidth="1"/>
    <col min="10503" max="10503" width="24.28515625" bestFit="1" customWidth="1"/>
    <col min="10504" max="10504" width="10.42578125" bestFit="1" customWidth="1"/>
    <col min="10753" max="10753" width="6.85546875" bestFit="1" customWidth="1"/>
    <col min="10754" max="10754" width="11.85546875" bestFit="1" customWidth="1"/>
    <col min="10756" max="10756" width="13.140625" bestFit="1" customWidth="1"/>
    <col min="10757" max="10757" width="11.85546875" bestFit="1" customWidth="1"/>
    <col min="10758" max="10758" width="15.5703125" bestFit="1" customWidth="1"/>
    <col min="10759" max="10759" width="24.28515625" bestFit="1" customWidth="1"/>
    <col min="10760" max="10760" width="10.42578125" bestFit="1" customWidth="1"/>
    <col min="11009" max="11009" width="6.85546875" bestFit="1" customWidth="1"/>
    <col min="11010" max="11010" width="11.85546875" bestFit="1" customWidth="1"/>
    <col min="11012" max="11012" width="13.140625" bestFit="1" customWidth="1"/>
    <col min="11013" max="11013" width="11.85546875" bestFit="1" customWidth="1"/>
    <col min="11014" max="11014" width="15.5703125" bestFit="1" customWidth="1"/>
    <col min="11015" max="11015" width="24.28515625" bestFit="1" customWidth="1"/>
    <col min="11016" max="11016" width="10.42578125" bestFit="1" customWidth="1"/>
    <col min="11265" max="11265" width="6.85546875" bestFit="1" customWidth="1"/>
    <col min="11266" max="11266" width="11.85546875" bestFit="1" customWidth="1"/>
    <col min="11268" max="11268" width="13.140625" bestFit="1" customWidth="1"/>
    <col min="11269" max="11269" width="11.85546875" bestFit="1" customWidth="1"/>
    <col min="11270" max="11270" width="15.5703125" bestFit="1" customWidth="1"/>
    <col min="11271" max="11271" width="24.28515625" bestFit="1" customWidth="1"/>
    <col min="11272" max="11272" width="10.42578125" bestFit="1" customWidth="1"/>
    <col min="11521" max="11521" width="6.85546875" bestFit="1" customWidth="1"/>
    <col min="11522" max="11522" width="11.85546875" bestFit="1" customWidth="1"/>
    <col min="11524" max="11524" width="13.140625" bestFit="1" customWidth="1"/>
    <col min="11525" max="11525" width="11.85546875" bestFit="1" customWidth="1"/>
    <col min="11526" max="11526" width="15.5703125" bestFit="1" customWidth="1"/>
    <col min="11527" max="11527" width="24.28515625" bestFit="1" customWidth="1"/>
    <col min="11528" max="11528" width="10.42578125" bestFit="1" customWidth="1"/>
    <col min="11777" max="11777" width="6.85546875" bestFit="1" customWidth="1"/>
    <col min="11778" max="11778" width="11.85546875" bestFit="1" customWidth="1"/>
    <col min="11780" max="11780" width="13.140625" bestFit="1" customWidth="1"/>
    <col min="11781" max="11781" width="11.85546875" bestFit="1" customWidth="1"/>
    <col min="11782" max="11782" width="15.5703125" bestFit="1" customWidth="1"/>
    <col min="11783" max="11783" width="24.28515625" bestFit="1" customWidth="1"/>
    <col min="11784" max="11784" width="10.42578125" bestFit="1" customWidth="1"/>
    <col min="12033" max="12033" width="6.85546875" bestFit="1" customWidth="1"/>
    <col min="12034" max="12034" width="11.85546875" bestFit="1" customWidth="1"/>
    <col min="12036" max="12036" width="13.140625" bestFit="1" customWidth="1"/>
    <col min="12037" max="12037" width="11.85546875" bestFit="1" customWidth="1"/>
    <col min="12038" max="12038" width="15.5703125" bestFit="1" customWidth="1"/>
    <col min="12039" max="12039" width="24.28515625" bestFit="1" customWidth="1"/>
    <col min="12040" max="12040" width="10.42578125" bestFit="1" customWidth="1"/>
    <col min="12289" max="12289" width="6.85546875" bestFit="1" customWidth="1"/>
    <col min="12290" max="12290" width="11.85546875" bestFit="1" customWidth="1"/>
    <col min="12292" max="12292" width="13.140625" bestFit="1" customWidth="1"/>
    <col min="12293" max="12293" width="11.85546875" bestFit="1" customWidth="1"/>
    <col min="12294" max="12294" width="15.5703125" bestFit="1" customWidth="1"/>
    <col min="12295" max="12295" width="24.28515625" bestFit="1" customWidth="1"/>
    <col min="12296" max="12296" width="10.42578125" bestFit="1" customWidth="1"/>
    <col min="12545" max="12545" width="6.85546875" bestFit="1" customWidth="1"/>
    <col min="12546" max="12546" width="11.85546875" bestFit="1" customWidth="1"/>
    <col min="12548" max="12548" width="13.140625" bestFit="1" customWidth="1"/>
    <col min="12549" max="12549" width="11.85546875" bestFit="1" customWidth="1"/>
    <col min="12550" max="12550" width="15.5703125" bestFit="1" customWidth="1"/>
    <col min="12551" max="12551" width="24.28515625" bestFit="1" customWidth="1"/>
    <col min="12552" max="12552" width="10.42578125" bestFit="1" customWidth="1"/>
    <col min="12801" max="12801" width="6.85546875" bestFit="1" customWidth="1"/>
    <col min="12802" max="12802" width="11.85546875" bestFit="1" customWidth="1"/>
    <col min="12804" max="12804" width="13.140625" bestFit="1" customWidth="1"/>
    <col min="12805" max="12805" width="11.85546875" bestFit="1" customWidth="1"/>
    <col min="12806" max="12806" width="15.5703125" bestFit="1" customWidth="1"/>
    <col min="12807" max="12807" width="24.28515625" bestFit="1" customWidth="1"/>
    <col min="12808" max="12808" width="10.42578125" bestFit="1" customWidth="1"/>
    <col min="13057" max="13057" width="6.85546875" bestFit="1" customWidth="1"/>
    <col min="13058" max="13058" width="11.85546875" bestFit="1" customWidth="1"/>
    <col min="13060" max="13060" width="13.140625" bestFit="1" customWidth="1"/>
    <col min="13061" max="13061" width="11.85546875" bestFit="1" customWidth="1"/>
    <col min="13062" max="13062" width="15.5703125" bestFit="1" customWidth="1"/>
    <col min="13063" max="13063" width="24.28515625" bestFit="1" customWidth="1"/>
    <col min="13064" max="13064" width="10.42578125" bestFit="1" customWidth="1"/>
    <col min="13313" max="13313" width="6.85546875" bestFit="1" customWidth="1"/>
    <col min="13314" max="13314" width="11.85546875" bestFit="1" customWidth="1"/>
    <col min="13316" max="13316" width="13.140625" bestFit="1" customWidth="1"/>
    <col min="13317" max="13317" width="11.85546875" bestFit="1" customWidth="1"/>
    <col min="13318" max="13318" width="15.5703125" bestFit="1" customWidth="1"/>
    <col min="13319" max="13319" width="24.28515625" bestFit="1" customWidth="1"/>
    <col min="13320" max="13320" width="10.42578125" bestFit="1" customWidth="1"/>
    <col min="13569" max="13569" width="6.85546875" bestFit="1" customWidth="1"/>
    <col min="13570" max="13570" width="11.85546875" bestFit="1" customWidth="1"/>
    <col min="13572" max="13572" width="13.140625" bestFit="1" customWidth="1"/>
    <col min="13573" max="13573" width="11.85546875" bestFit="1" customWidth="1"/>
    <col min="13574" max="13574" width="15.5703125" bestFit="1" customWidth="1"/>
    <col min="13575" max="13575" width="24.28515625" bestFit="1" customWidth="1"/>
    <col min="13576" max="13576" width="10.42578125" bestFit="1" customWidth="1"/>
    <col min="13825" max="13825" width="6.85546875" bestFit="1" customWidth="1"/>
    <col min="13826" max="13826" width="11.85546875" bestFit="1" customWidth="1"/>
    <col min="13828" max="13828" width="13.140625" bestFit="1" customWidth="1"/>
    <col min="13829" max="13829" width="11.85546875" bestFit="1" customWidth="1"/>
    <col min="13830" max="13830" width="15.5703125" bestFit="1" customWidth="1"/>
    <col min="13831" max="13831" width="24.28515625" bestFit="1" customWidth="1"/>
    <col min="13832" max="13832" width="10.42578125" bestFit="1" customWidth="1"/>
    <col min="14081" max="14081" width="6.85546875" bestFit="1" customWidth="1"/>
    <col min="14082" max="14082" width="11.85546875" bestFit="1" customWidth="1"/>
    <col min="14084" max="14084" width="13.140625" bestFit="1" customWidth="1"/>
    <col min="14085" max="14085" width="11.85546875" bestFit="1" customWidth="1"/>
    <col min="14086" max="14086" width="15.5703125" bestFit="1" customWidth="1"/>
    <col min="14087" max="14087" width="24.28515625" bestFit="1" customWidth="1"/>
    <col min="14088" max="14088" width="10.42578125" bestFit="1" customWidth="1"/>
    <col min="14337" max="14337" width="6.85546875" bestFit="1" customWidth="1"/>
    <col min="14338" max="14338" width="11.85546875" bestFit="1" customWidth="1"/>
    <col min="14340" max="14340" width="13.140625" bestFit="1" customWidth="1"/>
    <col min="14341" max="14341" width="11.85546875" bestFit="1" customWidth="1"/>
    <col min="14342" max="14342" width="15.5703125" bestFit="1" customWidth="1"/>
    <col min="14343" max="14343" width="24.28515625" bestFit="1" customWidth="1"/>
    <col min="14344" max="14344" width="10.42578125" bestFit="1" customWidth="1"/>
    <col min="14593" max="14593" width="6.85546875" bestFit="1" customWidth="1"/>
    <col min="14594" max="14594" width="11.85546875" bestFit="1" customWidth="1"/>
    <col min="14596" max="14596" width="13.140625" bestFit="1" customWidth="1"/>
    <col min="14597" max="14597" width="11.85546875" bestFit="1" customWidth="1"/>
    <col min="14598" max="14598" width="15.5703125" bestFit="1" customWidth="1"/>
    <col min="14599" max="14599" width="24.28515625" bestFit="1" customWidth="1"/>
    <col min="14600" max="14600" width="10.42578125" bestFit="1" customWidth="1"/>
    <col min="14849" max="14849" width="6.85546875" bestFit="1" customWidth="1"/>
    <col min="14850" max="14850" width="11.85546875" bestFit="1" customWidth="1"/>
    <col min="14852" max="14852" width="13.140625" bestFit="1" customWidth="1"/>
    <col min="14853" max="14853" width="11.85546875" bestFit="1" customWidth="1"/>
    <col min="14854" max="14854" width="15.5703125" bestFit="1" customWidth="1"/>
    <col min="14855" max="14855" width="24.28515625" bestFit="1" customWidth="1"/>
    <col min="14856" max="14856" width="10.42578125" bestFit="1" customWidth="1"/>
    <col min="15105" max="15105" width="6.85546875" bestFit="1" customWidth="1"/>
    <col min="15106" max="15106" width="11.85546875" bestFit="1" customWidth="1"/>
    <col min="15108" max="15108" width="13.140625" bestFit="1" customWidth="1"/>
    <col min="15109" max="15109" width="11.85546875" bestFit="1" customWidth="1"/>
    <col min="15110" max="15110" width="15.5703125" bestFit="1" customWidth="1"/>
    <col min="15111" max="15111" width="24.28515625" bestFit="1" customWidth="1"/>
    <col min="15112" max="15112" width="10.42578125" bestFit="1" customWidth="1"/>
    <col min="15361" max="15361" width="6.85546875" bestFit="1" customWidth="1"/>
    <col min="15362" max="15362" width="11.85546875" bestFit="1" customWidth="1"/>
    <col min="15364" max="15364" width="13.140625" bestFit="1" customWidth="1"/>
    <col min="15365" max="15365" width="11.85546875" bestFit="1" customWidth="1"/>
    <col min="15366" max="15366" width="15.5703125" bestFit="1" customWidth="1"/>
    <col min="15367" max="15367" width="24.28515625" bestFit="1" customWidth="1"/>
    <col min="15368" max="15368" width="10.42578125" bestFit="1" customWidth="1"/>
    <col min="15617" max="15617" width="6.85546875" bestFit="1" customWidth="1"/>
    <col min="15618" max="15618" width="11.85546875" bestFit="1" customWidth="1"/>
    <col min="15620" max="15620" width="13.140625" bestFit="1" customWidth="1"/>
    <col min="15621" max="15621" width="11.85546875" bestFit="1" customWidth="1"/>
    <col min="15622" max="15622" width="15.5703125" bestFit="1" customWidth="1"/>
    <col min="15623" max="15623" width="24.28515625" bestFit="1" customWidth="1"/>
    <col min="15624" max="15624" width="10.42578125" bestFit="1" customWidth="1"/>
    <col min="15873" max="15873" width="6.85546875" bestFit="1" customWidth="1"/>
    <col min="15874" max="15874" width="11.85546875" bestFit="1" customWidth="1"/>
    <col min="15876" max="15876" width="13.140625" bestFit="1" customWidth="1"/>
    <col min="15877" max="15877" width="11.85546875" bestFit="1" customWidth="1"/>
    <col min="15878" max="15878" width="15.5703125" bestFit="1" customWidth="1"/>
    <col min="15879" max="15879" width="24.28515625" bestFit="1" customWidth="1"/>
    <col min="15880" max="15880" width="10.42578125" bestFit="1" customWidth="1"/>
    <col min="16129" max="16129" width="6.85546875" bestFit="1" customWidth="1"/>
    <col min="16130" max="16130" width="11.85546875" bestFit="1" customWidth="1"/>
    <col min="16132" max="16132" width="13.140625" bestFit="1" customWidth="1"/>
    <col min="16133" max="16133" width="11.85546875" bestFit="1" customWidth="1"/>
    <col min="16134" max="16134" width="15.5703125" bestFit="1" customWidth="1"/>
    <col min="16135" max="16135" width="24.28515625" bestFit="1" customWidth="1"/>
    <col min="16136" max="16136" width="10.42578125" bestFit="1" customWidth="1"/>
  </cols>
  <sheetData>
    <row r="1" spans="1:8" x14ac:dyDescent="0.25">
      <c r="B1" s="5" t="s">
        <v>84</v>
      </c>
      <c r="F1" s="5" t="s">
        <v>85</v>
      </c>
    </row>
    <row r="2" spans="1:8" x14ac:dyDescent="0.25">
      <c r="B2" s="8">
        <v>30</v>
      </c>
      <c r="F2" s="8">
        <v>12</v>
      </c>
    </row>
    <row r="4" spans="1:8" x14ac:dyDescent="0.25">
      <c r="A4" s="5" t="s">
        <v>86</v>
      </c>
      <c r="B4" s="5" t="s">
        <v>87</v>
      </c>
      <c r="C4" s="5" t="s">
        <v>88</v>
      </c>
      <c r="D4" s="5" t="s">
        <v>89</v>
      </c>
      <c r="E4" s="5" t="s">
        <v>90</v>
      </c>
      <c r="F4" s="5" t="s">
        <v>91</v>
      </c>
      <c r="G4" s="5" t="s">
        <v>92</v>
      </c>
      <c r="H4" s="27"/>
    </row>
    <row r="5" spans="1:8" x14ac:dyDescent="0.25">
      <c r="A5" s="8">
        <f>ROWS(A$5:A5)-1</f>
        <v>0</v>
      </c>
      <c r="B5" s="8"/>
      <c r="C5" s="8"/>
      <c r="D5" s="8"/>
      <c r="E5" s="41">
        <v>100000</v>
      </c>
      <c r="F5" s="8"/>
      <c r="G5" s="8"/>
    </row>
    <row r="6" spans="1:8" x14ac:dyDescent="0.25">
      <c r="A6" s="8">
        <f>ROWS(A$5:A6)-1</f>
        <v>1</v>
      </c>
      <c r="B6" s="42">
        <f>-PMT(F6/$F$2,COUNT(A6:$A$365),E5)</f>
        <v>840.85420717874808</v>
      </c>
      <c r="C6" s="42">
        <f>E5*F6/$F$2</f>
        <v>791.66666666666663</v>
      </c>
      <c r="D6" s="42">
        <f>B6-C6</f>
        <v>49.187540512081455</v>
      </c>
      <c r="E6" s="42">
        <f t="shared" ref="E6:E69" si="0">E5-D6-G6</f>
        <v>99950.812459487919</v>
      </c>
      <c r="F6" s="8">
        <v>9.5000000000000001E-2</v>
      </c>
      <c r="G6" s="41"/>
    </row>
    <row r="7" spans="1:8" x14ac:dyDescent="0.25">
      <c r="A7" s="8">
        <f>ROWS(A$5:A7)-1</f>
        <v>2</v>
      </c>
      <c r="B7" s="42">
        <f>-PMT(F7/$F$2,COUNT(A7:$A$365),E6)</f>
        <v>840.8542071787482</v>
      </c>
      <c r="C7" s="42">
        <f t="shared" ref="C7:C70" si="1">E6*F7/$F$2</f>
        <v>791.27726530427935</v>
      </c>
      <c r="D7" s="42">
        <f t="shared" ref="D7:D70" si="2">B7-C7</f>
        <v>49.576941874468844</v>
      </c>
      <c r="E7" s="42">
        <f t="shared" si="0"/>
        <v>99901.235517613444</v>
      </c>
      <c r="F7" s="8">
        <v>9.5000000000000001E-2</v>
      </c>
      <c r="G7" s="41"/>
    </row>
    <row r="8" spans="1:8" x14ac:dyDescent="0.25">
      <c r="A8" s="8">
        <f>ROWS(A$5:A8)-1</f>
        <v>3</v>
      </c>
      <c r="B8" s="42">
        <f>-PMT(F8/$F$2,COUNT(A8:$A$365),E7)</f>
        <v>840.85420717874808</v>
      </c>
      <c r="C8" s="42">
        <f t="shared" si="1"/>
        <v>790.88478118110652</v>
      </c>
      <c r="D8" s="42">
        <f t="shared" si="2"/>
        <v>49.969425997641565</v>
      </c>
      <c r="E8" s="42">
        <f t="shared" si="0"/>
        <v>99851.266091615806</v>
      </c>
      <c r="F8" s="8">
        <v>9.5000000000000001E-2</v>
      </c>
      <c r="G8" s="41"/>
    </row>
    <row r="9" spans="1:8" x14ac:dyDescent="0.25">
      <c r="A9" s="8">
        <f>ROWS(A$5:A9)-1</f>
        <v>4</v>
      </c>
      <c r="B9" s="42">
        <f>-PMT(F9/$F$2,COUNT(A9:$A$365),E8)</f>
        <v>840.8542071787482</v>
      </c>
      <c r="C9" s="42">
        <f t="shared" si="1"/>
        <v>790.48918989195852</v>
      </c>
      <c r="D9" s="42">
        <f t="shared" si="2"/>
        <v>50.36501728678968</v>
      </c>
      <c r="E9" s="42">
        <f t="shared" si="0"/>
        <v>99800.901074329013</v>
      </c>
      <c r="F9" s="8">
        <v>9.5000000000000001E-2</v>
      </c>
      <c r="G9" s="41"/>
    </row>
    <row r="10" spans="1:8" x14ac:dyDescent="0.25">
      <c r="A10" s="8">
        <f>ROWS(A$5:A10)-1</f>
        <v>5</v>
      </c>
      <c r="B10" s="42">
        <f>-PMT(F10/$F$2,COUNT(A10:$A$365),E9)</f>
        <v>840.85420717874808</v>
      </c>
      <c r="C10" s="42">
        <f t="shared" si="1"/>
        <v>790.09046683843792</v>
      </c>
      <c r="D10" s="42">
        <f t="shared" si="2"/>
        <v>50.763740340310164</v>
      </c>
      <c r="E10" s="42">
        <f t="shared" si="0"/>
        <v>99750.137333988707</v>
      </c>
      <c r="F10" s="8">
        <v>9.5000000000000001E-2</v>
      </c>
      <c r="G10" s="41"/>
    </row>
    <row r="11" spans="1:8" x14ac:dyDescent="0.25">
      <c r="A11" s="8">
        <f>ROWS(A$5:A11)-1</f>
        <v>6</v>
      </c>
      <c r="B11" s="42">
        <f>-PMT(F11/$F$2,COUNT(A11:$A$365),E10)</f>
        <v>840.85420717874808</v>
      </c>
      <c r="C11" s="42">
        <f t="shared" si="1"/>
        <v>789.68858722741061</v>
      </c>
      <c r="D11" s="42">
        <f t="shared" si="2"/>
        <v>51.165619951337476</v>
      </c>
      <c r="E11" s="42">
        <f t="shared" si="0"/>
        <v>74698.971714037369</v>
      </c>
      <c r="F11" s="8">
        <v>9.5000000000000001E-2</v>
      </c>
      <c r="G11" s="41">
        <v>25000</v>
      </c>
    </row>
    <row r="12" spans="1:8" x14ac:dyDescent="0.25">
      <c r="A12" s="8">
        <f>ROWS(A$5:A12)-1</f>
        <v>7</v>
      </c>
      <c r="B12" s="42">
        <f>-PMT(F12/$F$2,COUNT(A12:$A$365),E11)</f>
        <v>630.0059424668168</v>
      </c>
      <c r="C12" s="42">
        <f t="shared" si="1"/>
        <v>591.36685940279585</v>
      </c>
      <c r="D12" s="42">
        <f t="shared" si="2"/>
        <v>38.639083064020951</v>
      </c>
      <c r="E12" s="42">
        <f t="shared" si="0"/>
        <v>74660.332630973353</v>
      </c>
      <c r="F12" s="8">
        <v>9.5000000000000001E-2</v>
      </c>
      <c r="G12" s="41"/>
    </row>
    <row r="13" spans="1:8" x14ac:dyDescent="0.25">
      <c r="A13" s="8">
        <f>ROWS(A$5:A13)-1</f>
        <v>8</v>
      </c>
      <c r="B13" s="42">
        <f>-PMT(F13/$F$2,COUNT(A13:$A$365),E12)</f>
        <v>630.00594246681692</v>
      </c>
      <c r="C13" s="42">
        <f t="shared" si="1"/>
        <v>591.06096666187238</v>
      </c>
      <c r="D13" s="42">
        <f t="shared" si="2"/>
        <v>38.944975804944534</v>
      </c>
      <c r="E13" s="42">
        <f t="shared" si="0"/>
        <v>74621.387655168408</v>
      </c>
      <c r="F13" s="8">
        <v>9.5000000000000001E-2</v>
      </c>
      <c r="G13" s="41"/>
    </row>
    <row r="14" spans="1:8" x14ac:dyDescent="0.25">
      <c r="A14" s="8">
        <f>ROWS(A$5:A14)-1</f>
        <v>9</v>
      </c>
      <c r="B14" s="42">
        <f>-PMT(F14/$F$2,COUNT(A14:$A$365),E13)</f>
        <v>630.00594246681692</v>
      </c>
      <c r="C14" s="42">
        <f t="shared" si="1"/>
        <v>590.75265227008322</v>
      </c>
      <c r="D14" s="42">
        <f t="shared" si="2"/>
        <v>39.253290196733701</v>
      </c>
      <c r="E14" s="42">
        <f t="shared" si="0"/>
        <v>74582.134364971673</v>
      </c>
      <c r="F14" s="8">
        <v>9.5000000000000001E-2</v>
      </c>
      <c r="G14" s="41"/>
    </row>
    <row r="15" spans="1:8" x14ac:dyDescent="0.25">
      <c r="A15" s="8">
        <f>ROWS(A$5:A15)-1</f>
        <v>10</v>
      </c>
      <c r="B15" s="42">
        <f>-PMT(F15/$F$2,COUNT(A15:$A$365),E14)</f>
        <v>630.0059424668168</v>
      </c>
      <c r="C15" s="42">
        <f t="shared" si="1"/>
        <v>590.44189705602582</v>
      </c>
      <c r="D15" s="42">
        <f t="shared" si="2"/>
        <v>39.564045410790982</v>
      </c>
      <c r="E15" s="42">
        <f t="shared" si="0"/>
        <v>74542.57031956088</v>
      </c>
      <c r="F15" s="8">
        <v>9.5000000000000001E-2</v>
      </c>
      <c r="G15" s="41"/>
    </row>
    <row r="16" spans="1:8" x14ac:dyDescent="0.25">
      <c r="A16" s="8">
        <f>ROWS(A$5:A16)-1</f>
        <v>11</v>
      </c>
      <c r="B16" s="42">
        <f>-PMT(F16/$F$2,COUNT(A16:$A$365),E15)</f>
        <v>630.00594246681692</v>
      </c>
      <c r="C16" s="42">
        <f t="shared" si="1"/>
        <v>590.12868169652359</v>
      </c>
      <c r="D16" s="42">
        <f t="shared" si="2"/>
        <v>39.877260770293333</v>
      </c>
      <c r="E16" s="42">
        <f t="shared" si="0"/>
        <v>74502.693058790581</v>
      </c>
      <c r="F16" s="8">
        <v>9.5000000000000001E-2</v>
      </c>
      <c r="G16" s="41"/>
    </row>
    <row r="17" spans="1:7" x14ac:dyDescent="0.25">
      <c r="A17" s="8">
        <f>ROWS(A$5:A17)-1</f>
        <v>12</v>
      </c>
      <c r="B17" s="42">
        <f>-PMT(F17/$F$2,COUNT(A17:$A$365),E16)</f>
        <v>630.0059424668168</v>
      </c>
      <c r="C17" s="42">
        <f t="shared" si="1"/>
        <v>589.81298671542538</v>
      </c>
      <c r="D17" s="42">
        <f t="shared" si="2"/>
        <v>40.192955751391423</v>
      </c>
      <c r="E17" s="42">
        <f t="shared" si="0"/>
        <v>74462.500103039187</v>
      </c>
      <c r="F17" s="8">
        <v>9.5000000000000001E-2</v>
      </c>
      <c r="G17" s="41"/>
    </row>
    <row r="18" spans="1:7" x14ac:dyDescent="0.25">
      <c r="A18" s="8">
        <f>ROWS(A$5:A18)-1</f>
        <v>13</v>
      </c>
      <c r="B18" s="42">
        <f>-PMT(F18/$F$2,COUNT(A18:$A$365),E17)</f>
        <v>657.11448995278238</v>
      </c>
      <c r="C18" s="42">
        <f t="shared" si="1"/>
        <v>620.52083419199323</v>
      </c>
      <c r="D18" s="42">
        <f t="shared" si="2"/>
        <v>36.593655760789147</v>
      </c>
      <c r="E18" s="42">
        <f t="shared" si="0"/>
        <v>74425.906447278394</v>
      </c>
      <c r="F18" s="8">
        <v>0.1</v>
      </c>
      <c r="G18" s="41"/>
    </row>
    <row r="19" spans="1:7" x14ac:dyDescent="0.25">
      <c r="A19" s="8">
        <f>ROWS(A$5:A19)-1</f>
        <v>14</v>
      </c>
      <c r="B19" s="42">
        <f>-PMT(F19/$F$2,COUNT(A19:$A$365),E18)</f>
        <v>657.11448995278238</v>
      </c>
      <c r="C19" s="42">
        <f t="shared" si="1"/>
        <v>620.21588706065324</v>
      </c>
      <c r="D19" s="42">
        <f t="shared" si="2"/>
        <v>36.898602892129134</v>
      </c>
      <c r="E19" s="42">
        <f t="shared" si="0"/>
        <v>74389.007844386259</v>
      </c>
      <c r="F19" s="8">
        <v>0.1</v>
      </c>
      <c r="G19" s="41"/>
    </row>
    <row r="20" spans="1:7" x14ac:dyDescent="0.25">
      <c r="A20" s="8">
        <f>ROWS(A$5:A20)-1</f>
        <v>15</v>
      </c>
      <c r="B20" s="42">
        <f>-PMT(F20/$F$2,COUNT(A20:$A$365),E19)</f>
        <v>657.11448995278238</v>
      </c>
      <c r="C20" s="42">
        <f t="shared" si="1"/>
        <v>619.90839870321884</v>
      </c>
      <c r="D20" s="42">
        <f t="shared" si="2"/>
        <v>37.206091249563542</v>
      </c>
      <c r="E20" s="42">
        <f t="shared" si="0"/>
        <v>74351.801753136693</v>
      </c>
      <c r="F20" s="8">
        <v>0.1</v>
      </c>
      <c r="G20" s="41"/>
    </row>
    <row r="21" spans="1:7" x14ac:dyDescent="0.25">
      <c r="A21" s="8">
        <f>ROWS(A$5:A21)-1</f>
        <v>16</v>
      </c>
      <c r="B21" s="42">
        <f>-PMT(F21/$F$2,COUNT(A21:$A$365),E20)</f>
        <v>657.11448995278238</v>
      </c>
      <c r="C21" s="42">
        <f t="shared" si="1"/>
        <v>619.59834794280584</v>
      </c>
      <c r="D21" s="42">
        <f t="shared" si="2"/>
        <v>37.516142009976534</v>
      </c>
      <c r="E21" s="42">
        <f t="shared" si="0"/>
        <v>74314.285611126717</v>
      </c>
      <c r="F21" s="8">
        <v>0.1</v>
      </c>
      <c r="G21" s="41"/>
    </row>
    <row r="22" spans="1:7" x14ac:dyDescent="0.25">
      <c r="A22" s="8">
        <f>ROWS(A$5:A22)-1</f>
        <v>17</v>
      </c>
      <c r="B22" s="42">
        <f>-PMT(F22/$F$2,COUNT(A22:$A$365),E21)</f>
        <v>657.11448995278238</v>
      </c>
      <c r="C22" s="42">
        <f t="shared" si="1"/>
        <v>619.28571342605608</v>
      </c>
      <c r="D22" s="42">
        <f t="shared" si="2"/>
        <v>37.828776526726301</v>
      </c>
      <c r="E22" s="42">
        <f t="shared" si="0"/>
        <v>74276.456834599987</v>
      </c>
      <c r="F22" s="8">
        <v>0.1</v>
      </c>
      <c r="G22" s="41"/>
    </row>
    <row r="23" spans="1:7" x14ac:dyDescent="0.25">
      <c r="A23" s="8">
        <f>ROWS(A$5:A23)-1</f>
        <v>18</v>
      </c>
      <c r="B23" s="42">
        <f>-PMT(F23/$F$2,COUNT(A23:$A$365),E22)</f>
        <v>657.11448995278226</v>
      </c>
      <c r="C23" s="42">
        <f t="shared" si="1"/>
        <v>618.97047362166666</v>
      </c>
      <c r="D23" s="42">
        <f t="shared" si="2"/>
        <v>38.144016331115608</v>
      </c>
      <c r="E23" s="42">
        <f t="shared" si="0"/>
        <v>74238.312818268867</v>
      </c>
      <c r="F23" s="8">
        <v>0.1</v>
      </c>
      <c r="G23" s="41"/>
    </row>
    <row r="24" spans="1:7" x14ac:dyDescent="0.25">
      <c r="A24" s="8">
        <f>ROWS(A$5:A24)-1</f>
        <v>19</v>
      </c>
      <c r="B24" s="42">
        <f>-PMT(F24/$F$2,COUNT(A24:$A$365),E23)</f>
        <v>657.11448995278226</v>
      </c>
      <c r="C24" s="42">
        <f t="shared" si="1"/>
        <v>618.6526068189072</v>
      </c>
      <c r="D24" s="42">
        <f t="shared" si="2"/>
        <v>38.461883133875062</v>
      </c>
      <c r="E24" s="42">
        <f t="shared" si="0"/>
        <v>74199.850935134993</v>
      </c>
      <c r="F24" s="8">
        <v>0.1</v>
      </c>
      <c r="G24" s="41"/>
    </row>
    <row r="25" spans="1:7" x14ac:dyDescent="0.25">
      <c r="A25" s="8">
        <f>ROWS(A$5:A25)-1</f>
        <v>20</v>
      </c>
      <c r="B25" s="42">
        <f>-PMT(F25/$F$2,COUNT(A25:$A$365),E24)</f>
        <v>657.11448995278226</v>
      </c>
      <c r="C25" s="42">
        <f t="shared" si="1"/>
        <v>618.33209112612496</v>
      </c>
      <c r="D25" s="42">
        <f t="shared" si="2"/>
        <v>38.7823988266573</v>
      </c>
      <c r="E25" s="42">
        <f t="shared" si="0"/>
        <v>74161.068536308332</v>
      </c>
      <c r="F25" s="8">
        <v>0.1</v>
      </c>
      <c r="G25" s="41"/>
    </row>
    <row r="26" spans="1:7" x14ac:dyDescent="0.25">
      <c r="A26" s="8">
        <f>ROWS(A$5:A26)-1</f>
        <v>21</v>
      </c>
      <c r="B26" s="42">
        <f>-PMT(F26/$F$2,COUNT(A26:$A$365),E25)</f>
        <v>657.11448995278226</v>
      </c>
      <c r="C26" s="42">
        <f t="shared" si="1"/>
        <v>618.0089044692362</v>
      </c>
      <c r="D26" s="42">
        <f t="shared" si="2"/>
        <v>39.105585483546065</v>
      </c>
      <c r="E26" s="42">
        <f t="shared" si="0"/>
        <v>74121.962950824789</v>
      </c>
      <c r="F26" s="8">
        <v>0.1</v>
      </c>
      <c r="G26" s="41"/>
    </row>
    <row r="27" spans="1:7" x14ac:dyDescent="0.25">
      <c r="A27" s="8">
        <f>ROWS(A$5:A27)-1</f>
        <v>22</v>
      </c>
      <c r="B27" s="42">
        <f>-PMT(F27/$F$2,COUNT(A27:$A$365),E26)</f>
        <v>657.11448995278226</v>
      </c>
      <c r="C27" s="42">
        <f t="shared" si="1"/>
        <v>617.68302459020663</v>
      </c>
      <c r="D27" s="42">
        <f t="shared" si="2"/>
        <v>39.431465362575636</v>
      </c>
      <c r="E27" s="42">
        <f t="shared" si="0"/>
        <v>74082.531485462212</v>
      </c>
      <c r="F27" s="8">
        <v>0.1</v>
      </c>
      <c r="G27" s="41"/>
    </row>
    <row r="28" spans="1:7" x14ac:dyDescent="0.25">
      <c r="A28" s="8">
        <f>ROWS(A$5:A28)-1</f>
        <v>23</v>
      </c>
      <c r="B28" s="42">
        <f>-PMT(F28/$F$2,COUNT(A28:$A$365),E27)</f>
        <v>657.11448995278226</v>
      </c>
      <c r="C28" s="42">
        <f t="shared" si="1"/>
        <v>617.35442904551849</v>
      </c>
      <c r="D28" s="42">
        <f t="shared" si="2"/>
        <v>39.760060907263778</v>
      </c>
      <c r="E28" s="42">
        <f t="shared" si="0"/>
        <v>74042.771424554943</v>
      </c>
      <c r="F28" s="8">
        <v>0.1</v>
      </c>
      <c r="G28" s="41"/>
    </row>
    <row r="29" spans="1:7" x14ac:dyDescent="0.25">
      <c r="A29" s="8">
        <f>ROWS(A$5:A29)-1</f>
        <v>24</v>
      </c>
      <c r="B29" s="42">
        <f>-PMT(F29/$F$2,COUNT(A29:$A$365),E28)</f>
        <v>657.11448995278226</v>
      </c>
      <c r="C29" s="42">
        <f t="shared" si="1"/>
        <v>617.02309520462461</v>
      </c>
      <c r="D29" s="42">
        <f t="shared" si="2"/>
        <v>40.091394748157654</v>
      </c>
      <c r="E29" s="42">
        <f t="shared" si="0"/>
        <v>74002.680029806783</v>
      </c>
      <c r="F29" s="8">
        <v>0.1</v>
      </c>
      <c r="G29" s="41"/>
    </row>
    <row r="30" spans="1:7" x14ac:dyDescent="0.25">
      <c r="A30" s="8">
        <f>ROWS(A$5:A30)-1</f>
        <v>25</v>
      </c>
      <c r="B30" s="42">
        <f>-PMT(F30/$F$2,COUNT(A30:$A$365),E29)</f>
        <v>657.11448995278215</v>
      </c>
      <c r="C30" s="42">
        <f t="shared" si="1"/>
        <v>616.6890002483899</v>
      </c>
      <c r="D30" s="42">
        <f t="shared" si="2"/>
        <v>40.425489704392248</v>
      </c>
      <c r="E30" s="42">
        <f t="shared" si="0"/>
        <v>73962.254540102396</v>
      </c>
      <c r="F30" s="8">
        <v>0.1</v>
      </c>
      <c r="G30" s="41"/>
    </row>
    <row r="31" spans="1:7" x14ac:dyDescent="0.25">
      <c r="A31" s="8">
        <f>ROWS(A$5:A31)-1</f>
        <v>26</v>
      </c>
      <c r="B31" s="42">
        <f>-PMT(F31/$F$2,COUNT(A31:$A$365),E30)</f>
        <v>657.11448995278226</v>
      </c>
      <c r="C31" s="42">
        <f t="shared" si="1"/>
        <v>616.35212116752007</v>
      </c>
      <c r="D31" s="42">
        <f t="shared" si="2"/>
        <v>40.762368785262197</v>
      </c>
      <c r="E31" s="42">
        <f t="shared" si="0"/>
        <v>73921.492171317135</v>
      </c>
      <c r="F31" s="8">
        <v>0.1</v>
      </c>
      <c r="G31" s="41"/>
    </row>
    <row r="32" spans="1:7" x14ac:dyDescent="0.25">
      <c r="A32" s="8">
        <f>ROWS(A$5:A32)-1</f>
        <v>27</v>
      </c>
      <c r="B32" s="42">
        <f>-PMT(F32/$F$2,COUNT(A32:$A$365),E31)</f>
        <v>657.11448995278226</v>
      </c>
      <c r="C32" s="42">
        <f t="shared" si="1"/>
        <v>616.01243476097613</v>
      </c>
      <c r="D32" s="42">
        <f t="shared" si="2"/>
        <v>41.10205519180613</v>
      </c>
      <c r="E32" s="42">
        <f t="shared" si="0"/>
        <v>73880.390116125331</v>
      </c>
      <c r="F32" s="8">
        <v>0.1</v>
      </c>
      <c r="G32" s="41"/>
    </row>
    <row r="33" spans="1:7" x14ac:dyDescent="0.25">
      <c r="A33" s="8">
        <f>ROWS(A$5:A33)-1</f>
        <v>28</v>
      </c>
      <c r="B33" s="42">
        <f>-PMT(F33/$F$2,COUNT(A33:$A$365),E32)</f>
        <v>657.11448995278226</v>
      </c>
      <c r="C33" s="42">
        <f t="shared" si="1"/>
        <v>615.66991763437784</v>
      </c>
      <c r="D33" s="42">
        <f t="shared" si="2"/>
        <v>41.444572318404425</v>
      </c>
      <c r="E33" s="42">
        <f t="shared" si="0"/>
        <v>73838.945543806927</v>
      </c>
      <c r="F33" s="8">
        <v>0.1</v>
      </c>
      <c r="G33" s="41"/>
    </row>
    <row r="34" spans="1:7" x14ac:dyDescent="0.25">
      <c r="A34" s="8">
        <f>ROWS(A$5:A34)-1</f>
        <v>29</v>
      </c>
      <c r="B34" s="42">
        <f>-PMT(F34/$F$2,COUNT(A34:$A$365),E33)</f>
        <v>657.11448995278226</v>
      </c>
      <c r="C34" s="42">
        <f t="shared" si="1"/>
        <v>615.32454619839109</v>
      </c>
      <c r="D34" s="42">
        <f t="shared" si="2"/>
        <v>41.789943754391174</v>
      </c>
      <c r="E34" s="42">
        <f t="shared" si="0"/>
        <v>73797.155600052531</v>
      </c>
      <c r="F34" s="8">
        <v>0.1</v>
      </c>
      <c r="G34" s="41"/>
    </row>
    <row r="35" spans="1:7" x14ac:dyDescent="0.25">
      <c r="A35" s="8">
        <f>ROWS(A$5:A35)-1</f>
        <v>30</v>
      </c>
      <c r="B35" s="42">
        <f>-PMT(F35/$F$2,COUNT(A35:$A$365),E34)</f>
        <v>657.11448995278226</v>
      </c>
      <c r="C35" s="42">
        <f t="shared" si="1"/>
        <v>614.97629666710452</v>
      </c>
      <c r="D35" s="42">
        <f t="shared" si="2"/>
        <v>42.138193285677744</v>
      </c>
      <c r="E35" s="42">
        <f t="shared" si="0"/>
        <v>73755.017406766856</v>
      </c>
      <c r="F35" s="8">
        <v>0.1</v>
      </c>
      <c r="G35" s="41"/>
    </row>
    <row r="36" spans="1:7" x14ac:dyDescent="0.25">
      <c r="A36" s="8">
        <f>ROWS(A$5:A36)-1</f>
        <v>31</v>
      </c>
      <c r="B36" s="42">
        <f>-PMT(F36/$F$2,COUNT(A36:$A$365),E35)</f>
        <v>657.11448995278226</v>
      </c>
      <c r="C36" s="42">
        <f t="shared" si="1"/>
        <v>614.62514505639047</v>
      </c>
      <c r="D36" s="42">
        <f t="shared" si="2"/>
        <v>42.489344896391799</v>
      </c>
      <c r="E36" s="42">
        <f t="shared" si="0"/>
        <v>73712.528061870471</v>
      </c>
      <c r="F36" s="8">
        <v>0.1</v>
      </c>
      <c r="G36" s="41"/>
    </row>
    <row r="37" spans="1:7" x14ac:dyDescent="0.25">
      <c r="A37" s="8">
        <f>ROWS(A$5:A37)-1</f>
        <v>32</v>
      </c>
      <c r="B37" s="42">
        <f>-PMT(F37/$F$2,COUNT(A37:$A$365),E36)</f>
        <v>657.11448995278238</v>
      </c>
      <c r="C37" s="42">
        <f t="shared" si="1"/>
        <v>614.27106718225389</v>
      </c>
      <c r="D37" s="42">
        <f t="shared" si="2"/>
        <v>42.843422770528491</v>
      </c>
      <c r="E37" s="42">
        <f t="shared" si="0"/>
        <v>73669.684639099942</v>
      </c>
      <c r="F37" s="8">
        <v>0.1</v>
      </c>
      <c r="G37" s="41"/>
    </row>
    <row r="38" spans="1:7" x14ac:dyDescent="0.25">
      <c r="A38" s="8">
        <f>ROWS(A$5:A38)-1</f>
        <v>33</v>
      </c>
      <c r="B38" s="42">
        <f>-PMT(F38/$F$2,COUNT(A38:$A$365),E37)</f>
        <v>657.11448995278238</v>
      </c>
      <c r="C38" s="42">
        <f t="shared" si="1"/>
        <v>613.91403865916618</v>
      </c>
      <c r="D38" s="42">
        <f t="shared" si="2"/>
        <v>43.200451293616197</v>
      </c>
      <c r="E38" s="42">
        <f t="shared" si="0"/>
        <v>73626.484187806331</v>
      </c>
      <c r="F38" s="8">
        <v>0.1</v>
      </c>
      <c r="G38" s="41"/>
    </row>
    <row r="39" spans="1:7" x14ac:dyDescent="0.25">
      <c r="A39" s="8">
        <f>ROWS(A$5:A39)-1</f>
        <v>34</v>
      </c>
      <c r="B39" s="42">
        <f>-PMT(F39/$F$2,COUNT(A39:$A$365),E38)</f>
        <v>657.11448995278238</v>
      </c>
      <c r="C39" s="42">
        <f t="shared" si="1"/>
        <v>613.55403489838613</v>
      </c>
      <c r="D39" s="42">
        <f t="shared" si="2"/>
        <v>43.560455054396243</v>
      </c>
      <c r="E39" s="42">
        <f t="shared" si="0"/>
        <v>73582.923732751937</v>
      </c>
      <c r="F39" s="8">
        <v>0.1</v>
      </c>
      <c r="G39" s="41"/>
    </row>
    <row r="40" spans="1:7" x14ac:dyDescent="0.25">
      <c r="A40" s="8">
        <f>ROWS(A$5:A40)-1</f>
        <v>35</v>
      </c>
      <c r="B40" s="42">
        <f>-PMT(F40/$F$2,COUNT(A40:$A$365),E39)</f>
        <v>657.11448995278238</v>
      </c>
      <c r="C40" s="42">
        <f t="shared" si="1"/>
        <v>613.19103110626622</v>
      </c>
      <c r="D40" s="42">
        <f t="shared" si="2"/>
        <v>43.923458846516155</v>
      </c>
      <c r="E40" s="42">
        <f t="shared" si="0"/>
        <v>73539.000273905418</v>
      </c>
      <c r="F40" s="8">
        <v>0.1</v>
      </c>
      <c r="G40" s="41"/>
    </row>
    <row r="41" spans="1:7" x14ac:dyDescent="0.25">
      <c r="A41" s="8">
        <f>ROWS(A$5:A41)-1</f>
        <v>36</v>
      </c>
      <c r="B41" s="42">
        <f>-PMT(F41/$F$2,COUNT(A41:$A$365),E40)</f>
        <v>657.11448995278238</v>
      </c>
      <c r="C41" s="42">
        <f t="shared" si="1"/>
        <v>612.82500228254514</v>
      </c>
      <c r="D41" s="42">
        <f t="shared" si="2"/>
        <v>44.289487670237236</v>
      </c>
      <c r="E41" s="42">
        <f t="shared" si="0"/>
        <v>73494.710786235184</v>
      </c>
      <c r="F41" s="8">
        <v>0.1</v>
      </c>
      <c r="G41" s="41"/>
    </row>
    <row r="42" spans="1:7" x14ac:dyDescent="0.25">
      <c r="A42" s="8">
        <f>ROWS(A$5:A42)-1</f>
        <v>37</v>
      </c>
      <c r="B42" s="42">
        <f>-PMT(F42/$F$2,COUNT(A42:$A$365),E41)</f>
        <v>657.11448995278238</v>
      </c>
      <c r="C42" s="42">
        <f t="shared" si="1"/>
        <v>612.45592321862659</v>
      </c>
      <c r="D42" s="42">
        <f t="shared" si="2"/>
        <v>44.658566734155784</v>
      </c>
      <c r="E42" s="42">
        <f t="shared" si="0"/>
        <v>73450.052219501027</v>
      </c>
      <c r="F42" s="8">
        <v>0.1</v>
      </c>
      <c r="G42" s="41"/>
    </row>
    <row r="43" spans="1:7" x14ac:dyDescent="0.25">
      <c r="A43" s="8">
        <f>ROWS(A$5:A43)-1</f>
        <v>38</v>
      </c>
      <c r="B43" s="42">
        <f>-PMT(F43/$F$2,COUNT(A43:$A$365),E42)</f>
        <v>657.11448995278238</v>
      </c>
      <c r="C43" s="42">
        <f t="shared" si="1"/>
        <v>612.08376849584192</v>
      </c>
      <c r="D43" s="42">
        <f t="shared" si="2"/>
        <v>45.030721456940455</v>
      </c>
      <c r="E43" s="42">
        <f t="shared" si="0"/>
        <v>73405.02149804408</v>
      </c>
      <c r="F43" s="8">
        <v>0.1</v>
      </c>
      <c r="G43" s="41"/>
    </row>
    <row r="44" spans="1:7" x14ac:dyDescent="0.25">
      <c r="A44" s="8">
        <f>ROWS(A$5:A44)-1</f>
        <v>39</v>
      </c>
      <c r="B44" s="42">
        <f>-PMT(F44/$F$2,COUNT(A44:$A$365),E43)</f>
        <v>657.11448995278226</v>
      </c>
      <c r="C44" s="42">
        <f t="shared" si="1"/>
        <v>611.7085124837007</v>
      </c>
      <c r="D44" s="42">
        <f t="shared" si="2"/>
        <v>45.405977469081563</v>
      </c>
      <c r="E44" s="42">
        <f t="shared" si="0"/>
        <v>73359.615520574996</v>
      </c>
      <c r="F44" s="8">
        <v>0.1</v>
      </c>
      <c r="G44" s="41"/>
    </row>
    <row r="45" spans="1:7" x14ac:dyDescent="0.25">
      <c r="A45" s="8">
        <f>ROWS(A$5:A45)-1</f>
        <v>40</v>
      </c>
      <c r="B45" s="42">
        <f>-PMT(F45/$F$2,COUNT(A45:$A$365),E44)</f>
        <v>657.11448995278226</v>
      </c>
      <c r="C45" s="42">
        <f t="shared" si="1"/>
        <v>611.33012933812495</v>
      </c>
      <c r="D45" s="42">
        <f t="shared" si="2"/>
        <v>45.784360614657317</v>
      </c>
      <c r="E45" s="42">
        <f t="shared" si="0"/>
        <v>73313.831159960333</v>
      </c>
      <c r="F45" s="8">
        <v>0.1</v>
      </c>
      <c r="G45" s="41"/>
    </row>
    <row r="46" spans="1:7" x14ac:dyDescent="0.25">
      <c r="A46" s="8">
        <f>ROWS(A$5:A46)-1</f>
        <v>41</v>
      </c>
      <c r="B46" s="42">
        <f>-PMT(F46/$F$2,COUNT(A46:$A$365),E45)</f>
        <v>657.11448995278226</v>
      </c>
      <c r="C46" s="42">
        <f t="shared" si="1"/>
        <v>610.94859299966947</v>
      </c>
      <c r="D46" s="42">
        <f t="shared" si="2"/>
        <v>46.165896953112792</v>
      </c>
      <c r="E46" s="42">
        <f t="shared" si="0"/>
        <v>73267.66526300722</v>
      </c>
      <c r="F46" s="8">
        <v>0.1</v>
      </c>
      <c r="G46" s="41"/>
    </row>
    <row r="47" spans="1:7" x14ac:dyDescent="0.25">
      <c r="A47" s="8">
        <f>ROWS(A$5:A47)-1</f>
        <v>42</v>
      </c>
      <c r="B47" s="42">
        <f>-PMT(F47/$F$2,COUNT(A47:$A$365),E46)</f>
        <v>657.11448995278226</v>
      </c>
      <c r="C47" s="42">
        <f t="shared" si="1"/>
        <v>610.56387719172687</v>
      </c>
      <c r="D47" s="42">
        <f t="shared" si="2"/>
        <v>46.55061276105539</v>
      </c>
      <c r="E47" s="42">
        <f t="shared" si="0"/>
        <v>73221.114650246163</v>
      </c>
      <c r="F47" s="8">
        <v>0.1</v>
      </c>
      <c r="G47" s="41"/>
    </row>
    <row r="48" spans="1:7" x14ac:dyDescent="0.25">
      <c r="A48" s="8">
        <f>ROWS(A$5:A48)-1</f>
        <v>43</v>
      </c>
      <c r="B48" s="42">
        <f>-PMT(F48/$F$2,COUNT(A48:$A$365),E47)</f>
        <v>657.11448995278226</v>
      </c>
      <c r="C48" s="42">
        <f t="shared" si="1"/>
        <v>610.17595541871799</v>
      </c>
      <c r="D48" s="42">
        <f t="shared" si="2"/>
        <v>46.938534534064274</v>
      </c>
      <c r="E48" s="42">
        <f t="shared" si="0"/>
        <v>73174.176115712093</v>
      </c>
      <c r="F48" s="8">
        <v>0.1</v>
      </c>
      <c r="G48" s="41"/>
    </row>
    <row r="49" spans="1:7" x14ac:dyDescent="0.25">
      <c r="A49" s="8">
        <f>ROWS(A$5:A49)-1</f>
        <v>44</v>
      </c>
      <c r="B49" s="42">
        <f>-PMT(F49/$F$2,COUNT(A49:$A$365),E48)</f>
        <v>657.11448995278226</v>
      </c>
      <c r="C49" s="42">
        <f t="shared" si="1"/>
        <v>609.78480096426745</v>
      </c>
      <c r="D49" s="42">
        <f t="shared" si="2"/>
        <v>47.329688988514818</v>
      </c>
      <c r="E49" s="42">
        <f t="shared" si="0"/>
        <v>73126.846426723583</v>
      </c>
      <c r="F49" s="8">
        <v>0.1</v>
      </c>
      <c r="G49" s="41"/>
    </row>
    <row r="50" spans="1:7" x14ac:dyDescent="0.25">
      <c r="A50" s="8">
        <f>ROWS(A$5:A50)-1</f>
        <v>45</v>
      </c>
      <c r="B50" s="42">
        <f>-PMT(F50/$F$2,COUNT(A50:$A$365),E49)</f>
        <v>657.11448995278226</v>
      </c>
      <c r="C50" s="42">
        <f t="shared" si="1"/>
        <v>609.39038688936319</v>
      </c>
      <c r="D50" s="42">
        <f t="shared" si="2"/>
        <v>47.724103063419079</v>
      </c>
      <c r="E50" s="42">
        <f t="shared" si="0"/>
        <v>73079.122323660165</v>
      </c>
      <c r="F50" s="8">
        <v>0.1</v>
      </c>
      <c r="G50" s="41"/>
    </row>
    <row r="51" spans="1:7" x14ac:dyDescent="0.25">
      <c r="A51" s="8">
        <f>ROWS(A$5:A51)-1</f>
        <v>46</v>
      </c>
      <c r="B51" s="42">
        <f>-PMT(F51/$F$2,COUNT(A51:$A$365),E50)</f>
        <v>657.11448995278226</v>
      </c>
      <c r="C51" s="42">
        <f t="shared" si="1"/>
        <v>608.99268603050143</v>
      </c>
      <c r="D51" s="42">
        <f t="shared" si="2"/>
        <v>48.121803922280833</v>
      </c>
      <c r="E51" s="42">
        <f t="shared" si="0"/>
        <v>73031.000519737878</v>
      </c>
      <c r="F51" s="8">
        <v>0.1</v>
      </c>
      <c r="G51" s="41"/>
    </row>
    <row r="52" spans="1:7" x14ac:dyDescent="0.25">
      <c r="A52" s="8">
        <f>ROWS(A$5:A52)-1</f>
        <v>47</v>
      </c>
      <c r="B52" s="42">
        <f>-PMT(F52/$F$2,COUNT(A52:$A$365),E51)</f>
        <v>657.11448995278215</v>
      </c>
      <c r="C52" s="42">
        <f t="shared" si="1"/>
        <v>608.59167099781564</v>
      </c>
      <c r="D52" s="42">
        <f t="shared" si="2"/>
        <v>48.52281895496651</v>
      </c>
      <c r="E52" s="42">
        <f t="shared" si="0"/>
        <v>72982.477700782911</v>
      </c>
      <c r="F52" s="8">
        <v>0.1</v>
      </c>
      <c r="G52" s="41"/>
    </row>
    <row r="53" spans="1:7" x14ac:dyDescent="0.25">
      <c r="A53" s="8">
        <f>ROWS(A$5:A53)-1</f>
        <v>48</v>
      </c>
      <c r="B53" s="42">
        <f>-PMT(F53/$F$2,COUNT(A53:$A$365),E52)</f>
        <v>657.11448995278226</v>
      </c>
      <c r="C53" s="42">
        <f t="shared" si="1"/>
        <v>608.18731417319088</v>
      </c>
      <c r="D53" s="42">
        <f t="shared" si="2"/>
        <v>48.92717577959138</v>
      </c>
      <c r="E53" s="42">
        <f t="shared" si="0"/>
        <v>72933.550525003317</v>
      </c>
      <c r="F53" s="8">
        <v>0.1</v>
      </c>
      <c r="G53" s="41"/>
    </row>
    <row r="54" spans="1:7" x14ac:dyDescent="0.25">
      <c r="A54" s="8">
        <f>ROWS(A$5:A54)-1</f>
        <v>49</v>
      </c>
      <c r="B54" s="42">
        <f>-PMT(F54/$F$2,COUNT(A54:$A$365),E53)</f>
        <v>657.11448995278215</v>
      </c>
      <c r="C54" s="42">
        <f t="shared" si="1"/>
        <v>607.77958770836096</v>
      </c>
      <c r="D54" s="42">
        <f t="shared" si="2"/>
        <v>49.334902244421187</v>
      </c>
      <c r="E54" s="42">
        <f t="shared" si="0"/>
        <v>72884.2156227589</v>
      </c>
      <c r="F54" s="8">
        <v>0.1</v>
      </c>
      <c r="G54" s="41"/>
    </row>
    <row r="55" spans="1:7" x14ac:dyDescent="0.25">
      <c r="A55" s="8">
        <f>ROWS(A$5:A55)-1</f>
        <v>50</v>
      </c>
      <c r="B55" s="42">
        <f>-PMT(F55/$F$2,COUNT(A55:$A$365),E54)</f>
        <v>657.11448995278215</v>
      </c>
      <c r="C55" s="42">
        <f t="shared" si="1"/>
        <v>607.36846352299085</v>
      </c>
      <c r="D55" s="42">
        <f t="shared" si="2"/>
        <v>49.7460264297913</v>
      </c>
      <c r="E55" s="42">
        <f t="shared" si="0"/>
        <v>72834.469596329116</v>
      </c>
      <c r="F55" s="8">
        <v>0.1</v>
      </c>
      <c r="G55" s="41"/>
    </row>
    <row r="56" spans="1:7" x14ac:dyDescent="0.25">
      <c r="A56" s="8">
        <f>ROWS(A$5:A56)-1</f>
        <v>51</v>
      </c>
      <c r="B56" s="42">
        <f>-PMT(F56/$F$2,COUNT(A56:$A$365),E55)</f>
        <v>657.11448995278226</v>
      </c>
      <c r="C56" s="42">
        <f t="shared" si="1"/>
        <v>606.95391330274265</v>
      </c>
      <c r="D56" s="42">
        <f t="shared" si="2"/>
        <v>50.160576650039616</v>
      </c>
      <c r="E56" s="42">
        <f t="shared" si="0"/>
        <v>72784.309019679073</v>
      </c>
      <c r="F56" s="8">
        <v>0.1</v>
      </c>
      <c r="G56" s="41"/>
    </row>
    <row r="57" spans="1:7" x14ac:dyDescent="0.25">
      <c r="A57" s="8">
        <f>ROWS(A$5:A57)-1</f>
        <v>52</v>
      </c>
      <c r="B57" s="42">
        <f>-PMT(F57/$F$2,COUNT(A57:$A$365),E56)</f>
        <v>657.11448995278226</v>
      </c>
      <c r="C57" s="42">
        <f t="shared" si="1"/>
        <v>606.53590849732564</v>
      </c>
      <c r="D57" s="42">
        <f t="shared" si="2"/>
        <v>50.578581455456629</v>
      </c>
      <c r="E57" s="42">
        <f t="shared" si="0"/>
        <v>72733.730438223618</v>
      </c>
      <c r="F57" s="8">
        <v>0.1</v>
      </c>
      <c r="G57" s="41"/>
    </row>
    <row r="58" spans="1:7" x14ac:dyDescent="0.25">
      <c r="A58" s="8">
        <f>ROWS(A$5:A58)-1</f>
        <v>53</v>
      </c>
      <c r="B58" s="42">
        <f>-PMT(F58/$F$2,COUNT(A58:$A$365),E57)</f>
        <v>657.11448995278226</v>
      </c>
      <c r="C58" s="42">
        <f t="shared" si="1"/>
        <v>606.11442031853016</v>
      </c>
      <c r="D58" s="42">
        <f t="shared" si="2"/>
        <v>51.0000696342521</v>
      </c>
      <c r="E58" s="42">
        <f t="shared" si="0"/>
        <v>72682.730368589371</v>
      </c>
      <c r="F58" s="8">
        <v>0.1</v>
      </c>
      <c r="G58" s="41"/>
    </row>
    <row r="59" spans="1:7" x14ac:dyDescent="0.25">
      <c r="A59" s="8">
        <f>ROWS(A$5:A59)-1</f>
        <v>54</v>
      </c>
      <c r="B59" s="42">
        <f>-PMT(F59/$F$2,COUNT(A59:$A$365),E58)</f>
        <v>657.11448995278226</v>
      </c>
      <c r="C59" s="42">
        <f t="shared" si="1"/>
        <v>605.68941973824474</v>
      </c>
      <c r="D59" s="42">
        <f t="shared" si="2"/>
        <v>51.425070214537527</v>
      </c>
      <c r="E59" s="42">
        <f t="shared" si="0"/>
        <v>72631.305298374835</v>
      </c>
      <c r="F59" s="8">
        <v>0.1</v>
      </c>
      <c r="G59" s="41"/>
    </row>
    <row r="60" spans="1:7" x14ac:dyDescent="0.25">
      <c r="A60" s="8">
        <f>ROWS(A$5:A60)-1</f>
        <v>55</v>
      </c>
      <c r="B60" s="42">
        <f>-PMT(F60/$F$2,COUNT(A60:$A$365),E59)</f>
        <v>657.11448995278238</v>
      </c>
      <c r="C60" s="42">
        <f t="shared" si="1"/>
        <v>605.26087748645693</v>
      </c>
      <c r="D60" s="42">
        <f t="shared" si="2"/>
        <v>51.853612466325444</v>
      </c>
      <c r="E60" s="42">
        <f t="shared" si="0"/>
        <v>72579.451685908512</v>
      </c>
      <c r="F60" s="8">
        <v>0.1</v>
      </c>
      <c r="G60" s="41"/>
    </row>
    <row r="61" spans="1:7" x14ac:dyDescent="0.25">
      <c r="A61" s="8">
        <f>ROWS(A$5:A61)-1</f>
        <v>56</v>
      </c>
      <c r="B61" s="42">
        <f>-PMT(F61/$F$2,COUNT(A61:$A$365),E60)</f>
        <v>657.11448995278226</v>
      </c>
      <c r="C61" s="42">
        <f t="shared" si="1"/>
        <v>604.82876404923763</v>
      </c>
      <c r="D61" s="42">
        <f t="shared" si="2"/>
        <v>52.28572590354463</v>
      </c>
      <c r="E61" s="42">
        <f t="shared" si="0"/>
        <v>72527.165960004961</v>
      </c>
      <c r="F61" s="8">
        <v>0.1</v>
      </c>
      <c r="G61" s="41"/>
    </row>
    <row r="62" spans="1:7" x14ac:dyDescent="0.25">
      <c r="A62" s="8">
        <f>ROWS(A$5:A62)-1</f>
        <v>57</v>
      </c>
      <c r="B62" s="42">
        <f>-PMT(F62/$F$2,COUNT(A62:$A$365),E61)</f>
        <v>657.11448995278226</v>
      </c>
      <c r="C62" s="42">
        <f t="shared" si="1"/>
        <v>604.39304966670807</v>
      </c>
      <c r="D62" s="42">
        <f t="shared" si="2"/>
        <v>52.721440286074198</v>
      </c>
      <c r="E62" s="42">
        <f t="shared" si="0"/>
        <v>72474.444519718891</v>
      </c>
      <c r="F62" s="8">
        <v>0.1</v>
      </c>
      <c r="G62" s="41"/>
    </row>
    <row r="63" spans="1:7" x14ac:dyDescent="0.25">
      <c r="A63" s="8">
        <f>ROWS(A$5:A63)-1</f>
        <v>58</v>
      </c>
      <c r="B63" s="42">
        <f>-PMT(F63/$F$2,COUNT(A63:$A$365),E62)</f>
        <v>657.11448995278226</v>
      </c>
      <c r="C63" s="42">
        <f t="shared" si="1"/>
        <v>603.95370433099072</v>
      </c>
      <c r="D63" s="42">
        <f t="shared" si="2"/>
        <v>53.160785621791547</v>
      </c>
      <c r="E63" s="42">
        <f t="shared" si="0"/>
        <v>72421.283734097102</v>
      </c>
      <c r="F63" s="8">
        <v>0.1</v>
      </c>
      <c r="G63" s="41"/>
    </row>
    <row r="64" spans="1:7" x14ac:dyDescent="0.25">
      <c r="A64" s="8">
        <f>ROWS(A$5:A64)-1</f>
        <v>59</v>
      </c>
      <c r="B64" s="42">
        <f>-PMT(F64/$F$2,COUNT(A64:$A$365),E63)</f>
        <v>657.11448995278238</v>
      </c>
      <c r="C64" s="42">
        <f t="shared" si="1"/>
        <v>603.51069778414251</v>
      </c>
      <c r="D64" s="42">
        <f t="shared" si="2"/>
        <v>53.60379216863987</v>
      </c>
      <c r="E64" s="42">
        <f t="shared" si="0"/>
        <v>72367.679941928465</v>
      </c>
      <c r="F64" s="8">
        <v>0.1</v>
      </c>
      <c r="G64" s="41"/>
    </row>
    <row r="65" spans="1:7" x14ac:dyDescent="0.25">
      <c r="A65" s="8">
        <f>ROWS(A$5:A65)-1</f>
        <v>60</v>
      </c>
      <c r="B65" s="42">
        <f>-PMT(F65/$F$2,COUNT(A65:$A$365),E64)</f>
        <v>657.11448995278226</v>
      </c>
      <c r="C65" s="42">
        <f t="shared" si="1"/>
        <v>603.06399951607057</v>
      </c>
      <c r="D65" s="42">
        <f t="shared" si="2"/>
        <v>54.050490436711698</v>
      </c>
      <c r="E65" s="42">
        <f t="shared" si="0"/>
        <v>72313.629451491754</v>
      </c>
      <c r="F65" s="8">
        <v>0.1</v>
      </c>
      <c r="G65" s="41"/>
    </row>
    <row r="66" spans="1:7" x14ac:dyDescent="0.25">
      <c r="A66" s="8">
        <f>ROWS(A$5:A66)-1</f>
        <v>61</v>
      </c>
      <c r="B66" s="42">
        <f>-PMT(F66/$F$2,COUNT(A66:$A$365),E65)</f>
        <v>534.39134199166938</v>
      </c>
      <c r="C66" s="42">
        <f t="shared" si="1"/>
        <v>451.96018407182345</v>
      </c>
      <c r="D66" s="42">
        <f t="shared" si="2"/>
        <v>82.43115791984593</v>
      </c>
      <c r="E66" s="42">
        <f t="shared" si="0"/>
        <v>72231.198293571913</v>
      </c>
      <c r="F66" s="8">
        <v>7.4999999999999997E-2</v>
      </c>
      <c r="G66" s="41"/>
    </row>
    <row r="67" spans="1:7" x14ac:dyDescent="0.25">
      <c r="A67" s="8">
        <f>ROWS(A$5:A67)-1</f>
        <v>62</v>
      </c>
      <c r="B67" s="42">
        <f>-PMT(F67/$F$2,COUNT(A67:$A$365),E66)</f>
        <v>534.39134199166938</v>
      </c>
      <c r="C67" s="42">
        <f t="shared" si="1"/>
        <v>451.44498933482441</v>
      </c>
      <c r="D67" s="42">
        <f t="shared" si="2"/>
        <v>82.946352656844965</v>
      </c>
      <c r="E67" s="42">
        <f t="shared" si="0"/>
        <v>72148.25194091507</v>
      </c>
      <c r="F67" s="8">
        <v>7.4999999999999997E-2</v>
      </c>
      <c r="G67" s="41"/>
    </row>
    <row r="68" spans="1:7" x14ac:dyDescent="0.25">
      <c r="A68" s="8">
        <f>ROWS(A$5:A68)-1</f>
        <v>63</v>
      </c>
      <c r="B68" s="42">
        <f>-PMT(F68/$F$2,COUNT(A68:$A$365),E67)</f>
        <v>534.39134199166938</v>
      </c>
      <c r="C68" s="42">
        <f t="shared" si="1"/>
        <v>450.92657463071919</v>
      </c>
      <c r="D68" s="42">
        <f t="shared" si="2"/>
        <v>83.464767360950191</v>
      </c>
      <c r="E68" s="42">
        <f t="shared" si="0"/>
        <v>72064.787173554127</v>
      </c>
      <c r="F68" s="8">
        <v>7.4999999999999997E-2</v>
      </c>
      <c r="G68" s="41"/>
    </row>
    <row r="69" spans="1:7" x14ac:dyDescent="0.25">
      <c r="A69" s="8">
        <f>ROWS(A$5:A69)-1</f>
        <v>64</v>
      </c>
      <c r="B69" s="42">
        <f>-PMT(F69/$F$2,COUNT(A69:$A$365),E68)</f>
        <v>534.39134199166949</v>
      </c>
      <c r="C69" s="42">
        <f t="shared" si="1"/>
        <v>450.40491983471333</v>
      </c>
      <c r="D69" s="42">
        <f t="shared" si="2"/>
        <v>83.986422156956166</v>
      </c>
      <c r="E69" s="42">
        <f t="shared" si="0"/>
        <v>71980.800751397168</v>
      </c>
      <c r="F69" s="8">
        <v>7.4999999999999997E-2</v>
      </c>
      <c r="G69" s="41"/>
    </row>
    <row r="70" spans="1:7" x14ac:dyDescent="0.25">
      <c r="A70" s="8">
        <f>ROWS(A$5:A70)-1</f>
        <v>65</v>
      </c>
      <c r="B70" s="42">
        <f>-PMT(F70/$F$2,COUNT(A70:$A$365),E69)</f>
        <v>534.39134199166938</v>
      </c>
      <c r="C70" s="42">
        <f t="shared" si="1"/>
        <v>449.88000469623233</v>
      </c>
      <c r="D70" s="42">
        <f t="shared" si="2"/>
        <v>84.511337295437045</v>
      </c>
      <c r="E70" s="42">
        <f t="shared" ref="E70:E133" si="3">E69-D70-G70</f>
        <v>71896.289414101731</v>
      </c>
      <c r="F70" s="8">
        <v>7.4999999999999997E-2</v>
      </c>
      <c r="G70" s="41"/>
    </row>
    <row r="71" spans="1:7" x14ac:dyDescent="0.25">
      <c r="A71" s="8">
        <f>ROWS(A$5:A71)-1</f>
        <v>66</v>
      </c>
      <c r="B71" s="42">
        <f>-PMT(F71/$F$2,COUNT(A71:$A$365),E70)</f>
        <v>534.39134199166949</v>
      </c>
      <c r="C71" s="42">
        <f t="shared" ref="C71:C134" si="4">E70*F71/$F$2</f>
        <v>449.35180883813581</v>
      </c>
      <c r="D71" s="42">
        <f t="shared" ref="D71:D134" si="5">B71-C71</f>
        <v>85.039533153533682</v>
      </c>
      <c r="E71" s="42">
        <f t="shared" si="3"/>
        <v>71811.249880948191</v>
      </c>
      <c r="F71" s="8">
        <v>7.4999999999999997E-2</v>
      </c>
      <c r="G71" s="41"/>
    </row>
    <row r="72" spans="1:7" x14ac:dyDescent="0.25">
      <c r="A72" s="8">
        <f>ROWS(A$5:A72)-1</f>
        <v>67</v>
      </c>
      <c r="B72" s="42">
        <f>-PMT(F72/$F$2,COUNT(A72:$A$365),E71)</f>
        <v>534.39134199166938</v>
      </c>
      <c r="C72" s="42">
        <f t="shared" si="4"/>
        <v>448.82031175592618</v>
      </c>
      <c r="D72" s="42">
        <f t="shared" si="5"/>
        <v>85.571030235743194</v>
      </c>
      <c r="E72" s="42">
        <f t="shared" si="3"/>
        <v>71725.678850712444</v>
      </c>
      <c r="F72" s="8">
        <v>7.4999999999999997E-2</v>
      </c>
      <c r="G72" s="41"/>
    </row>
    <row r="73" spans="1:7" x14ac:dyDescent="0.25">
      <c r="A73" s="8">
        <f>ROWS(A$5:A73)-1</f>
        <v>68</v>
      </c>
      <c r="B73" s="42">
        <f>-PMT(F73/$F$2,COUNT(A73:$A$365),E72)</f>
        <v>534.39134199166938</v>
      </c>
      <c r="C73" s="42">
        <f t="shared" si="4"/>
        <v>448.28549281695274</v>
      </c>
      <c r="D73" s="42">
        <f t="shared" si="5"/>
        <v>86.105849174716639</v>
      </c>
      <c r="E73" s="42">
        <f t="shared" si="3"/>
        <v>71639.573001537734</v>
      </c>
      <c r="F73" s="8">
        <v>7.4999999999999997E-2</v>
      </c>
      <c r="G73" s="41"/>
    </row>
    <row r="74" spans="1:7" x14ac:dyDescent="0.25">
      <c r="A74" s="8">
        <f>ROWS(A$5:A74)-1</f>
        <v>69</v>
      </c>
      <c r="B74" s="42">
        <f>-PMT(F74/$F$2,COUNT(A74:$A$365),E73)</f>
        <v>534.39134199166938</v>
      </c>
      <c r="C74" s="42">
        <f t="shared" si="4"/>
        <v>447.7473312596108</v>
      </c>
      <c r="D74" s="42">
        <f t="shared" si="5"/>
        <v>86.644010732058575</v>
      </c>
      <c r="E74" s="42">
        <f t="shared" si="3"/>
        <v>71552.928990805682</v>
      </c>
      <c r="F74" s="8">
        <v>7.4999999999999997E-2</v>
      </c>
      <c r="G74" s="41"/>
    </row>
    <row r="75" spans="1:7" x14ac:dyDescent="0.25">
      <c r="A75" s="8">
        <f>ROWS(A$5:A75)-1</f>
        <v>70</v>
      </c>
      <c r="B75" s="42">
        <f>-PMT(F75/$F$2,COUNT(A75:$A$365),E74)</f>
        <v>534.39134199166949</v>
      </c>
      <c r="C75" s="42">
        <f t="shared" si="4"/>
        <v>447.20580619253548</v>
      </c>
      <c r="D75" s="42">
        <f t="shared" si="5"/>
        <v>87.185535799134016</v>
      </c>
      <c r="E75" s="42">
        <f t="shared" si="3"/>
        <v>71465.743455006552</v>
      </c>
      <c r="F75" s="8">
        <v>7.4999999999999997E-2</v>
      </c>
      <c r="G75" s="41"/>
    </row>
    <row r="76" spans="1:7" x14ac:dyDescent="0.25">
      <c r="A76" s="8">
        <f>ROWS(A$5:A76)-1</f>
        <v>71</v>
      </c>
      <c r="B76" s="42">
        <f>-PMT(F76/$F$2,COUNT(A76:$A$365),E75)</f>
        <v>534.39134199166938</v>
      </c>
      <c r="C76" s="42">
        <f t="shared" si="4"/>
        <v>446.66089659379094</v>
      </c>
      <c r="D76" s="42">
        <f t="shared" si="5"/>
        <v>87.730445397878441</v>
      </c>
      <c r="E76" s="42">
        <f t="shared" si="3"/>
        <v>71378.01300960868</v>
      </c>
      <c r="F76" s="8">
        <v>7.4999999999999997E-2</v>
      </c>
      <c r="G76" s="41"/>
    </row>
    <row r="77" spans="1:7" x14ac:dyDescent="0.25">
      <c r="A77" s="8">
        <f>ROWS(A$5:A77)-1</f>
        <v>72</v>
      </c>
      <c r="B77" s="42">
        <f>-PMT(F77/$F$2,COUNT(A77:$A$365),E76)</f>
        <v>534.39134199166961</v>
      </c>
      <c r="C77" s="42">
        <f t="shared" si="4"/>
        <v>446.11258131005428</v>
      </c>
      <c r="D77" s="42">
        <f t="shared" si="5"/>
        <v>88.278760681615324</v>
      </c>
      <c r="E77" s="42">
        <f t="shared" si="3"/>
        <v>71289.734248927067</v>
      </c>
      <c r="F77" s="8">
        <v>7.4999999999999997E-2</v>
      </c>
      <c r="G77" s="41"/>
    </row>
    <row r="78" spans="1:7" x14ac:dyDescent="0.25">
      <c r="A78" s="8">
        <f>ROWS(A$5:A78)-1</f>
        <v>73</v>
      </c>
      <c r="B78" s="42">
        <f>-PMT(F78/$F$2,COUNT(A78:$A$365),E77)</f>
        <v>534.39134199166961</v>
      </c>
      <c r="C78" s="42">
        <f t="shared" si="4"/>
        <v>445.56083905579413</v>
      </c>
      <c r="D78" s="42">
        <f t="shared" si="5"/>
        <v>88.830502935875472</v>
      </c>
      <c r="E78" s="42">
        <f t="shared" si="3"/>
        <v>71200.903745991192</v>
      </c>
      <c r="F78" s="8">
        <v>7.4999999999999997E-2</v>
      </c>
      <c r="G78" s="41"/>
    </row>
    <row r="79" spans="1:7" x14ac:dyDescent="0.25">
      <c r="A79" s="8">
        <f>ROWS(A$5:A79)-1</f>
        <v>74</v>
      </c>
      <c r="B79" s="42">
        <f>-PMT(F79/$F$2,COUNT(A79:$A$365),E78)</f>
        <v>534.39134199166961</v>
      </c>
      <c r="C79" s="42">
        <f t="shared" si="4"/>
        <v>445.00564841244494</v>
      </c>
      <c r="D79" s="42">
        <f t="shared" si="5"/>
        <v>89.385693579224665</v>
      </c>
      <c r="E79" s="42">
        <f t="shared" si="3"/>
        <v>71111.518052411964</v>
      </c>
      <c r="F79" s="8">
        <v>7.4999999999999997E-2</v>
      </c>
      <c r="G79" s="41"/>
    </row>
    <row r="80" spans="1:7" x14ac:dyDescent="0.25">
      <c r="A80" s="8">
        <f>ROWS(A$5:A80)-1</f>
        <v>75</v>
      </c>
      <c r="B80" s="42">
        <f>-PMT(F80/$F$2,COUNT(A80:$A$365),E79)</f>
        <v>534.39134199166949</v>
      </c>
      <c r="C80" s="42">
        <f t="shared" si="4"/>
        <v>444.44698782757473</v>
      </c>
      <c r="D80" s="42">
        <f t="shared" si="5"/>
        <v>89.944354164094761</v>
      </c>
      <c r="E80" s="42">
        <f t="shared" si="3"/>
        <v>71021.57369824787</v>
      </c>
      <c r="F80" s="8">
        <v>7.4999999999999997E-2</v>
      </c>
      <c r="G80" s="41"/>
    </row>
    <row r="81" spans="1:7" x14ac:dyDescent="0.25">
      <c r="A81" s="8">
        <f>ROWS(A$5:A81)-1</f>
        <v>76</v>
      </c>
      <c r="B81" s="42">
        <f>-PMT(F81/$F$2,COUNT(A81:$A$365),E80)</f>
        <v>534.39134199166961</v>
      </c>
      <c r="C81" s="42">
        <f t="shared" si="4"/>
        <v>443.88483561404922</v>
      </c>
      <c r="D81" s="42">
        <f t="shared" si="5"/>
        <v>90.506506377620383</v>
      </c>
      <c r="E81" s="42">
        <f t="shared" si="3"/>
        <v>70931.067191870243</v>
      </c>
      <c r="F81" s="8">
        <v>7.4999999999999997E-2</v>
      </c>
      <c r="G81" s="41"/>
    </row>
    <row r="82" spans="1:7" x14ac:dyDescent="0.25">
      <c r="A82" s="8">
        <f>ROWS(A$5:A82)-1</f>
        <v>77</v>
      </c>
      <c r="B82" s="42">
        <f>-PMT(F82/$F$2,COUNT(A82:$A$365),E81)</f>
        <v>534.39134199166949</v>
      </c>
      <c r="C82" s="42">
        <f t="shared" si="4"/>
        <v>443.31916994918902</v>
      </c>
      <c r="D82" s="42">
        <f t="shared" si="5"/>
        <v>91.072172042480474</v>
      </c>
      <c r="E82" s="42">
        <f t="shared" si="3"/>
        <v>70839.995019827766</v>
      </c>
      <c r="F82" s="8">
        <v>7.4999999999999997E-2</v>
      </c>
      <c r="G82" s="41"/>
    </row>
    <row r="83" spans="1:7" x14ac:dyDescent="0.25">
      <c r="A83" s="8">
        <f>ROWS(A$5:A83)-1</f>
        <v>78</v>
      </c>
      <c r="B83" s="42">
        <f>-PMT(F83/$F$2,COUNT(A83:$A$365),E82)</f>
        <v>534.39134199166961</v>
      </c>
      <c r="C83" s="42">
        <f t="shared" si="4"/>
        <v>442.74996887392354</v>
      </c>
      <c r="D83" s="42">
        <f t="shared" si="5"/>
        <v>91.64137311774607</v>
      </c>
      <c r="E83" s="42">
        <f t="shared" si="3"/>
        <v>70748.35364671002</v>
      </c>
      <c r="F83" s="8">
        <v>7.4999999999999997E-2</v>
      </c>
      <c r="G83" s="41"/>
    </row>
    <row r="84" spans="1:7" x14ac:dyDescent="0.25">
      <c r="A84" s="8">
        <f>ROWS(A$5:A84)-1</f>
        <v>79</v>
      </c>
      <c r="B84" s="42">
        <f>-PMT(F84/$F$2,COUNT(A84:$A$365),E83)</f>
        <v>534.39134199166949</v>
      </c>
      <c r="C84" s="42">
        <f t="shared" si="4"/>
        <v>442.17721029193763</v>
      </c>
      <c r="D84" s="42">
        <f t="shared" si="5"/>
        <v>92.214131699731865</v>
      </c>
      <c r="E84" s="42">
        <f t="shared" si="3"/>
        <v>70656.139515010291</v>
      </c>
      <c r="F84" s="8">
        <v>7.4999999999999997E-2</v>
      </c>
      <c r="G84" s="41"/>
    </row>
    <row r="85" spans="1:7" x14ac:dyDescent="0.25">
      <c r="A85" s="8">
        <f>ROWS(A$5:A85)-1</f>
        <v>80</v>
      </c>
      <c r="B85" s="42">
        <f>-PMT(F85/$F$2,COUNT(A85:$A$365),E84)</f>
        <v>534.39134199166961</v>
      </c>
      <c r="C85" s="42">
        <f t="shared" si="4"/>
        <v>441.60087196881432</v>
      </c>
      <c r="D85" s="42">
        <f t="shared" si="5"/>
        <v>92.790470022855288</v>
      </c>
      <c r="E85" s="42">
        <f t="shared" si="3"/>
        <v>70563.349044987437</v>
      </c>
      <c r="F85" s="8">
        <v>7.4999999999999997E-2</v>
      </c>
      <c r="G85" s="41"/>
    </row>
    <row r="86" spans="1:7" x14ac:dyDescent="0.25">
      <c r="A86" s="8">
        <f>ROWS(A$5:A86)-1</f>
        <v>81</v>
      </c>
      <c r="B86" s="42">
        <f>-PMT(F86/$F$2,COUNT(A86:$A$365),E85)</f>
        <v>534.39134199166961</v>
      </c>
      <c r="C86" s="42">
        <f t="shared" si="4"/>
        <v>441.02093153117147</v>
      </c>
      <c r="D86" s="42">
        <f t="shared" si="5"/>
        <v>93.370410460498135</v>
      </c>
      <c r="E86" s="42">
        <f t="shared" si="3"/>
        <v>70469.978634526939</v>
      </c>
      <c r="F86" s="8">
        <v>7.4999999999999997E-2</v>
      </c>
      <c r="G86" s="41"/>
    </row>
    <row r="87" spans="1:7" x14ac:dyDescent="0.25">
      <c r="A87" s="8">
        <f>ROWS(A$5:A87)-1</f>
        <v>82</v>
      </c>
      <c r="B87" s="42">
        <f>-PMT(F87/$F$2,COUNT(A87:$A$365),E86)</f>
        <v>534.39134199166949</v>
      </c>
      <c r="C87" s="42">
        <f t="shared" si="4"/>
        <v>440.43736646579333</v>
      </c>
      <c r="D87" s="42">
        <f t="shared" si="5"/>
        <v>93.95397552587616</v>
      </c>
      <c r="E87" s="42">
        <f t="shared" si="3"/>
        <v>70376.024659001065</v>
      </c>
      <c r="F87" s="8">
        <v>7.4999999999999997E-2</v>
      </c>
      <c r="G87" s="41"/>
    </row>
    <row r="88" spans="1:7" x14ac:dyDescent="0.25">
      <c r="A88" s="8">
        <f>ROWS(A$5:A88)-1</f>
        <v>83</v>
      </c>
      <c r="B88" s="42">
        <f>-PMT(F88/$F$2,COUNT(A88:$A$365),E87)</f>
        <v>534.39134199166961</v>
      </c>
      <c r="C88" s="42">
        <f t="shared" si="4"/>
        <v>439.85015411875662</v>
      </c>
      <c r="D88" s="42">
        <f t="shared" si="5"/>
        <v>94.541187872912985</v>
      </c>
      <c r="E88" s="42">
        <f t="shared" si="3"/>
        <v>70281.483471128158</v>
      </c>
      <c r="F88" s="8">
        <v>7.4999999999999997E-2</v>
      </c>
      <c r="G88" s="41"/>
    </row>
    <row r="89" spans="1:7" x14ac:dyDescent="0.25">
      <c r="A89" s="8">
        <f>ROWS(A$5:A89)-1</f>
        <v>84</v>
      </c>
      <c r="B89" s="42">
        <f>-PMT(F89/$F$2,COUNT(A89:$A$365),E88)</f>
        <v>534.39134199166972</v>
      </c>
      <c r="C89" s="42">
        <f t="shared" si="4"/>
        <v>439.25927169455099</v>
      </c>
      <c r="D89" s="42">
        <f t="shared" si="5"/>
        <v>95.13207029711873</v>
      </c>
      <c r="E89" s="42">
        <f t="shared" si="3"/>
        <v>70186.351400831045</v>
      </c>
      <c r="F89" s="8">
        <v>7.4999999999999997E-2</v>
      </c>
      <c r="G89" s="41"/>
    </row>
    <row r="90" spans="1:7" x14ac:dyDescent="0.25">
      <c r="A90" s="8">
        <f>ROWS(A$5:A90)-1</f>
        <v>85</v>
      </c>
      <c r="B90" s="42">
        <f>-PMT(F90/$F$2,COUNT(A90:$A$365),E89)</f>
        <v>534.39134199166972</v>
      </c>
      <c r="C90" s="42">
        <f t="shared" si="4"/>
        <v>438.66469625519403</v>
      </c>
      <c r="D90" s="42">
        <f t="shared" si="5"/>
        <v>95.726645736475689</v>
      </c>
      <c r="E90" s="42">
        <f t="shared" si="3"/>
        <v>70090.62475509457</v>
      </c>
      <c r="F90" s="8">
        <v>7.4999999999999997E-2</v>
      </c>
      <c r="G90" s="41"/>
    </row>
    <row r="91" spans="1:7" x14ac:dyDescent="0.25">
      <c r="A91" s="8">
        <f>ROWS(A$5:A91)-1</f>
        <v>86</v>
      </c>
      <c r="B91" s="42">
        <f>-PMT(F91/$F$2,COUNT(A91:$A$365),E90)</f>
        <v>534.39134199166972</v>
      </c>
      <c r="C91" s="42">
        <f t="shared" si="4"/>
        <v>438.06640471934105</v>
      </c>
      <c r="D91" s="42">
        <f t="shared" si="5"/>
        <v>96.324937272328668</v>
      </c>
      <c r="E91" s="42">
        <f t="shared" si="3"/>
        <v>69994.299817822248</v>
      </c>
      <c r="F91" s="8">
        <v>7.4999999999999997E-2</v>
      </c>
      <c r="G91" s="41"/>
    </row>
    <row r="92" spans="1:7" x14ac:dyDescent="0.25">
      <c r="A92" s="8">
        <f>ROWS(A$5:A92)-1</f>
        <v>87</v>
      </c>
      <c r="B92" s="42">
        <f>-PMT(F92/$F$2,COUNT(A92:$A$365),E91)</f>
        <v>534.39134199166972</v>
      </c>
      <c r="C92" s="42">
        <f t="shared" si="4"/>
        <v>437.46437386138905</v>
      </c>
      <c r="D92" s="42">
        <f t="shared" si="5"/>
        <v>96.92696813028067</v>
      </c>
      <c r="E92" s="42">
        <f t="shared" si="3"/>
        <v>69897.372849691965</v>
      </c>
      <c r="F92" s="8">
        <v>7.4999999999999997E-2</v>
      </c>
      <c r="G92" s="41"/>
    </row>
    <row r="93" spans="1:7" x14ac:dyDescent="0.25">
      <c r="A93" s="8">
        <f>ROWS(A$5:A93)-1</f>
        <v>88</v>
      </c>
      <c r="B93" s="42">
        <f>-PMT(F93/$F$2,COUNT(A93:$A$365),E92)</f>
        <v>534.39134199166972</v>
      </c>
      <c r="C93" s="42">
        <f t="shared" si="4"/>
        <v>436.85858031057478</v>
      </c>
      <c r="D93" s="42">
        <f t="shared" si="5"/>
        <v>97.532761681094939</v>
      </c>
      <c r="E93" s="42">
        <f t="shared" si="3"/>
        <v>69799.840088010867</v>
      </c>
      <c r="F93" s="8">
        <v>7.4999999999999997E-2</v>
      </c>
      <c r="G93" s="41"/>
    </row>
    <row r="94" spans="1:7" x14ac:dyDescent="0.25">
      <c r="A94" s="8">
        <f>ROWS(A$5:A94)-1</f>
        <v>89</v>
      </c>
      <c r="B94" s="42">
        <f>-PMT(F94/$F$2,COUNT(A94:$A$365),E93)</f>
        <v>534.39134199166972</v>
      </c>
      <c r="C94" s="42">
        <f t="shared" si="4"/>
        <v>436.24900055006788</v>
      </c>
      <c r="D94" s="42">
        <f t="shared" si="5"/>
        <v>98.142341441601843</v>
      </c>
      <c r="E94" s="42">
        <f t="shared" si="3"/>
        <v>69701.697746569262</v>
      </c>
      <c r="F94" s="8">
        <v>7.4999999999999997E-2</v>
      </c>
      <c r="G94" s="41"/>
    </row>
    <row r="95" spans="1:7" x14ac:dyDescent="0.25">
      <c r="A95" s="8">
        <f>ROWS(A$5:A95)-1</f>
        <v>90</v>
      </c>
      <c r="B95" s="42">
        <f>-PMT(F95/$F$2,COUNT(A95:$A$365),E94)</f>
        <v>534.39134199166972</v>
      </c>
      <c r="C95" s="42">
        <f t="shared" si="4"/>
        <v>435.63561091605789</v>
      </c>
      <c r="D95" s="42">
        <f t="shared" si="5"/>
        <v>98.755731075611834</v>
      </c>
      <c r="E95" s="42">
        <f t="shared" si="3"/>
        <v>69602.942015493652</v>
      </c>
      <c r="F95" s="8">
        <v>7.4999999999999997E-2</v>
      </c>
      <c r="G95" s="41"/>
    </row>
    <row r="96" spans="1:7" x14ac:dyDescent="0.25">
      <c r="A96" s="8">
        <f>ROWS(A$5:A96)-1</f>
        <v>91</v>
      </c>
      <c r="B96" s="42">
        <f>-PMT(F96/$F$2,COUNT(A96:$A$365),E95)</f>
        <v>534.39134199166972</v>
      </c>
      <c r="C96" s="42">
        <f t="shared" si="4"/>
        <v>435.01838759683528</v>
      </c>
      <c r="D96" s="42">
        <f t="shared" si="5"/>
        <v>99.372954394834437</v>
      </c>
      <c r="E96" s="42">
        <f t="shared" si="3"/>
        <v>69503.569061098824</v>
      </c>
      <c r="F96" s="8">
        <v>7.4999999999999997E-2</v>
      </c>
      <c r="G96" s="41"/>
    </row>
    <row r="97" spans="1:7" x14ac:dyDescent="0.25">
      <c r="A97" s="8">
        <f>ROWS(A$5:A97)-1</f>
        <v>92</v>
      </c>
      <c r="B97" s="42">
        <f>-PMT(F97/$F$2,COUNT(A97:$A$365),E96)</f>
        <v>534.39134199166983</v>
      </c>
      <c r="C97" s="42">
        <f t="shared" si="4"/>
        <v>434.39730663186765</v>
      </c>
      <c r="D97" s="42">
        <f t="shared" si="5"/>
        <v>99.994035359802183</v>
      </c>
      <c r="E97" s="42">
        <f t="shared" si="3"/>
        <v>69403.575025739017</v>
      </c>
      <c r="F97" s="8">
        <v>7.4999999999999997E-2</v>
      </c>
      <c r="G97" s="41"/>
    </row>
    <row r="98" spans="1:7" x14ac:dyDescent="0.25">
      <c r="A98" s="8">
        <f>ROWS(A$5:A98)-1</f>
        <v>93</v>
      </c>
      <c r="B98" s="42">
        <f>-PMT(F98/$F$2,COUNT(A98:$A$365),E97)</f>
        <v>534.39134199166972</v>
      </c>
      <c r="C98" s="42">
        <f t="shared" si="4"/>
        <v>433.77234391086881</v>
      </c>
      <c r="D98" s="42">
        <f t="shared" si="5"/>
        <v>100.61899808080091</v>
      </c>
      <c r="E98" s="42">
        <f t="shared" si="3"/>
        <v>69302.95602765822</v>
      </c>
      <c r="F98" s="8">
        <v>7.4999999999999997E-2</v>
      </c>
      <c r="G98" s="41"/>
    </row>
    <row r="99" spans="1:7" x14ac:dyDescent="0.25">
      <c r="A99" s="8">
        <f>ROWS(A$5:A99)-1</f>
        <v>94</v>
      </c>
      <c r="B99" s="42">
        <f>-PMT(F99/$F$2,COUNT(A99:$A$365),E98)</f>
        <v>534.39134199166972</v>
      </c>
      <c r="C99" s="42">
        <f t="shared" si="4"/>
        <v>433.14347517286387</v>
      </c>
      <c r="D99" s="42">
        <f t="shared" si="5"/>
        <v>101.24786681880585</v>
      </c>
      <c r="E99" s="42">
        <f t="shared" si="3"/>
        <v>69201.708160839407</v>
      </c>
      <c r="F99" s="8">
        <v>7.4999999999999997E-2</v>
      </c>
      <c r="G99" s="41"/>
    </row>
    <row r="100" spans="1:7" x14ac:dyDescent="0.25">
      <c r="A100" s="8">
        <f>ROWS(A$5:A100)-1</f>
        <v>95</v>
      </c>
      <c r="B100" s="42">
        <f>-PMT(F100/$F$2,COUNT(A100:$A$365),E99)</f>
        <v>534.39134199166961</v>
      </c>
      <c r="C100" s="42">
        <f t="shared" si="4"/>
        <v>432.5106760052463</v>
      </c>
      <c r="D100" s="42">
        <f t="shared" si="5"/>
        <v>101.88066598642331</v>
      </c>
      <c r="E100" s="42">
        <f t="shared" si="3"/>
        <v>69099.827494852987</v>
      </c>
      <c r="F100" s="8">
        <v>7.4999999999999997E-2</v>
      </c>
      <c r="G100" s="41"/>
    </row>
    <row r="101" spans="1:7" x14ac:dyDescent="0.25">
      <c r="A101" s="8">
        <f>ROWS(A$5:A101)-1</f>
        <v>96</v>
      </c>
      <c r="B101" s="42">
        <f>-PMT(F101/$F$2,COUNT(A101:$A$365),E100)</f>
        <v>534.39134199166972</v>
      </c>
      <c r="C101" s="42">
        <f t="shared" si="4"/>
        <v>431.87392184283112</v>
      </c>
      <c r="D101" s="42">
        <f t="shared" si="5"/>
        <v>102.5174201488386</v>
      </c>
      <c r="E101" s="42">
        <f t="shared" si="3"/>
        <v>68997.310074704146</v>
      </c>
      <c r="F101" s="8">
        <v>7.4999999999999997E-2</v>
      </c>
      <c r="G101" s="41"/>
    </row>
    <row r="102" spans="1:7" x14ac:dyDescent="0.25">
      <c r="A102" s="8">
        <f>ROWS(A$5:A102)-1</f>
        <v>97</v>
      </c>
      <c r="B102" s="42">
        <f>-PMT(F102/$F$2,COUNT(A102:$A$365),E101)</f>
        <v>534.39134199166972</v>
      </c>
      <c r="C102" s="42">
        <f t="shared" si="4"/>
        <v>431.23318796690091</v>
      </c>
      <c r="D102" s="42">
        <f t="shared" si="5"/>
        <v>103.15815402476881</v>
      </c>
      <c r="E102" s="42">
        <f t="shared" si="3"/>
        <v>68894.151920679375</v>
      </c>
      <c r="F102" s="8">
        <v>7.4999999999999997E-2</v>
      </c>
      <c r="G102" s="41"/>
    </row>
    <row r="103" spans="1:7" x14ac:dyDescent="0.25">
      <c r="A103" s="8">
        <f>ROWS(A$5:A103)-1</f>
        <v>98</v>
      </c>
      <c r="B103" s="42">
        <f>-PMT(F103/$F$2,COUNT(A103:$A$365),E102)</f>
        <v>534.39134199166972</v>
      </c>
      <c r="C103" s="42">
        <f t="shared" si="4"/>
        <v>430.58844950424606</v>
      </c>
      <c r="D103" s="42">
        <f t="shared" si="5"/>
        <v>103.80289248742366</v>
      </c>
      <c r="E103" s="42">
        <f t="shared" si="3"/>
        <v>68790.349028191951</v>
      </c>
      <c r="F103" s="8">
        <v>7.4999999999999997E-2</v>
      </c>
      <c r="G103" s="41"/>
    </row>
    <row r="104" spans="1:7" x14ac:dyDescent="0.25">
      <c r="A104" s="8">
        <f>ROWS(A$5:A104)-1</f>
        <v>99</v>
      </c>
      <c r="B104" s="42">
        <f>-PMT(F104/$F$2,COUNT(A104:$A$365),E103)</f>
        <v>534.39134199166972</v>
      </c>
      <c r="C104" s="42">
        <f t="shared" si="4"/>
        <v>429.93968142619968</v>
      </c>
      <c r="D104" s="42">
        <f t="shared" si="5"/>
        <v>104.45166056547004</v>
      </c>
      <c r="E104" s="42">
        <f t="shared" si="3"/>
        <v>68685.897367626487</v>
      </c>
      <c r="F104" s="8">
        <v>7.4999999999999997E-2</v>
      </c>
      <c r="G104" s="41"/>
    </row>
    <row r="105" spans="1:7" x14ac:dyDescent="0.25">
      <c r="A105" s="8">
        <f>ROWS(A$5:A105)-1</f>
        <v>100</v>
      </c>
      <c r="B105" s="42">
        <f>-PMT(F105/$F$2,COUNT(A105:$A$365),E104)</f>
        <v>534.39134199166983</v>
      </c>
      <c r="C105" s="42">
        <f t="shared" si="4"/>
        <v>429.28685854766553</v>
      </c>
      <c r="D105" s="42">
        <f t="shared" si="5"/>
        <v>105.1044834440043</v>
      </c>
      <c r="E105" s="42">
        <f t="shared" si="3"/>
        <v>68580.792884182476</v>
      </c>
      <c r="F105" s="8">
        <v>7.4999999999999997E-2</v>
      </c>
      <c r="G105" s="41"/>
    </row>
    <row r="106" spans="1:7" x14ac:dyDescent="0.25">
      <c r="A106" s="8">
        <f>ROWS(A$5:A106)-1</f>
        <v>101</v>
      </c>
      <c r="B106" s="42">
        <f>-PMT(F106/$F$2,COUNT(A106:$A$365),E105)</f>
        <v>534.39134199166972</v>
      </c>
      <c r="C106" s="42">
        <f t="shared" si="4"/>
        <v>428.62995552614046</v>
      </c>
      <c r="D106" s="42">
        <f t="shared" si="5"/>
        <v>105.76138646552926</v>
      </c>
      <c r="E106" s="42">
        <f t="shared" si="3"/>
        <v>68475.031497716947</v>
      </c>
      <c r="F106" s="8">
        <v>7.4999999999999997E-2</v>
      </c>
      <c r="G106" s="41"/>
    </row>
    <row r="107" spans="1:7" x14ac:dyDescent="0.25">
      <c r="A107" s="8">
        <f>ROWS(A$5:A107)-1</f>
        <v>102</v>
      </c>
      <c r="B107" s="42">
        <f>-PMT(F107/$F$2,COUNT(A107:$A$365),E106)</f>
        <v>534.39134199166961</v>
      </c>
      <c r="C107" s="42">
        <f t="shared" si="4"/>
        <v>427.96894686073091</v>
      </c>
      <c r="D107" s="42">
        <f t="shared" si="5"/>
        <v>106.4223951309387</v>
      </c>
      <c r="E107" s="42">
        <f t="shared" si="3"/>
        <v>68368.609102586008</v>
      </c>
      <c r="F107" s="8">
        <v>7.4999999999999997E-2</v>
      </c>
      <c r="G107" s="41"/>
    </row>
    <row r="108" spans="1:7" x14ac:dyDescent="0.25">
      <c r="A108" s="8">
        <f>ROWS(A$5:A108)-1</f>
        <v>103</v>
      </c>
      <c r="B108" s="42">
        <f>-PMT(F108/$F$2,COUNT(A108:$A$365),E107)</f>
        <v>534.39134199166972</v>
      </c>
      <c r="C108" s="42">
        <f t="shared" si="4"/>
        <v>427.30380689116254</v>
      </c>
      <c r="D108" s="42">
        <f t="shared" si="5"/>
        <v>107.08753510050718</v>
      </c>
      <c r="E108" s="42">
        <f t="shared" si="3"/>
        <v>68261.521567485499</v>
      </c>
      <c r="F108" s="8">
        <v>7.4999999999999997E-2</v>
      </c>
      <c r="G108" s="41"/>
    </row>
    <row r="109" spans="1:7" x14ac:dyDescent="0.25">
      <c r="A109" s="8">
        <f>ROWS(A$5:A109)-1</f>
        <v>104</v>
      </c>
      <c r="B109" s="42">
        <f>-PMT(F109/$F$2,COUNT(A109:$A$365),E108)</f>
        <v>534.39134199166961</v>
      </c>
      <c r="C109" s="42">
        <f t="shared" si="4"/>
        <v>426.63450979678436</v>
      </c>
      <c r="D109" s="42">
        <f t="shared" si="5"/>
        <v>107.75683219488525</v>
      </c>
      <c r="E109" s="42">
        <f t="shared" si="3"/>
        <v>68153.764735290621</v>
      </c>
      <c r="F109" s="8">
        <v>7.4999999999999997E-2</v>
      </c>
      <c r="G109" s="41"/>
    </row>
    <row r="110" spans="1:7" x14ac:dyDescent="0.25">
      <c r="A110" s="8">
        <f>ROWS(A$5:A110)-1</f>
        <v>105</v>
      </c>
      <c r="B110" s="42">
        <f>-PMT(F110/$F$2,COUNT(A110:$A$365),E109)</f>
        <v>534.39134199166972</v>
      </c>
      <c r="C110" s="42">
        <f t="shared" si="4"/>
        <v>425.96102959556634</v>
      </c>
      <c r="D110" s="42">
        <f t="shared" si="5"/>
        <v>108.43031239610337</v>
      </c>
      <c r="E110" s="42">
        <f t="shared" si="3"/>
        <v>68045.334422894521</v>
      </c>
      <c r="F110" s="8">
        <v>7.4999999999999997E-2</v>
      </c>
      <c r="G110" s="41"/>
    </row>
    <row r="111" spans="1:7" x14ac:dyDescent="0.25">
      <c r="A111" s="8">
        <f>ROWS(A$5:A111)-1</f>
        <v>106</v>
      </c>
      <c r="B111" s="42">
        <f>-PMT(F111/$F$2,COUNT(A111:$A$365),E110)</f>
        <v>534.39134199166972</v>
      </c>
      <c r="C111" s="42">
        <f t="shared" si="4"/>
        <v>425.28334014309075</v>
      </c>
      <c r="D111" s="42">
        <f t="shared" si="5"/>
        <v>109.10800184857897</v>
      </c>
      <c r="E111" s="42">
        <f t="shared" si="3"/>
        <v>67936.22642104594</v>
      </c>
      <c r="F111" s="8">
        <v>7.4999999999999997E-2</v>
      </c>
      <c r="G111" s="41"/>
    </row>
    <row r="112" spans="1:7" x14ac:dyDescent="0.25">
      <c r="A112" s="8">
        <f>ROWS(A$5:A112)-1</f>
        <v>107</v>
      </c>
      <c r="B112" s="42">
        <f>-PMT(F112/$F$2,COUNT(A112:$A$365),E111)</f>
        <v>534.39134199166983</v>
      </c>
      <c r="C112" s="42">
        <f t="shared" si="4"/>
        <v>424.60141513153712</v>
      </c>
      <c r="D112" s="42">
        <f t="shared" si="5"/>
        <v>109.78992686013271</v>
      </c>
      <c r="E112" s="42">
        <f t="shared" si="3"/>
        <v>67826.436494185808</v>
      </c>
      <c r="F112" s="8">
        <v>7.4999999999999997E-2</v>
      </c>
      <c r="G112" s="41"/>
    </row>
    <row r="113" spans="1:7" x14ac:dyDescent="0.25">
      <c r="A113" s="8">
        <f>ROWS(A$5:A113)-1</f>
        <v>108</v>
      </c>
      <c r="B113" s="42">
        <f>-PMT(F113/$F$2,COUNT(A113:$A$365),E112)</f>
        <v>534.39134199166972</v>
      </c>
      <c r="C113" s="42">
        <f t="shared" si="4"/>
        <v>423.91522808866125</v>
      </c>
      <c r="D113" s="42">
        <f t="shared" si="5"/>
        <v>110.47611390300847</v>
      </c>
      <c r="E113" s="42">
        <f t="shared" si="3"/>
        <v>67715.960380282806</v>
      </c>
      <c r="F113" s="8">
        <v>7.4999999999999997E-2</v>
      </c>
      <c r="G113" s="41"/>
    </row>
    <row r="114" spans="1:7" x14ac:dyDescent="0.25">
      <c r="A114" s="8">
        <f>ROWS(A$5:A114)-1</f>
        <v>109</v>
      </c>
      <c r="B114" s="42">
        <f>-PMT(F114/$F$2,COUNT(A114:$A$365),E113)</f>
        <v>534.39134199166983</v>
      </c>
      <c r="C114" s="42">
        <f t="shared" si="4"/>
        <v>423.22475237676753</v>
      </c>
      <c r="D114" s="42">
        <f t="shared" si="5"/>
        <v>111.16658961490231</v>
      </c>
      <c r="E114" s="42">
        <f t="shared" si="3"/>
        <v>67604.7937906679</v>
      </c>
      <c r="F114" s="8">
        <v>7.4999999999999997E-2</v>
      </c>
      <c r="G114" s="41"/>
    </row>
    <row r="115" spans="1:7" x14ac:dyDescent="0.25">
      <c r="A115" s="8">
        <f>ROWS(A$5:A115)-1</f>
        <v>110</v>
      </c>
      <c r="B115" s="42">
        <f>-PMT(F115/$F$2,COUNT(A115:$A$365),E114)</f>
        <v>534.39134199166983</v>
      </c>
      <c r="C115" s="42">
        <f t="shared" si="4"/>
        <v>422.52996119167437</v>
      </c>
      <c r="D115" s="42">
        <f t="shared" si="5"/>
        <v>111.86138079999546</v>
      </c>
      <c r="E115" s="42">
        <f t="shared" si="3"/>
        <v>67492.932409867906</v>
      </c>
      <c r="F115" s="8">
        <v>7.4999999999999997E-2</v>
      </c>
      <c r="G115" s="41"/>
    </row>
    <row r="116" spans="1:7" x14ac:dyDescent="0.25">
      <c r="A116" s="8">
        <f>ROWS(A$5:A116)-1</f>
        <v>111</v>
      </c>
      <c r="B116" s="42">
        <f>-PMT(F116/$F$2,COUNT(A116:$A$365),E115)</f>
        <v>534.39134199166983</v>
      </c>
      <c r="C116" s="42">
        <f t="shared" si="4"/>
        <v>421.83082756167437</v>
      </c>
      <c r="D116" s="42">
        <f t="shared" si="5"/>
        <v>112.56051442999546</v>
      </c>
      <c r="E116" s="42">
        <f t="shared" si="3"/>
        <v>67380.371895437915</v>
      </c>
      <c r="F116" s="8">
        <v>7.4999999999999997E-2</v>
      </c>
      <c r="G116" s="41"/>
    </row>
    <row r="117" spans="1:7" x14ac:dyDescent="0.25">
      <c r="A117" s="8">
        <f>ROWS(A$5:A117)-1</f>
        <v>112</v>
      </c>
      <c r="B117" s="42">
        <f>-PMT(F117/$F$2,COUNT(A117:$A$365),E116)</f>
        <v>534.39134199166983</v>
      </c>
      <c r="C117" s="42">
        <f t="shared" si="4"/>
        <v>421.127324346487</v>
      </c>
      <c r="D117" s="42">
        <f t="shared" si="5"/>
        <v>113.26401764518283</v>
      </c>
      <c r="E117" s="42">
        <f t="shared" si="3"/>
        <v>67267.107877792732</v>
      </c>
      <c r="F117" s="8">
        <v>7.4999999999999997E-2</v>
      </c>
      <c r="G117" s="41"/>
    </row>
    <row r="118" spans="1:7" x14ac:dyDescent="0.25">
      <c r="A118" s="8">
        <f>ROWS(A$5:A118)-1</f>
        <v>113</v>
      </c>
      <c r="B118" s="42">
        <f>-PMT(F118/$F$2,COUNT(A118:$A$365),E117)</f>
        <v>534.39134199166983</v>
      </c>
      <c r="C118" s="42">
        <f t="shared" si="4"/>
        <v>420.41942423620458</v>
      </c>
      <c r="D118" s="42">
        <f t="shared" si="5"/>
        <v>113.97191775546526</v>
      </c>
      <c r="E118" s="42">
        <f t="shared" si="3"/>
        <v>67153.135960037267</v>
      </c>
      <c r="F118" s="8">
        <v>7.4999999999999997E-2</v>
      </c>
      <c r="G118" s="41"/>
    </row>
    <row r="119" spans="1:7" x14ac:dyDescent="0.25">
      <c r="A119" s="8">
        <f>ROWS(A$5:A119)-1</f>
        <v>114</v>
      </c>
      <c r="B119" s="42">
        <f>-PMT(F119/$F$2,COUNT(A119:$A$365),E118)</f>
        <v>534.39134199166983</v>
      </c>
      <c r="C119" s="42">
        <f t="shared" si="4"/>
        <v>419.70709975023289</v>
      </c>
      <c r="D119" s="42">
        <f t="shared" si="5"/>
        <v>114.68424224143695</v>
      </c>
      <c r="E119" s="42">
        <f t="shared" si="3"/>
        <v>67038.451717795833</v>
      </c>
      <c r="F119" s="8">
        <v>7.4999999999999997E-2</v>
      </c>
      <c r="G119" s="41"/>
    </row>
    <row r="120" spans="1:7" x14ac:dyDescent="0.25">
      <c r="A120" s="8">
        <f>ROWS(A$5:A120)-1</f>
        <v>115</v>
      </c>
      <c r="B120" s="42">
        <f>-PMT(F120/$F$2,COUNT(A120:$A$365),E119)</f>
        <v>534.39134199166983</v>
      </c>
      <c r="C120" s="42">
        <f t="shared" si="4"/>
        <v>418.99032323622396</v>
      </c>
      <c r="D120" s="42">
        <f t="shared" si="5"/>
        <v>115.40101875544588</v>
      </c>
      <c r="E120" s="42">
        <f t="shared" si="3"/>
        <v>66923.050699040381</v>
      </c>
      <c r="F120" s="8">
        <v>7.4999999999999997E-2</v>
      </c>
      <c r="G120" s="41"/>
    </row>
    <row r="121" spans="1:7" x14ac:dyDescent="0.25">
      <c r="A121" s="8">
        <f>ROWS(A$5:A121)-1</f>
        <v>116</v>
      </c>
      <c r="B121" s="42">
        <f>-PMT(F121/$F$2,COUNT(A121:$A$365),E120)</f>
        <v>534.39134199166983</v>
      </c>
      <c r="C121" s="42">
        <f t="shared" si="4"/>
        <v>418.26906686900242</v>
      </c>
      <c r="D121" s="42">
        <f t="shared" si="5"/>
        <v>116.12227512266742</v>
      </c>
      <c r="E121" s="42">
        <f t="shared" si="3"/>
        <v>66806.928423917707</v>
      </c>
      <c r="F121" s="8">
        <v>7.4999999999999997E-2</v>
      </c>
      <c r="G121" s="41"/>
    </row>
    <row r="122" spans="1:7" x14ac:dyDescent="0.25">
      <c r="A122" s="8">
        <f>ROWS(A$5:A122)-1</f>
        <v>117</v>
      </c>
      <c r="B122" s="42">
        <f>-PMT(F122/$F$2,COUNT(A122:$A$365),E121)</f>
        <v>534.39134199166972</v>
      </c>
      <c r="C122" s="42">
        <f t="shared" si="4"/>
        <v>417.54330264948567</v>
      </c>
      <c r="D122" s="42">
        <f t="shared" si="5"/>
        <v>116.84803934218405</v>
      </c>
      <c r="E122" s="42">
        <f t="shared" si="3"/>
        <v>66690.080384575529</v>
      </c>
      <c r="F122" s="8">
        <v>7.4999999999999997E-2</v>
      </c>
      <c r="G122" s="41"/>
    </row>
    <row r="123" spans="1:7" x14ac:dyDescent="0.25">
      <c r="A123" s="8">
        <f>ROWS(A$5:A123)-1</f>
        <v>118</v>
      </c>
      <c r="B123" s="42">
        <f>-PMT(F123/$F$2,COUNT(A123:$A$365),E122)</f>
        <v>534.39134199166972</v>
      </c>
      <c r="C123" s="42">
        <f t="shared" si="4"/>
        <v>416.81300240359701</v>
      </c>
      <c r="D123" s="42">
        <f t="shared" si="5"/>
        <v>117.57833958807271</v>
      </c>
      <c r="E123" s="42">
        <f t="shared" si="3"/>
        <v>66572.502044987457</v>
      </c>
      <c r="F123" s="8">
        <v>7.4999999999999997E-2</v>
      </c>
      <c r="G123" s="41"/>
    </row>
    <row r="124" spans="1:7" x14ac:dyDescent="0.25">
      <c r="A124" s="8">
        <f>ROWS(A$5:A124)-1</f>
        <v>119</v>
      </c>
      <c r="B124" s="42">
        <f>-PMT(F124/$F$2,COUNT(A124:$A$365),E123)</f>
        <v>534.39134199166983</v>
      </c>
      <c r="C124" s="42">
        <f t="shared" si="4"/>
        <v>416.07813778117156</v>
      </c>
      <c r="D124" s="42">
        <f t="shared" si="5"/>
        <v>118.31320421049827</v>
      </c>
      <c r="E124" s="42">
        <f t="shared" si="3"/>
        <v>66454.188840776958</v>
      </c>
      <c r="F124" s="8">
        <v>7.4999999999999997E-2</v>
      </c>
      <c r="G124" s="41"/>
    </row>
    <row r="125" spans="1:7" x14ac:dyDescent="0.25">
      <c r="A125" s="8">
        <f>ROWS(A$5:A125)-1</f>
        <v>120</v>
      </c>
      <c r="B125" s="42">
        <f>-PMT(F125/$F$2,COUNT(A125:$A$365),E124)</f>
        <v>534.39134199166972</v>
      </c>
      <c r="C125" s="42">
        <f t="shared" si="4"/>
        <v>415.33868025485594</v>
      </c>
      <c r="D125" s="42">
        <f t="shared" si="5"/>
        <v>119.05266173681377</v>
      </c>
      <c r="E125" s="42">
        <f t="shared" si="3"/>
        <v>66335.136179040142</v>
      </c>
      <c r="F125" s="8">
        <v>7.4999999999999997E-2</v>
      </c>
      <c r="G125" s="41"/>
    </row>
    <row r="126" spans="1:7" x14ac:dyDescent="0.25">
      <c r="A126" s="8">
        <f>ROWS(A$5:A126)-1</f>
        <v>121</v>
      </c>
      <c r="B126" s="42">
        <f>-PMT(F126/$F$2,COUNT(A126:$A$365),E125)</f>
        <v>534.39134199166983</v>
      </c>
      <c r="C126" s="42">
        <f t="shared" si="4"/>
        <v>414.59460111900086</v>
      </c>
      <c r="D126" s="42">
        <f t="shared" si="5"/>
        <v>119.79674087266898</v>
      </c>
      <c r="E126" s="42">
        <f t="shared" si="3"/>
        <v>66215.339438167473</v>
      </c>
      <c r="F126" s="8">
        <v>7.4999999999999997E-2</v>
      </c>
      <c r="G126" s="41"/>
    </row>
    <row r="127" spans="1:7" x14ac:dyDescent="0.25">
      <c r="A127" s="8">
        <f>ROWS(A$5:A127)-1</f>
        <v>122</v>
      </c>
      <c r="B127" s="42">
        <f>-PMT(F127/$F$2,COUNT(A127:$A$365),E126)</f>
        <v>534.39134199166972</v>
      </c>
      <c r="C127" s="42">
        <f t="shared" si="4"/>
        <v>413.84587148854666</v>
      </c>
      <c r="D127" s="42">
        <f t="shared" si="5"/>
        <v>120.54547050312306</v>
      </c>
      <c r="E127" s="42">
        <f t="shared" si="3"/>
        <v>66094.793967664344</v>
      </c>
      <c r="F127" s="8">
        <v>7.4999999999999997E-2</v>
      </c>
      <c r="G127" s="41"/>
    </row>
    <row r="128" spans="1:7" x14ac:dyDescent="0.25">
      <c r="A128" s="8">
        <f>ROWS(A$5:A128)-1</f>
        <v>123</v>
      </c>
      <c r="B128" s="42">
        <f>-PMT(F128/$F$2,COUNT(A128:$A$365),E127)</f>
        <v>534.39134199166972</v>
      </c>
      <c r="C128" s="42">
        <f t="shared" si="4"/>
        <v>413.0924622979021</v>
      </c>
      <c r="D128" s="42">
        <f t="shared" si="5"/>
        <v>121.29887969376762</v>
      </c>
      <c r="E128" s="42">
        <f t="shared" si="3"/>
        <v>65973.495087970572</v>
      </c>
      <c r="F128" s="8">
        <v>7.4999999999999997E-2</v>
      </c>
      <c r="G128" s="41"/>
    </row>
    <row r="129" spans="1:7" x14ac:dyDescent="0.25">
      <c r="A129" s="8">
        <f>ROWS(A$5:A129)-1</f>
        <v>124</v>
      </c>
      <c r="B129" s="42">
        <f>-PMT(F129/$F$2,COUNT(A129:$A$365),E128)</f>
        <v>534.39134199166961</v>
      </c>
      <c r="C129" s="42">
        <f t="shared" si="4"/>
        <v>412.33434429981611</v>
      </c>
      <c r="D129" s="42">
        <f t="shared" si="5"/>
        <v>122.0569976918535</v>
      </c>
      <c r="E129" s="42">
        <f t="shared" si="3"/>
        <v>65851.438090278723</v>
      </c>
      <c r="F129" s="8">
        <v>7.4999999999999997E-2</v>
      </c>
      <c r="G129" s="41"/>
    </row>
    <row r="130" spans="1:7" x14ac:dyDescent="0.25">
      <c r="A130" s="8">
        <f>ROWS(A$5:A130)-1</f>
        <v>125</v>
      </c>
      <c r="B130" s="42">
        <f>-PMT(F130/$F$2,COUNT(A130:$A$365),E129)</f>
        <v>534.39134199166972</v>
      </c>
      <c r="C130" s="42">
        <f t="shared" si="4"/>
        <v>411.57148806424198</v>
      </c>
      <c r="D130" s="42">
        <f t="shared" si="5"/>
        <v>122.81985392742774</v>
      </c>
      <c r="E130" s="42">
        <f t="shared" si="3"/>
        <v>65728.618236351293</v>
      </c>
      <c r="F130" s="8">
        <v>7.4999999999999997E-2</v>
      </c>
      <c r="G130" s="41"/>
    </row>
    <row r="131" spans="1:7" x14ac:dyDescent="0.25">
      <c r="A131" s="8">
        <f>ROWS(A$5:A131)-1</f>
        <v>126</v>
      </c>
      <c r="B131" s="42">
        <f>-PMT(F131/$F$2,COUNT(A131:$A$365),E130)</f>
        <v>534.39134199166972</v>
      </c>
      <c r="C131" s="42">
        <f t="shared" si="4"/>
        <v>410.80386397719553</v>
      </c>
      <c r="D131" s="42">
        <f t="shared" si="5"/>
        <v>123.58747801447419</v>
      </c>
      <c r="E131" s="42">
        <f t="shared" si="3"/>
        <v>65605.030758336812</v>
      </c>
      <c r="F131" s="8">
        <v>7.4999999999999997E-2</v>
      </c>
      <c r="G131" s="41"/>
    </row>
    <row r="132" spans="1:7" x14ac:dyDescent="0.25">
      <c r="A132" s="8">
        <f>ROWS(A$5:A132)-1</f>
        <v>127</v>
      </c>
      <c r="B132" s="42">
        <f>-PMT(F132/$F$2,COUNT(A132:$A$365),E131)</f>
        <v>534.39134199166961</v>
      </c>
      <c r="C132" s="42">
        <f t="shared" si="4"/>
        <v>410.03144223960504</v>
      </c>
      <c r="D132" s="42">
        <f t="shared" si="5"/>
        <v>124.35989975206456</v>
      </c>
      <c r="E132" s="42">
        <f t="shared" si="3"/>
        <v>65480.670858584745</v>
      </c>
      <c r="F132" s="8">
        <v>7.4999999999999997E-2</v>
      </c>
      <c r="G132" s="41"/>
    </row>
    <row r="133" spans="1:7" x14ac:dyDescent="0.25">
      <c r="A133" s="8">
        <f>ROWS(A$5:A133)-1</f>
        <v>128</v>
      </c>
      <c r="B133" s="42">
        <f>-PMT(F133/$F$2,COUNT(A133:$A$365),E132)</f>
        <v>534.39134199166961</v>
      </c>
      <c r="C133" s="42">
        <f t="shared" si="4"/>
        <v>409.25419286615465</v>
      </c>
      <c r="D133" s="42">
        <f t="shared" si="5"/>
        <v>125.13714912551495</v>
      </c>
      <c r="E133" s="42">
        <f t="shared" si="3"/>
        <v>65355.533709459232</v>
      </c>
      <c r="F133" s="8">
        <v>7.4999999999999997E-2</v>
      </c>
      <c r="G133" s="41"/>
    </row>
    <row r="134" spans="1:7" x14ac:dyDescent="0.25">
      <c r="A134" s="8">
        <f>ROWS(A$5:A134)-1</f>
        <v>129</v>
      </c>
      <c r="B134" s="42">
        <f>-PMT(F134/$F$2,COUNT(A134:$A$365),E133)</f>
        <v>534.39134199166961</v>
      </c>
      <c r="C134" s="42">
        <f t="shared" si="4"/>
        <v>408.4720856841202</v>
      </c>
      <c r="D134" s="42">
        <f t="shared" si="5"/>
        <v>125.9192563075494</v>
      </c>
      <c r="E134" s="42">
        <f t="shared" ref="E134:E197" si="6">E133-D134-G134</f>
        <v>65229.614453151684</v>
      </c>
      <c r="F134" s="8">
        <v>7.4999999999999997E-2</v>
      </c>
      <c r="G134" s="41"/>
    </row>
    <row r="135" spans="1:7" x14ac:dyDescent="0.25">
      <c r="A135" s="8">
        <f>ROWS(A$5:A135)-1</f>
        <v>130</v>
      </c>
      <c r="B135" s="42">
        <f>-PMT(F135/$F$2,COUNT(A135:$A$365),E134)</f>
        <v>534.39134199166961</v>
      </c>
      <c r="C135" s="42">
        <f t="shared" ref="C135:C198" si="7">E134*F135/$F$2</f>
        <v>407.68509033219806</v>
      </c>
      <c r="D135" s="42">
        <f t="shared" ref="D135:D198" si="8">B135-C135</f>
        <v>126.70625165947155</v>
      </c>
      <c r="E135" s="42">
        <f t="shared" si="6"/>
        <v>65102.90820149221</v>
      </c>
      <c r="F135" s="8">
        <v>7.4999999999999997E-2</v>
      </c>
      <c r="G135" s="41"/>
    </row>
    <row r="136" spans="1:7" x14ac:dyDescent="0.25">
      <c r="A136" s="8">
        <f>ROWS(A$5:A136)-1</f>
        <v>131</v>
      </c>
      <c r="B136" s="42">
        <f>-PMT(F136/$F$2,COUNT(A136:$A$365),E135)</f>
        <v>534.39134199166961</v>
      </c>
      <c r="C136" s="42">
        <f t="shared" si="7"/>
        <v>406.89317625932631</v>
      </c>
      <c r="D136" s="42">
        <f t="shared" si="8"/>
        <v>127.4981657323433</v>
      </c>
      <c r="E136" s="42">
        <f t="shared" si="6"/>
        <v>64975.410035759865</v>
      </c>
      <c r="F136" s="8">
        <v>7.4999999999999997E-2</v>
      </c>
      <c r="G136" s="41"/>
    </row>
    <row r="137" spans="1:7" x14ac:dyDescent="0.25">
      <c r="A137" s="8">
        <f>ROWS(A$5:A137)-1</f>
        <v>132</v>
      </c>
      <c r="B137" s="42">
        <f>-PMT(F137/$F$2,COUNT(A137:$A$365),E136)</f>
        <v>534.39134199166961</v>
      </c>
      <c r="C137" s="42">
        <f t="shared" si="7"/>
        <v>406.09631272349912</v>
      </c>
      <c r="D137" s="42">
        <f t="shared" si="8"/>
        <v>128.29502926817048</v>
      </c>
      <c r="E137" s="42">
        <f t="shared" si="6"/>
        <v>64847.115006491695</v>
      </c>
      <c r="F137" s="8">
        <v>7.4999999999999997E-2</v>
      </c>
      <c r="G137" s="41"/>
    </row>
    <row r="138" spans="1:7" x14ac:dyDescent="0.25">
      <c r="A138" s="8">
        <f>ROWS(A$5:A138)-1</f>
        <v>133</v>
      </c>
      <c r="B138" s="42">
        <f>-PMT(F138/$F$2,COUNT(A138:$A$365),E137)</f>
        <v>534.39134199166961</v>
      </c>
      <c r="C138" s="42">
        <f t="shared" si="7"/>
        <v>405.29446879057309</v>
      </c>
      <c r="D138" s="42">
        <f t="shared" si="8"/>
        <v>129.09687320109651</v>
      </c>
      <c r="E138" s="42">
        <f t="shared" si="6"/>
        <v>64718.0181332906</v>
      </c>
      <c r="F138" s="8">
        <v>7.4999999999999997E-2</v>
      </c>
      <c r="G138" s="41"/>
    </row>
    <row r="139" spans="1:7" x14ac:dyDescent="0.25">
      <c r="A139" s="8">
        <f>ROWS(A$5:A139)-1</f>
        <v>134</v>
      </c>
      <c r="B139" s="42">
        <f>-PMT(F139/$F$2,COUNT(A139:$A$365),E138)</f>
        <v>534.39134199166961</v>
      </c>
      <c r="C139" s="42">
        <f t="shared" si="7"/>
        <v>404.48761333306624</v>
      </c>
      <c r="D139" s="42">
        <f t="shared" si="8"/>
        <v>129.90372865860337</v>
      </c>
      <c r="E139" s="42">
        <f t="shared" si="6"/>
        <v>64588.114404631997</v>
      </c>
      <c r="F139" s="8">
        <v>7.4999999999999997E-2</v>
      </c>
      <c r="G139" s="41"/>
    </row>
    <row r="140" spans="1:7" x14ac:dyDescent="0.25">
      <c r="A140" s="8">
        <f>ROWS(A$5:A140)-1</f>
        <v>135</v>
      </c>
      <c r="B140" s="42">
        <f>-PMT(F140/$F$2,COUNT(A140:$A$365),E139)</f>
        <v>534.39134199166961</v>
      </c>
      <c r="C140" s="42">
        <f t="shared" si="7"/>
        <v>403.67571502894998</v>
      </c>
      <c r="D140" s="42">
        <f t="shared" si="8"/>
        <v>130.71562696271963</v>
      </c>
      <c r="E140" s="42">
        <f t="shared" si="6"/>
        <v>64457.398777669274</v>
      </c>
      <c r="F140" s="8">
        <v>7.4999999999999997E-2</v>
      </c>
      <c r="G140" s="41"/>
    </row>
    <row r="141" spans="1:7" x14ac:dyDescent="0.25">
      <c r="A141" s="8">
        <f>ROWS(A$5:A141)-1</f>
        <v>136</v>
      </c>
      <c r="B141" s="42">
        <f>-PMT(F141/$F$2,COUNT(A141:$A$365),E140)</f>
        <v>534.39134199166961</v>
      </c>
      <c r="C141" s="42">
        <f t="shared" si="7"/>
        <v>402.85874236043293</v>
      </c>
      <c r="D141" s="42">
        <f t="shared" si="8"/>
        <v>131.53259963123668</v>
      </c>
      <c r="E141" s="42">
        <f t="shared" si="6"/>
        <v>64325.866178038035</v>
      </c>
      <c r="F141" s="8">
        <v>7.4999999999999997E-2</v>
      </c>
      <c r="G141" s="41"/>
    </row>
    <row r="142" spans="1:7" x14ac:dyDescent="0.25">
      <c r="A142" s="8">
        <f>ROWS(A$5:A142)-1</f>
        <v>137</v>
      </c>
      <c r="B142" s="42">
        <f>-PMT(F142/$F$2,COUNT(A142:$A$365),E141)</f>
        <v>534.39134199166961</v>
      </c>
      <c r="C142" s="42">
        <f t="shared" si="7"/>
        <v>402.03666361273775</v>
      </c>
      <c r="D142" s="42">
        <f t="shared" si="8"/>
        <v>132.35467837893185</v>
      </c>
      <c r="E142" s="42">
        <f t="shared" si="6"/>
        <v>64193.5114996591</v>
      </c>
      <c r="F142" s="8">
        <v>7.4999999999999997E-2</v>
      </c>
      <c r="G142" s="41"/>
    </row>
    <row r="143" spans="1:7" x14ac:dyDescent="0.25">
      <c r="A143" s="8">
        <f>ROWS(A$5:A143)-1</f>
        <v>138</v>
      </c>
      <c r="B143" s="42">
        <f>-PMT(F143/$F$2,COUNT(A143:$A$365),E142)</f>
        <v>534.39134199166949</v>
      </c>
      <c r="C143" s="42">
        <f t="shared" si="7"/>
        <v>401.20944687286936</v>
      </c>
      <c r="D143" s="42">
        <f t="shared" si="8"/>
        <v>133.18189511880013</v>
      </c>
      <c r="E143" s="42">
        <f t="shared" si="6"/>
        <v>64060.329604540297</v>
      </c>
      <c r="F143" s="8">
        <v>7.4999999999999997E-2</v>
      </c>
      <c r="G143" s="41"/>
    </row>
    <row r="144" spans="1:7" x14ac:dyDescent="0.25">
      <c r="A144" s="8">
        <f>ROWS(A$5:A144)-1</f>
        <v>139</v>
      </c>
      <c r="B144" s="42">
        <f>-PMT(F144/$F$2,COUNT(A144:$A$365),E143)</f>
        <v>534.39134199166949</v>
      </c>
      <c r="C144" s="42">
        <f t="shared" si="7"/>
        <v>400.37706002837689</v>
      </c>
      <c r="D144" s="42">
        <f t="shared" si="8"/>
        <v>134.0142819632926</v>
      </c>
      <c r="E144" s="42">
        <f t="shared" si="6"/>
        <v>63926.315322577007</v>
      </c>
      <c r="F144" s="8">
        <v>7.4999999999999997E-2</v>
      </c>
      <c r="G144" s="41"/>
    </row>
    <row r="145" spans="1:7" x14ac:dyDescent="0.25">
      <c r="A145" s="8">
        <f>ROWS(A$5:A145)-1</f>
        <v>140</v>
      </c>
      <c r="B145" s="42">
        <f>-PMT(F145/$F$2,COUNT(A145:$A$365),E144)</f>
        <v>534.39134199166949</v>
      </c>
      <c r="C145" s="42">
        <f t="shared" si="7"/>
        <v>399.53947076610626</v>
      </c>
      <c r="D145" s="42">
        <f t="shared" si="8"/>
        <v>134.85187122556323</v>
      </c>
      <c r="E145" s="42">
        <f t="shared" si="6"/>
        <v>63791.463451351447</v>
      </c>
      <c r="F145" s="8">
        <v>7.4999999999999997E-2</v>
      </c>
      <c r="G145" s="41"/>
    </row>
    <row r="146" spans="1:7" x14ac:dyDescent="0.25">
      <c r="A146" s="8">
        <f>ROWS(A$5:A146)-1</f>
        <v>141</v>
      </c>
      <c r="B146" s="42">
        <f>-PMT(F146/$F$2,COUNT(A146:$A$365),E145)</f>
        <v>534.39134199166949</v>
      </c>
      <c r="C146" s="42">
        <f t="shared" si="7"/>
        <v>398.69664657094654</v>
      </c>
      <c r="D146" s="42">
        <f t="shared" si="8"/>
        <v>135.69469542072295</v>
      </c>
      <c r="E146" s="42">
        <f t="shared" si="6"/>
        <v>63655.768755930723</v>
      </c>
      <c r="F146" s="8">
        <v>7.4999999999999997E-2</v>
      </c>
      <c r="G146" s="41"/>
    </row>
    <row r="147" spans="1:7" x14ac:dyDescent="0.25">
      <c r="A147" s="8">
        <f>ROWS(A$5:A147)-1</f>
        <v>142</v>
      </c>
      <c r="B147" s="42">
        <f>-PMT(F147/$F$2,COUNT(A147:$A$365),E146)</f>
        <v>534.39134199166949</v>
      </c>
      <c r="C147" s="42">
        <f t="shared" si="7"/>
        <v>397.84855472456701</v>
      </c>
      <c r="D147" s="42">
        <f t="shared" si="8"/>
        <v>136.54278726710248</v>
      </c>
      <c r="E147" s="42">
        <f t="shared" si="6"/>
        <v>63519.225968663624</v>
      </c>
      <c r="F147" s="8">
        <v>7.4999999999999997E-2</v>
      </c>
      <c r="G147" s="41"/>
    </row>
    <row r="148" spans="1:7" x14ac:dyDescent="0.25">
      <c r="A148" s="8">
        <f>ROWS(A$5:A148)-1</f>
        <v>143</v>
      </c>
      <c r="B148" s="42">
        <f>-PMT(F148/$F$2,COUNT(A148:$A$365),E147)</f>
        <v>534.39134199166961</v>
      </c>
      <c r="C148" s="42">
        <f t="shared" si="7"/>
        <v>396.99516230414764</v>
      </c>
      <c r="D148" s="42">
        <f t="shared" si="8"/>
        <v>137.39617968752196</v>
      </c>
      <c r="E148" s="42">
        <f t="shared" si="6"/>
        <v>63381.829788976102</v>
      </c>
      <c r="F148" s="8">
        <v>7.4999999999999997E-2</v>
      </c>
      <c r="G148" s="41"/>
    </row>
    <row r="149" spans="1:7" x14ac:dyDescent="0.25">
      <c r="A149" s="8">
        <f>ROWS(A$5:A149)-1</f>
        <v>144</v>
      </c>
      <c r="B149" s="42">
        <f>-PMT(F149/$F$2,COUNT(A149:$A$365),E148)</f>
        <v>534.39134199166949</v>
      </c>
      <c r="C149" s="42">
        <f t="shared" si="7"/>
        <v>396.13643618110063</v>
      </c>
      <c r="D149" s="42">
        <f t="shared" si="8"/>
        <v>138.25490581056886</v>
      </c>
      <c r="E149" s="42">
        <f t="shared" si="6"/>
        <v>63243.574883165529</v>
      </c>
      <c r="F149" s="8">
        <v>7.4999999999999997E-2</v>
      </c>
      <c r="G149" s="41"/>
    </row>
    <row r="150" spans="1:7" x14ac:dyDescent="0.25">
      <c r="A150" s="8">
        <f>ROWS(A$5:A150)-1</f>
        <v>145</v>
      </c>
      <c r="B150" s="42">
        <f>-PMT(F150/$F$2,COUNT(A150:$A$365),E149)</f>
        <v>534.39134199166949</v>
      </c>
      <c r="C150" s="42">
        <f t="shared" si="7"/>
        <v>395.27234301978456</v>
      </c>
      <c r="D150" s="42">
        <f t="shared" si="8"/>
        <v>139.11899897188493</v>
      </c>
      <c r="E150" s="42">
        <f t="shared" si="6"/>
        <v>63104.455884193645</v>
      </c>
      <c r="F150" s="8">
        <v>7.4999999999999997E-2</v>
      </c>
      <c r="G150" s="41"/>
    </row>
    <row r="151" spans="1:7" x14ac:dyDescent="0.25">
      <c r="A151" s="8">
        <f>ROWS(A$5:A151)-1</f>
        <v>146</v>
      </c>
      <c r="B151" s="42">
        <f>-PMT(F151/$F$2,COUNT(A151:$A$365),E150)</f>
        <v>534.39134199166949</v>
      </c>
      <c r="C151" s="42">
        <f t="shared" si="7"/>
        <v>394.40284927621025</v>
      </c>
      <c r="D151" s="42">
        <f t="shared" si="8"/>
        <v>139.98849271545924</v>
      </c>
      <c r="E151" s="42">
        <f t="shared" si="6"/>
        <v>62964.467391478189</v>
      </c>
      <c r="F151" s="8">
        <v>7.4999999999999997E-2</v>
      </c>
      <c r="G151" s="41"/>
    </row>
    <row r="152" spans="1:7" x14ac:dyDescent="0.25">
      <c r="A152" s="8">
        <f>ROWS(A$5:A152)-1</f>
        <v>147</v>
      </c>
      <c r="B152" s="42">
        <f>-PMT(F152/$F$2,COUNT(A152:$A$365),E151)</f>
        <v>534.39134199166949</v>
      </c>
      <c r="C152" s="42">
        <f t="shared" si="7"/>
        <v>393.52792119673865</v>
      </c>
      <c r="D152" s="42">
        <f t="shared" si="8"/>
        <v>140.86342079493085</v>
      </c>
      <c r="E152" s="42">
        <f t="shared" si="6"/>
        <v>62823.60397068326</v>
      </c>
      <c r="F152" s="8">
        <v>7.4999999999999997E-2</v>
      </c>
      <c r="G152" s="41"/>
    </row>
    <row r="153" spans="1:7" x14ac:dyDescent="0.25">
      <c r="A153" s="8">
        <f>ROWS(A$5:A153)-1</f>
        <v>148</v>
      </c>
      <c r="B153" s="42">
        <f>-PMT(F153/$F$2,COUNT(A153:$A$365),E152)</f>
        <v>534.39134199166961</v>
      </c>
      <c r="C153" s="42">
        <f t="shared" si="7"/>
        <v>392.64752481677033</v>
      </c>
      <c r="D153" s="42">
        <f t="shared" si="8"/>
        <v>141.74381717489928</v>
      </c>
      <c r="E153" s="42">
        <f t="shared" si="6"/>
        <v>62681.860153508358</v>
      </c>
      <c r="F153" s="8">
        <v>7.4999999999999997E-2</v>
      </c>
      <c r="G153" s="41"/>
    </row>
    <row r="154" spans="1:7" x14ac:dyDescent="0.25">
      <c r="A154" s="8">
        <f>ROWS(A$5:A154)-1</f>
        <v>149</v>
      </c>
      <c r="B154" s="42">
        <f>-PMT(F154/$F$2,COUNT(A154:$A$365),E153)</f>
        <v>534.39134199166961</v>
      </c>
      <c r="C154" s="42">
        <f t="shared" si="7"/>
        <v>391.76162595942719</v>
      </c>
      <c r="D154" s="42">
        <f t="shared" si="8"/>
        <v>142.62971603224241</v>
      </c>
      <c r="E154" s="42">
        <f t="shared" si="6"/>
        <v>62539.230437476115</v>
      </c>
      <c r="F154" s="8">
        <v>7.4999999999999997E-2</v>
      </c>
      <c r="G154" s="41"/>
    </row>
    <row r="155" spans="1:7" x14ac:dyDescent="0.25">
      <c r="A155" s="8">
        <f>ROWS(A$5:A155)-1</f>
        <v>150</v>
      </c>
      <c r="B155" s="42">
        <f>-PMT(F155/$F$2,COUNT(A155:$A$365),E154)</f>
        <v>534.39134199166949</v>
      </c>
      <c r="C155" s="42">
        <f t="shared" si="7"/>
        <v>390.87019023422567</v>
      </c>
      <c r="D155" s="42">
        <f t="shared" si="8"/>
        <v>143.52115175744382</v>
      </c>
      <c r="E155" s="42">
        <f t="shared" si="6"/>
        <v>62395.709285718673</v>
      </c>
      <c r="F155" s="8">
        <v>7.4999999999999997E-2</v>
      </c>
      <c r="G155" s="41"/>
    </row>
    <row r="156" spans="1:7" x14ac:dyDescent="0.25">
      <c r="A156" s="8">
        <f>ROWS(A$5:A156)-1</f>
        <v>151</v>
      </c>
      <c r="B156" s="42">
        <f>-PMT(F156/$F$2,COUNT(A156:$A$365),E155)</f>
        <v>534.39134199166961</v>
      </c>
      <c r="C156" s="42">
        <f t="shared" si="7"/>
        <v>389.97318303574167</v>
      </c>
      <c r="D156" s="42">
        <f t="shared" si="8"/>
        <v>144.41815895592794</v>
      </c>
      <c r="E156" s="42">
        <f t="shared" si="6"/>
        <v>62251.291126762742</v>
      </c>
      <c r="F156" s="8">
        <v>7.4999999999999997E-2</v>
      </c>
      <c r="G156" s="41"/>
    </row>
    <row r="157" spans="1:7" x14ac:dyDescent="0.25">
      <c r="A157" s="8">
        <f>ROWS(A$5:A157)-1</f>
        <v>152</v>
      </c>
      <c r="B157" s="42">
        <f>-PMT(F157/$F$2,COUNT(A157:$A$365),E156)</f>
        <v>534.39134199166961</v>
      </c>
      <c r="C157" s="42">
        <f t="shared" si="7"/>
        <v>389.07056954226709</v>
      </c>
      <c r="D157" s="42">
        <f t="shared" si="8"/>
        <v>145.32077244940251</v>
      </c>
      <c r="E157" s="42">
        <f t="shared" si="6"/>
        <v>62105.970354313336</v>
      </c>
      <c r="F157" s="8">
        <v>7.4999999999999997E-2</v>
      </c>
      <c r="G157" s="41"/>
    </row>
    <row r="158" spans="1:7" x14ac:dyDescent="0.25">
      <c r="A158" s="8">
        <f>ROWS(A$5:A158)-1</f>
        <v>153</v>
      </c>
      <c r="B158" s="42">
        <f>-PMT(F158/$F$2,COUNT(A158:$A$365),E157)</f>
        <v>534.39134199166949</v>
      </c>
      <c r="C158" s="42">
        <f t="shared" si="7"/>
        <v>388.16231471445832</v>
      </c>
      <c r="D158" s="42">
        <f t="shared" si="8"/>
        <v>146.22902727721117</v>
      </c>
      <c r="E158" s="42">
        <f t="shared" si="6"/>
        <v>61959.741327036128</v>
      </c>
      <c r="F158" s="8">
        <v>7.4999999999999997E-2</v>
      </c>
      <c r="G158" s="41"/>
    </row>
    <row r="159" spans="1:7" x14ac:dyDescent="0.25">
      <c r="A159" s="8">
        <f>ROWS(A$5:A159)-1</f>
        <v>154</v>
      </c>
      <c r="B159" s="42">
        <f>-PMT(F159/$F$2,COUNT(A159:$A$365),E158)</f>
        <v>534.39134199166949</v>
      </c>
      <c r="C159" s="42">
        <f t="shared" si="7"/>
        <v>387.24838329397579</v>
      </c>
      <c r="D159" s="42">
        <f t="shared" si="8"/>
        <v>147.1429586976937</v>
      </c>
      <c r="E159" s="42">
        <f t="shared" si="6"/>
        <v>61812.598368338433</v>
      </c>
      <c r="F159" s="8">
        <v>7.4999999999999997E-2</v>
      </c>
      <c r="G159" s="41"/>
    </row>
    <row r="160" spans="1:7" x14ac:dyDescent="0.25">
      <c r="A160" s="8">
        <f>ROWS(A$5:A160)-1</f>
        <v>155</v>
      </c>
      <c r="B160" s="42">
        <f>-PMT(F160/$F$2,COUNT(A160:$A$365),E159)</f>
        <v>534.39134199166949</v>
      </c>
      <c r="C160" s="42">
        <f t="shared" si="7"/>
        <v>386.32873980211519</v>
      </c>
      <c r="D160" s="42">
        <f t="shared" si="8"/>
        <v>148.0626021895543</v>
      </c>
      <c r="E160" s="42">
        <f t="shared" si="6"/>
        <v>61664.535766148882</v>
      </c>
      <c r="F160" s="8">
        <v>7.4999999999999997E-2</v>
      </c>
      <c r="G160" s="41"/>
    </row>
    <row r="161" spans="1:7" x14ac:dyDescent="0.25">
      <c r="A161" s="8">
        <f>ROWS(A$5:A161)-1</f>
        <v>156</v>
      </c>
      <c r="B161" s="42">
        <f>-PMT(F161/$F$2,COUNT(A161:$A$365),E160)</f>
        <v>534.39134199166961</v>
      </c>
      <c r="C161" s="42">
        <f t="shared" si="7"/>
        <v>385.40334853843046</v>
      </c>
      <c r="D161" s="42">
        <f t="shared" si="8"/>
        <v>148.98799345323914</v>
      </c>
      <c r="E161" s="42">
        <f t="shared" si="6"/>
        <v>61515.547772695645</v>
      </c>
      <c r="F161" s="8">
        <v>7.4999999999999997E-2</v>
      </c>
      <c r="G161" s="41"/>
    </row>
    <row r="162" spans="1:7" x14ac:dyDescent="0.25">
      <c r="A162" s="8">
        <f>ROWS(A$5:A162)-1</f>
        <v>157</v>
      </c>
      <c r="B162" s="42">
        <f>-PMT(F162/$F$2,COUNT(A162:$A$365),E161)</f>
        <v>534.39134199166961</v>
      </c>
      <c r="C162" s="42">
        <f t="shared" si="7"/>
        <v>384.47217357934778</v>
      </c>
      <c r="D162" s="42">
        <f t="shared" si="8"/>
        <v>149.91916841232182</v>
      </c>
      <c r="E162" s="42">
        <f t="shared" si="6"/>
        <v>61365.628604283324</v>
      </c>
      <c r="F162" s="8">
        <v>7.4999999999999997E-2</v>
      </c>
      <c r="G162" s="41"/>
    </row>
    <row r="163" spans="1:7" x14ac:dyDescent="0.25">
      <c r="A163" s="8">
        <f>ROWS(A$5:A163)-1</f>
        <v>158</v>
      </c>
      <c r="B163" s="42">
        <f>-PMT(F163/$F$2,COUNT(A163:$A$365),E162)</f>
        <v>534.39134199166961</v>
      </c>
      <c r="C163" s="42">
        <f t="shared" si="7"/>
        <v>383.53517877677081</v>
      </c>
      <c r="D163" s="42">
        <f t="shared" si="8"/>
        <v>150.8561632148988</v>
      </c>
      <c r="E163" s="42">
        <f t="shared" si="6"/>
        <v>61214.772441068424</v>
      </c>
      <c r="F163" s="8">
        <v>7.4999999999999997E-2</v>
      </c>
      <c r="G163" s="41"/>
    </row>
    <row r="164" spans="1:7" x14ac:dyDescent="0.25">
      <c r="A164" s="8">
        <f>ROWS(A$5:A164)-1</f>
        <v>159</v>
      </c>
      <c r="B164" s="42">
        <f>-PMT(F164/$F$2,COUNT(A164:$A$365),E163)</f>
        <v>534.39134199166961</v>
      </c>
      <c r="C164" s="42">
        <f t="shared" si="7"/>
        <v>382.59232775667761</v>
      </c>
      <c r="D164" s="42">
        <f t="shared" si="8"/>
        <v>151.799014234992</v>
      </c>
      <c r="E164" s="42">
        <f t="shared" si="6"/>
        <v>61062.973426833429</v>
      </c>
      <c r="F164" s="8">
        <v>7.4999999999999997E-2</v>
      </c>
      <c r="G164" s="41"/>
    </row>
    <row r="165" spans="1:7" x14ac:dyDescent="0.25">
      <c r="A165" s="8">
        <f>ROWS(A$5:A165)-1</f>
        <v>160</v>
      </c>
      <c r="B165" s="42">
        <f>-PMT(F165/$F$2,COUNT(A165:$A$365),E164)</f>
        <v>534.39134199166961</v>
      </c>
      <c r="C165" s="42">
        <f t="shared" si="7"/>
        <v>381.6435839177089</v>
      </c>
      <c r="D165" s="42">
        <f t="shared" si="8"/>
        <v>152.74775807396071</v>
      </c>
      <c r="E165" s="42">
        <f t="shared" si="6"/>
        <v>60910.225668759471</v>
      </c>
      <c r="F165" s="8">
        <v>7.4999999999999997E-2</v>
      </c>
      <c r="G165" s="41"/>
    </row>
    <row r="166" spans="1:7" x14ac:dyDescent="0.25">
      <c r="A166" s="8">
        <f>ROWS(A$5:A166)-1</f>
        <v>161</v>
      </c>
      <c r="B166" s="42">
        <f>-PMT(F166/$F$2,COUNT(A166:$A$365),E165)</f>
        <v>534.39134199166961</v>
      </c>
      <c r="C166" s="42">
        <f t="shared" si="7"/>
        <v>380.68891042974673</v>
      </c>
      <c r="D166" s="42">
        <f t="shared" si="8"/>
        <v>153.70243156192288</v>
      </c>
      <c r="E166" s="42">
        <f t="shared" si="6"/>
        <v>60756.523237197551</v>
      </c>
      <c r="F166" s="8">
        <v>7.4999999999999997E-2</v>
      </c>
      <c r="G166" s="41"/>
    </row>
    <row r="167" spans="1:7" x14ac:dyDescent="0.25">
      <c r="A167" s="8">
        <f>ROWS(A$5:A167)-1</f>
        <v>162</v>
      </c>
      <c r="B167" s="42">
        <f>-PMT(F167/$F$2,COUNT(A167:$A$365),E166)</f>
        <v>534.39134199166972</v>
      </c>
      <c r="C167" s="42">
        <f t="shared" si="7"/>
        <v>379.72827023248465</v>
      </c>
      <c r="D167" s="42">
        <f t="shared" si="8"/>
        <v>154.66307175918507</v>
      </c>
      <c r="E167" s="42">
        <f t="shared" si="6"/>
        <v>60601.860165438367</v>
      </c>
      <c r="F167" s="8">
        <v>7.4999999999999997E-2</v>
      </c>
      <c r="G167" s="41"/>
    </row>
    <row r="168" spans="1:7" x14ac:dyDescent="0.25">
      <c r="A168" s="8">
        <f>ROWS(A$5:A168)-1</f>
        <v>163</v>
      </c>
      <c r="B168" s="42">
        <f>-PMT(F168/$F$2,COUNT(A168:$A$365),E167)</f>
        <v>534.39134199166972</v>
      </c>
      <c r="C168" s="42">
        <f t="shared" si="7"/>
        <v>378.76162603398978</v>
      </c>
      <c r="D168" s="42">
        <f t="shared" si="8"/>
        <v>155.62971595767993</v>
      </c>
      <c r="E168" s="42">
        <f t="shared" si="6"/>
        <v>60446.230449480689</v>
      </c>
      <c r="F168" s="8">
        <v>7.4999999999999997E-2</v>
      </c>
      <c r="G168" s="41"/>
    </row>
    <row r="169" spans="1:7" x14ac:dyDescent="0.25">
      <c r="A169" s="8">
        <f>ROWS(A$5:A169)-1</f>
        <v>164</v>
      </c>
      <c r="B169" s="42">
        <f>-PMT(F169/$F$2,COUNT(A169:$A$365),E168)</f>
        <v>534.39134199166972</v>
      </c>
      <c r="C169" s="42">
        <f t="shared" si="7"/>
        <v>377.78894030925426</v>
      </c>
      <c r="D169" s="42">
        <f t="shared" si="8"/>
        <v>156.60240168241546</v>
      </c>
      <c r="E169" s="42">
        <f t="shared" si="6"/>
        <v>60289.628047798273</v>
      </c>
      <c r="F169" s="8">
        <v>7.4999999999999997E-2</v>
      </c>
      <c r="G169" s="41"/>
    </row>
    <row r="170" spans="1:7" x14ac:dyDescent="0.25">
      <c r="A170" s="8">
        <f>ROWS(A$5:A170)-1</f>
        <v>165</v>
      </c>
      <c r="B170" s="42">
        <f>-PMT(F170/$F$2,COUNT(A170:$A$365),E169)</f>
        <v>534.39134199166961</v>
      </c>
      <c r="C170" s="42">
        <f t="shared" si="7"/>
        <v>376.81017529873924</v>
      </c>
      <c r="D170" s="42">
        <f t="shared" si="8"/>
        <v>157.58116669293037</v>
      </c>
      <c r="E170" s="42">
        <f t="shared" si="6"/>
        <v>60132.046881105343</v>
      </c>
      <c r="F170" s="8">
        <v>7.4999999999999997E-2</v>
      </c>
      <c r="G170" s="41"/>
    </row>
    <row r="171" spans="1:7" x14ac:dyDescent="0.25">
      <c r="A171" s="8">
        <f>ROWS(A$5:A171)-1</f>
        <v>166</v>
      </c>
      <c r="B171" s="42">
        <f>-PMT(F171/$F$2,COUNT(A171:$A$365),E170)</f>
        <v>534.39134199166961</v>
      </c>
      <c r="C171" s="42">
        <f t="shared" si="7"/>
        <v>375.8252930069084</v>
      </c>
      <c r="D171" s="42">
        <f t="shared" si="8"/>
        <v>158.56604898476121</v>
      </c>
      <c r="E171" s="42">
        <f t="shared" si="6"/>
        <v>59973.480832120586</v>
      </c>
      <c r="F171" s="8">
        <v>7.4999999999999997E-2</v>
      </c>
      <c r="G171" s="41"/>
    </row>
    <row r="172" spans="1:7" x14ac:dyDescent="0.25">
      <c r="A172" s="8">
        <f>ROWS(A$5:A172)-1</f>
        <v>167</v>
      </c>
      <c r="B172" s="42">
        <f>-PMT(F172/$F$2,COUNT(A172:$A$365),E171)</f>
        <v>534.39134199166961</v>
      </c>
      <c r="C172" s="42">
        <f t="shared" si="7"/>
        <v>374.83425520075366</v>
      </c>
      <c r="D172" s="42">
        <f t="shared" si="8"/>
        <v>159.55708679091595</v>
      </c>
      <c r="E172" s="42">
        <f t="shared" si="6"/>
        <v>59813.923745329666</v>
      </c>
      <c r="F172" s="8">
        <v>7.4999999999999997E-2</v>
      </c>
      <c r="G172" s="41"/>
    </row>
    <row r="173" spans="1:7" x14ac:dyDescent="0.25">
      <c r="A173" s="8">
        <f>ROWS(A$5:A173)-1</f>
        <v>168</v>
      </c>
      <c r="B173" s="42">
        <f>-PMT(F173/$F$2,COUNT(A173:$A$365),E172)</f>
        <v>534.39134199166961</v>
      </c>
      <c r="C173" s="42">
        <f t="shared" si="7"/>
        <v>373.83702340831042</v>
      </c>
      <c r="D173" s="42">
        <f t="shared" si="8"/>
        <v>160.55431858335919</v>
      </c>
      <c r="E173" s="42">
        <f t="shared" si="6"/>
        <v>59653.369426746307</v>
      </c>
      <c r="F173" s="8">
        <v>7.4999999999999997E-2</v>
      </c>
      <c r="G173" s="41"/>
    </row>
    <row r="174" spans="1:7" x14ac:dyDescent="0.25">
      <c r="A174" s="8">
        <f>ROWS(A$5:A174)-1</f>
        <v>169</v>
      </c>
      <c r="B174" s="42">
        <f>-PMT(F174/$F$2,COUNT(A174:$A$365),E173)</f>
        <v>534.39134199166972</v>
      </c>
      <c r="C174" s="42">
        <f t="shared" si="7"/>
        <v>372.83355891716445</v>
      </c>
      <c r="D174" s="42">
        <f t="shared" si="8"/>
        <v>161.55778307450527</v>
      </c>
      <c r="E174" s="42">
        <f t="shared" si="6"/>
        <v>59491.811643671805</v>
      </c>
      <c r="F174" s="8">
        <v>7.4999999999999997E-2</v>
      </c>
      <c r="G174" s="41"/>
    </row>
    <row r="175" spans="1:7" x14ac:dyDescent="0.25">
      <c r="A175" s="8">
        <f>ROWS(A$5:A175)-1</f>
        <v>170</v>
      </c>
      <c r="B175" s="42">
        <f>-PMT(F175/$F$2,COUNT(A175:$A$365),E174)</f>
        <v>534.39134199166972</v>
      </c>
      <c r="C175" s="42">
        <f t="shared" si="7"/>
        <v>371.82382277294874</v>
      </c>
      <c r="D175" s="42">
        <f t="shared" si="8"/>
        <v>162.56751921872097</v>
      </c>
      <c r="E175" s="42">
        <f t="shared" si="6"/>
        <v>59329.244124453086</v>
      </c>
      <c r="F175" s="8">
        <v>7.4999999999999997E-2</v>
      </c>
      <c r="G175" s="41"/>
    </row>
    <row r="176" spans="1:7" x14ac:dyDescent="0.25">
      <c r="A176" s="8">
        <f>ROWS(A$5:A176)-1</f>
        <v>171</v>
      </c>
      <c r="B176" s="42">
        <f>-PMT(F176/$F$2,COUNT(A176:$A$365),E175)</f>
        <v>534.39134199166972</v>
      </c>
      <c r="C176" s="42">
        <f t="shared" si="7"/>
        <v>370.80777577783175</v>
      </c>
      <c r="D176" s="42">
        <f t="shared" si="8"/>
        <v>163.58356621383797</v>
      </c>
      <c r="E176" s="42">
        <f t="shared" si="6"/>
        <v>59165.660558239244</v>
      </c>
      <c r="F176" s="8">
        <v>7.4999999999999997E-2</v>
      </c>
      <c r="G176" s="41"/>
    </row>
    <row r="177" spans="1:7" x14ac:dyDescent="0.25">
      <c r="A177" s="8">
        <f>ROWS(A$5:A177)-1</f>
        <v>172</v>
      </c>
      <c r="B177" s="42">
        <f>-PMT(F177/$F$2,COUNT(A177:$A$365),E176)</f>
        <v>534.39134199166961</v>
      </c>
      <c r="C177" s="42">
        <f t="shared" si="7"/>
        <v>369.78537848899526</v>
      </c>
      <c r="D177" s="42">
        <f t="shared" si="8"/>
        <v>164.60596350267434</v>
      </c>
      <c r="E177" s="42">
        <f t="shared" si="6"/>
        <v>59001.054594736568</v>
      </c>
      <c r="F177" s="8">
        <v>7.4999999999999997E-2</v>
      </c>
      <c r="G177" s="41"/>
    </row>
    <row r="178" spans="1:7" x14ac:dyDescent="0.25">
      <c r="A178" s="8">
        <f>ROWS(A$5:A178)-1</f>
        <v>173</v>
      </c>
      <c r="B178" s="42">
        <f>-PMT(F178/$F$2,COUNT(A178:$A$365),E177)</f>
        <v>534.39134199166961</v>
      </c>
      <c r="C178" s="42">
        <f t="shared" si="7"/>
        <v>368.75659121710351</v>
      </c>
      <c r="D178" s="42">
        <f t="shared" si="8"/>
        <v>165.6347507745661</v>
      </c>
      <c r="E178" s="42">
        <f t="shared" si="6"/>
        <v>58835.419843962001</v>
      </c>
      <c r="F178" s="8">
        <v>7.4999999999999997E-2</v>
      </c>
      <c r="G178" s="41"/>
    </row>
    <row r="179" spans="1:7" x14ac:dyDescent="0.25">
      <c r="A179" s="8">
        <f>ROWS(A$5:A179)-1</f>
        <v>174</v>
      </c>
      <c r="B179" s="42">
        <f>-PMT(F179/$F$2,COUNT(A179:$A$365),E178)</f>
        <v>534.39134199166961</v>
      </c>
      <c r="C179" s="42">
        <f t="shared" si="7"/>
        <v>367.7213740247625</v>
      </c>
      <c r="D179" s="42">
        <f t="shared" si="8"/>
        <v>166.66996796690711</v>
      </c>
      <c r="E179" s="42">
        <f t="shared" si="6"/>
        <v>58668.749875995098</v>
      </c>
      <c r="F179" s="8">
        <v>7.4999999999999997E-2</v>
      </c>
      <c r="G179" s="41"/>
    </row>
    <row r="180" spans="1:7" x14ac:dyDescent="0.25">
      <c r="A180" s="8">
        <f>ROWS(A$5:A180)-1</f>
        <v>175</v>
      </c>
      <c r="B180" s="42">
        <f>-PMT(F180/$F$2,COUNT(A180:$A$365),E179)</f>
        <v>534.39134199166972</v>
      </c>
      <c r="C180" s="42">
        <f t="shared" si="7"/>
        <v>366.67968672496932</v>
      </c>
      <c r="D180" s="42">
        <f t="shared" si="8"/>
        <v>167.7116552667004</v>
      </c>
      <c r="E180" s="42">
        <f t="shared" si="6"/>
        <v>58501.038220728398</v>
      </c>
      <c r="F180" s="8">
        <v>7.4999999999999997E-2</v>
      </c>
      <c r="G180" s="41"/>
    </row>
    <row r="181" spans="1:7" x14ac:dyDescent="0.25">
      <c r="A181" s="8">
        <f>ROWS(A$5:A181)-1</f>
        <v>176</v>
      </c>
      <c r="B181" s="42">
        <f>-PMT(F181/$F$2,COUNT(A181:$A$365),E180)</f>
        <v>534.39134199166972</v>
      </c>
      <c r="C181" s="42">
        <f t="shared" si="7"/>
        <v>365.63148887955248</v>
      </c>
      <c r="D181" s="42">
        <f t="shared" si="8"/>
        <v>168.75985311211724</v>
      </c>
      <c r="E181" s="42">
        <f t="shared" si="6"/>
        <v>58332.27836761628</v>
      </c>
      <c r="F181" s="8">
        <v>7.4999999999999997E-2</v>
      </c>
      <c r="G181" s="41"/>
    </row>
    <row r="182" spans="1:7" x14ac:dyDescent="0.25">
      <c r="A182" s="8">
        <f>ROWS(A$5:A182)-1</f>
        <v>177</v>
      </c>
      <c r="B182" s="42">
        <f>-PMT(F182/$F$2,COUNT(A182:$A$365),E181)</f>
        <v>534.39134199166972</v>
      </c>
      <c r="C182" s="42">
        <f t="shared" si="7"/>
        <v>364.5767397976017</v>
      </c>
      <c r="D182" s="42">
        <f t="shared" si="8"/>
        <v>169.81460219406802</v>
      </c>
      <c r="E182" s="42">
        <f t="shared" si="6"/>
        <v>58162.46376542221</v>
      </c>
      <c r="F182" s="8">
        <v>7.4999999999999997E-2</v>
      </c>
      <c r="G182" s="41"/>
    </row>
    <row r="183" spans="1:7" x14ac:dyDescent="0.25">
      <c r="A183" s="8">
        <f>ROWS(A$5:A183)-1</f>
        <v>178</v>
      </c>
      <c r="B183" s="42">
        <f>-PMT(F183/$F$2,COUNT(A183:$A$365),E182)</f>
        <v>534.39134199166961</v>
      </c>
      <c r="C183" s="42">
        <f t="shared" si="7"/>
        <v>363.5153985338888</v>
      </c>
      <c r="D183" s="42">
        <f t="shared" si="8"/>
        <v>170.87594345778081</v>
      </c>
      <c r="E183" s="42">
        <f t="shared" si="6"/>
        <v>57991.587821964429</v>
      </c>
      <c r="F183" s="8">
        <v>7.4999999999999997E-2</v>
      </c>
      <c r="G183" s="41"/>
    </row>
    <row r="184" spans="1:7" x14ac:dyDescent="0.25">
      <c r="A184" s="8">
        <f>ROWS(A$5:A184)-1</f>
        <v>179</v>
      </c>
      <c r="B184" s="42">
        <f>-PMT(F184/$F$2,COUNT(A184:$A$365),E183)</f>
        <v>534.39134199166972</v>
      </c>
      <c r="C184" s="42">
        <f t="shared" si="7"/>
        <v>362.44742388727764</v>
      </c>
      <c r="D184" s="42">
        <f t="shared" si="8"/>
        <v>171.94391810439208</v>
      </c>
      <c r="E184" s="42">
        <f t="shared" si="6"/>
        <v>57819.643903860037</v>
      </c>
      <c r="F184" s="8">
        <v>7.4999999999999997E-2</v>
      </c>
      <c r="G184" s="41"/>
    </row>
    <row r="185" spans="1:7" x14ac:dyDescent="0.25">
      <c r="A185" s="8">
        <f>ROWS(A$5:A185)-1</f>
        <v>180</v>
      </c>
      <c r="B185" s="42">
        <f>-PMT(F185/$F$2,COUNT(A185:$A$365),E184)</f>
        <v>534.39134199166961</v>
      </c>
      <c r="C185" s="42">
        <f t="shared" si="7"/>
        <v>361.37277439912526</v>
      </c>
      <c r="D185" s="42">
        <f t="shared" si="8"/>
        <v>173.01856759254434</v>
      </c>
      <c r="E185" s="42">
        <f t="shared" si="6"/>
        <v>57646.625336267491</v>
      </c>
      <c r="F185" s="8">
        <v>7.4999999999999997E-2</v>
      </c>
      <c r="G185" s="41"/>
    </row>
    <row r="186" spans="1:7" x14ac:dyDescent="0.25">
      <c r="A186" s="8">
        <f>ROWS(A$5:A186)-1</f>
        <v>181</v>
      </c>
      <c r="B186" s="42">
        <f>-PMT(F186/$F$2,COUNT(A186:$A$365),E185)</f>
        <v>534.39134199166972</v>
      </c>
      <c r="C186" s="42">
        <f t="shared" si="7"/>
        <v>360.29140835167181</v>
      </c>
      <c r="D186" s="42">
        <f t="shared" si="8"/>
        <v>174.09993363999791</v>
      </c>
      <c r="E186" s="42">
        <f t="shared" si="6"/>
        <v>57472.525402627492</v>
      </c>
      <c r="F186" s="8">
        <v>7.4999999999999997E-2</v>
      </c>
      <c r="G186" s="41"/>
    </row>
    <row r="187" spans="1:7" x14ac:dyDescent="0.25">
      <c r="A187" s="8">
        <f>ROWS(A$5:A187)-1</f>
        <v>182</v>
      </c>
      <c r="B187" s="42">
        <f>-PMT(F187/$F$2,COUNT(A187:$A$365),E186)</f>
        <v>534.39134199166961</v>
      </c>
      <c r="C187" s="42">
        <f t="shared" si="7"/>
        <v>359.20328376642186</v>
      </c>
      <c r="D187" s="42">
        <f t="shared" si="8"/>
        <v>175.18805822524774</v>
      </c>
      <c r="E187" s="42">
        <f t="shared" si="6"/>
        <v>57297.337344402244</v>
      </c>
      <c r="F187" s="8">
        <v>7.4999999999999997E-2</v>
      </c>
      <c r="G187" s="41"/>
    </row>
    <row r="188" spans="1:7" x14ac:dyDescent="0.25">
      <c r="A188" s="8">
        <f>ROWS(A$5:A188)-1</f>
        <v>183</v>
      </c>
      <c r="B188" s="42">
        <f>-PMT(F188/$F$2,COUNT(A188:$A$365),E187)</f>
        <v>534.39134199166961</v>
      </c>
      <c r="C188" s="42">
        <f t="shared" si="7"/>
        <v>358.10835840251406</v>
      </c>
      <c r="D188" s="42">
        <f t="shared" si="8"/>
        <v>176.28298358915555</v>
      </c>
      <c r="E188" s="42">
        <f t="shared" si="6"/>
        <v>57121.05436081309</v>
      </c>
      <c r="F188" s="8">
        <v>7.4999999999999997E-2</v>
      </c>
      <c r="G188" s="41"/>
    </row>
    <row r="189" spans="1:7" x14ac:dyDescent="0.25">
      <c r="A189" s="8">
        <f>ROWS(A$5:A189)-1</f>
        <v>184</v>
      </c>
      <c r="B189" s="42">
        <f>-PMT(F189/$F$2,COUNT(A189:$A$365),E188)</f>
        <v>534.39134199166972</v>
      </c>
      <c r="C189" s="42">
        <f t="shared" si="7"/>
        <v>357.00658975508185</v>
      </c>
      <c r="D189" s="42">
        <f t="shared" si="8"/>
        <v>177.38475223658787</v>
      </c>
      <c r="E189" s="42">
        <f t="shared" si="6"/>
        <v>56943.6696085765</v>
      </c>
      <c r="F189" s="8">
        <v>7.4999999999999997E-2</v>
      </c>
      <c r="G189" s="41"/>
    </row>
    <row r="190" spans="1:7" x14ac:dyDescent="0.25">
      <c r="A190" s="8">
        <f>ROWS(A$5:A190)-1</f>
        <v>185</v>
      </c>
      <c r="B190" s="42">
        <f>-PMT(F190/$F$2,COUNT(A190:$A$365),E189)</f>
        <v>534.39134199166961</v>
      </c>
      <c r="C190" s="42">
        <f t="shared" si="7"/>
        <v>355.89793505360308</v>
      </c>
      <c r="D190" s="42">
        <f t="shared" si="8"/>
        <v>178.49340693806653</v>
      </c>
      <c r="E190" s="42">
        <f t="shared" si="6"/>
        <v>56765.176201638431</v>
      </c>
      <c r="F190" s="8">
        <v>7.4999999999999997E-2</v>
      </c>
      <c r="G190" s="41"/>
    </row>
    <row r="191" spans="1:7" x14ac:dyDescent="0.25">
      <c r="A191" s="8">
        <f>ROWS(A$5:A191)-1</f>
        <v>186</v>
      </c>
      <c r="B191" s="42">
        <f>-PMT(F191/$F$2,COUNT(A191:$A$365),E190)</f>
        <v>534.39134199166961</v>
      </c>
      <c r="C191" s="42">
        <f t="shared" si="7"/>
        <v>354.78235126024015</v>
      </c>
      <c r="D191" s="42">
        <f t="shared" si="8"/>
        <v>179.60899073142946</v>
      </c>
      <c r="E191" s="42">
        <f t="shared" si="6"/>
        <v>56585.567210907</v>
      </c>
      <c r="F191" s="8">
        <v>7.4999999999999997E-2</v>
      </c>
      <c r="G191" s="41"/>
    </row>
    <row r="192" spans="1:7" x14ac:dyDescent="0.25">
      <c r="A192" s="8">
        <f>ROWS(A$5:A192)-1</f>
        <v>187</v>
      </c>
      <c r="B192" s="42">
        <f>-PMT(F192/$F$2,COUNT(A192:$A$365),E191)</f>
        <v>534.39134199166961</v>
      </c>
      <c r="C192" s="42">
        <f t="shared" si="7"/>
        <v>353.65979506816871</v>
      </c>
      <c r="D192" s="42">
        <f t="shared" si="8"/>
        <v>180.7315469235009</v>
      </c>
      <c r="E192" s="42">
        <f t="shared" si="6"/>
        <v>56404.835663983496</v>
      </c>
      <c r="F192" s="8">
        <v>7.4999999999999997E-2</v>
      </c>
      <c r="G192" s="41"/>
    </row>
    <row r="193" spans="1:7" x14ac:dyDescent="0.25">
      <c r="A193" s="8">
        <f>ROWS(A$5:A193)-1</f>
        <v>188</v>
      </c>
      <c r="B193" s="42">
        <f>-PMT(F193/$F$2,COUNT(A193:$A$365),E192)</f>
        <v>534.39134199166949</v>
      </c>
      <c r="C193" s="42">
        <f t="shared" si="7"/>
        <v>352.53022289989684</v>
      </c>
      <c r="D193" s="42">
        <f t="shared" si="8"/>
        <v>181.86111909177265</v>
      </c>
      <c r="E193" s="42">
        <f t="shared" si="6"/>
        <v>56222.974544891724</v>
      </c>
      <c r="F193" s="8">
        <v>7.4999999999999997E-2</v>
      </c>
      <c r="G193" s="41"/>
    </row>
    <row r="194" spans="1:7" x14ac:dyDescent="0.25">
      <c r="A194" s="8">
        <f>ROWS(A$5:A194)-1</f>
        <v>189</v>
      </c>
      <c r="B194" s="42">
        <f>-PMT(F194/$F$2,COUNT(A194:$A$365),E193)</f>
        <v>534.39134199166961</v>
      </c>
      <c r="C194" s="42">
        <f t="shared" si="7"/>
        <v>351.39359090557326</v>
      </c>
      <c r="D194" s="42">
        <f t="shared" si="8"/>
        <v>182.99775108609634</v>
      </c>
      <c r="E194" s="42">
        <f t="shared" si="6"/>
        <v>56039.976793805625</v>
      </c>
      <c r="F194" s="8">
        <v>7.4999999999999997E-2</v>
      </c>
      <c r="G194" s="41"/>
    </row>
    <row r="195" spans="1:7" x14ac:dyDescent="0.25">
      <c r="A195" s="8">
        <f>ROWS(A$5:A195)-1</f>
        <v>190</v>
      </c>
      <c r="B195" s="42">
        <f>-PMT(F195/$F$2,COUNT(A195:$A$365),E194)</f>
        <v>534.39134199166961</v>
      </c>
      <c r="C195" s="42">
        <f t="shared" si="7"/>
        <v>350.24985496128511</v>
      </c>
      <c r="D195" s="42">
        <f t="shared" si="8"/>
        <v>184.1414870303845</v>
      </c>
      <c r="E195" s="42">
        <f t="shared" si="6"/>
        <v>55855.83530677524</v>
      </c>
      <c r="F195" s="8">
        <v>7.4999999999999997E-2</v>
      </c>
      <c r="G195" s="41"/>
    </row>
    <row r="196" spans="1:7" x14ac:dyDescent="0.25">
      <c r="A196" s="8">
        <f>ROWS(A$5:A196)-1</f>
        <v>191</v>
      </c>
      <c r="B196" s="42">
        <f>-PMT(F196/$F$2,COUNT(A196:$A$365),E195)</f>
        <v>534.39134199166949</v>
      </c>
      <c r="C196" s="42">
        <f t="shared" si="7"/>
        <v>349.09897066734521</v>
      </c>
      <c r="D196" s="42">
        <f t="shared" si="8"/>
        <v>185.29237132432428</v>
      </c>
      <c r="E196" s="42">
        <f t="shared" si="6"/>
        <v>55670.542935450918</v>
      </c>
      <c r="F196" s="8">
        <v>7.4999999999999997E-2</v>
      </c>
      <c r="G196" s="41"/>
    </row>
    <row r="197" spans="1:7" x14ac:dyDescent="0.25">
      <c r="A197" s="8">
        <f>ROWS(A$5:A197)-1</f>
        <v>192</v>
      </c>
      <c r="B197" s="42">
        <f>-PMT(F197/$F$2,COUNT(A197:$A$365),E196)</f>
        <v>534.39134199166961</v>
      </c>
      <c r="C197" s="42">
        <f t="shared" si="7"/>
        <v>347.9408933465682</v>
      </c>
      <c r="D197" s="42">
        <f t="shared" si="8"/>
        <v>186.4504486451014</v>
      </c>
      <c r="E197" s="42">
        <f t="shared" si="6"/>
        <v>55484.092486805814</v>
      </c>
      <c r="F197" s="8">
        <v>7.4999999999999997E-2</v>
      </c>
      <c r="G197" s="41"/>
    </row>
    <row r="198" spans="1:7" x14ac:dyDescent="0.25">
      <c r="A198" s="8">
        <f>ROWS(A$5:A198)-1</f>
        <v>193</v>
      </c>
      <c r="B198" s="42">
        <f>-PMT(F198/$F$2,COUNT(A198:$A$365),E197)</f>
        <v>534.39134199166949</v>
      </c>
      <c r="C198" s="42">
        <f t="shared" si="7"/>
        <v>346.77557804253632</v>
      </c>
      <c r="D198" s="42">
        <f t="shared" si="8"/>
        <v>187.61576394913317</v>
      </c>
      <c r="E198" s="42">
        <f t="shared" ref="E198:E261" si="9">E197-D198-G198</f>
        <v>55296.476722856678</v>
      </c>
      <c r="F198" s="8">
        <v>7.4999999999999997E-2</v>
      </c>
      <c r="G198" s="41"/>
    </row>
    <row r="199" spans="1:7" x14ac:dyDescent="0.25">
      <c r="A199" s="8">
        <f>ROWS(A$5:A199)-1</f>
        <v>194</v>
      </c>
      <c r="B199" s="42">
        <f>-PMT(F199/$F$2,COUNT(A199:$A$365),E198)</f>
        <v>534.39134199166949</v>
      </c>
      <c r="C199" s="42">
        <f t="shared" ref="C199:C262" si="10">E198*F199/$F$2</f>
        <v>345.60297951785424</v>
      </c>
      <c r="D199" s="42">
        <f t="shared" ref="D199:D262" si="11">B199-C199</f>
        <v>188.78836247381525</v>
      </c>
      <c r="E199" s="42">
        <f t="shared" si="9"/>
        <v>55107.688360382861</v>
      </c>
      <c r="F199" s="8">
        <v>7.4999999999999997E-2</v>
      </c>
      <c r="G199" s="41"/>
    </row>
    <row r="200" spans="1:7" x14ac:dyDescent="0.25">
      <c r="A200" s="8">
        <f>ROWS(A$5:A200)-1</f>
        <v>195</v>
      </c>
      <c r="B200" s="42">
        <f>-PMT(F200/$F$2,COUNT(A200:$A$365),E199)</f>
        <v>534.39134199166938</v>
      </c>
      <c r="C200" s="42">
        <f t="shared" si="10"/>
        <v>344.42305225239284</v>
      </c>
      <c r="D200" s="42">
        <f t="shared" si="11"/>
        <v>189.96828973927654</v>
      </c>
      <c r="E200" s="42">
        <f t="shared" si="9"/>
        <v>54917.720070643583</v>
      </c>
      <c r="F200" s="8">
        <v>7.4999999999999997E-2</v>
      </c>
      <c r="G200" s="41"/>
    </row>
    <row r="201" spans="1:7" x14ac:dyDescent="0.25">
      <c r="A201" s="8">
        <f>ROWS(A$5:A201)-1</f>
        <v>196</v>
      </c>
      <c r="B201" s="42">
        <f>-PMT(F201/$F$2,COUNT(A201:$A$365),E200)</f>
        <v>534.39134199166949</v>
      </c>
      <c r="C201" s="42">
        <f t="shared" si="10"/>
        <v>343.23575044152238</v>
      </c>
      <c r="D201" s="42">
        <f t="shared" si="11"/>
        <v>191.15559155014711</v>
      </c>
      <c r="E201" s="42">
        <f t="shared" si="9"/>
        <v>54726.564479093438</v>
      </c>
      <c r="F201" s="8">
        <v>7.4999999999999997E-2</v>
      </c>
      <c r="G201" s="41"/>
    </row>
    <row r="202" spans="1:7" x14ac:dyDescent="0.25">
      <c r="A202" s="8">
        <f>ROWS(A$5:A202)-1</f>
        <v>197</v>
      </c>
      <c r="B202" s="42">
        <f>-PMT(F202/$F$2,COUNT(A202:$A$365),E201)</f>
        <v>534.39134199166949</v>
      </c>
      <c r="C202" s="42">
        <f t="shared" si="10"/>
        <v>342.04102799433394</v>
      </c>
      <c r="D202" s="42">
        <f t="shared" si="11"/>
        <v>192.35031399733555</v>
      </c>
      <c r="E202" s="42">
        <f t="shared" si="9"/>
        <v>54534.214165096106</v>
      </c>
      <c r="F202" s="8">
        <v>7.4999999999999997E-2</v>
      </c>
      <c r="G202" s="41"/>
    </row>
    <row r="203" spans="1:7" x14ac:dyDescent="0.25">
      <c r="A203" s="8">
        <f>ROWS(A$5:A203)-1</f>
        <v>198</v>
      </c>
      <c r="B203" s="42">
        <f>-PMT(F203/$F$2,COUNT(A203:$A$365),E202)</f>
        <v>534.39134199166949</v>
      </c>
      <c r="C203" s="42">
        <f t="shared" si="10"/>
        <v>340.83883853185063</v>
      </c>
      <c r="D203" s="42">
        <f t="shared" si="11"/>
        <v>193.55250345981887</v>
      </c>
      <c r="E203" s="42">
        <f t="shared" si="9"/>
        <v>54340.661661636288</v>
      </c>
      <c r="F203" s="8">
        <v>7.4999999999999997E-2</v>
      </c>
      <c r="G203" s="41"/>
    </row>
    <row r="204" spans="1:7" x14ac:dyDescent="0.25">
      <c r="A204" s="8">
        <f>ROWS(A$5:A204)-1</f>
        <v>199</v>
      </c>
      <c r="B204" s="42">
        <f>-PMT(F204/$F$2,COUNT(A204:$A$365),E203)</f>
        <v>534.39134199166949</v>
      </c>
      <c r="C204" s="42">
        <f t="shared" si="10"/>
        <v>339.62913538522679</v>
      </c>
      <c r="D204" s="42">
        <f t="shared" si="11"/>
        <v>194.7622066064427</v>
      </c>
      <c r="E204" s="42">
        <f t="shared" si="9"/>
        <v>54145.899455029845</v>
      </c>
      <c r="F204" s="8">
        <v>7.4999999999999997E-2</v>
      </c>
      <c r="G204" s="41"/>
    </row>
    <row r="205" spans="1:7" x14ac:dyDescent="0.25">
      <c r="A205" s="8">
        <f>ROWS(A$5:A205)-1</f>
        <v>200</v>
      </c>
      <c r="B205" s="42">
        <f>-PMT(F205/$F$2,COUNT(A205:$A$365),E204)</f>
        <v>534.39134199166949</v>
      </c>
      <c r="C205" s="42">
        <f t="shared" si="10"/>
        <v>338.4118715939365</v>
      </c>
      <c r="D205" s="42">
        <f t="shared" si="11"/>
        <v>195.979470397733</v>
      </c>
      <c r="E205" s="42">
        <f t="shared" si="9"/>
        <v>53949.919984632113</v>
      </c>
      <c r="F205" s="8">
        <v>7.4999999999999997E-2</v>
      </c>
      <c r="G205" s="41"/>
    </row>
    <row r="206" spans="1:7" x14ac:dyDescent="0.25">
      <c r="A206" s="8">
        <f>ROWS(A$5:A206)-1</f>
        <v>201</v>
      </c>
      <c r="B206" s="42">
        <f>-PMT(F206/$F$2,COUNT(A206:$A$365),E205)</f>
        <v>534.39134199166949</v>
      </c>
      <c r="C206" s="42">
        <f t="shared" si="10"/>
        <v>337.18699990395072</v>
      </c>
      <c r="D206" s="42">
        <f t="shared" si="11"/>
        <v>197.20434208771877</v>
      </c>
      <c r="E206" s="42">
        <f t="shared" si="9"/>
        <v>53752.715642544397</v>
      </c>
      <c r="F206" s="8">
        <v>7.4999999999999997E-2</v>
      </c>
      <c r="G206" s="41"/>
    </row>
    <row r="207" spans="1:7" x14ac:dyDescent="0.25">
      <c r="A207" s="8">
        <f>ROWS(A$5:A207)-1</f>
        <v>202</v>
      </c>
      <c r="B207" s="42">
        <f>-PMT(F207/$F$2,COUNT(A207:$A$365),E206)</f>
        <v>534.39134199166961</v>
      </c>
      <c r="C207" s="42">
        <f t="shared" si="10"/>
        <v>335.95447276590249</v>
      </c>
      <c r="D207" s="42">
        <f t="shared" si="11"/>
        <v>198.43686922576711</v>
      </c>
      <c r="E207" s="42">
        <f t="shared" si="9"/>
        <v>53554.278773318627</v>
      </c>
      <c r="F207" s="8">
        <v>7.4999999999999997E-2</v>
      </c>
      <c r="G207" s="41"/>
    </row>
    <row r="208" spans="1:7" x14ac:dyDescent="0.25">
      <c r="A208" s="8">
        <f>ROWS(A$5:A208)-1</f>
        <v>203</v>
      </c>
      <c r="B208" s="42">
        <f>-PMT(F208/$F$2,COUNT(A208:$A$365),E207)</f>
        <v>534.39134199166961</v>
      </c>
      <c r="C208" s="42">
        <f t="shared" si="10"/>
        <v>334.71424233324143</v>
      </c>
      <c r="D208" s="42">
        <f t="shared" si="11"/>
        <v>199.67709965842818</v>
      </c>
      <c r="E208" s="42">
        <f t="shared" si="9"/>
        <v>53354.601673660196</v>
      </c>
      <c r="F208" s="8">
        <v>7.4999999999999997E-2</v>
      </c>
      <c r="G208" s="41"/>
    </row>
    <row r="209" spans="1:7" x14ac:dyDescent="0.25">
      <c r="A209" s="8">
        <f>ROWS(A$5:A209)-1</f>
        <v>204</v>
      </c>
      <c r="B209" s="42">
        <f>-PMT(F209/$F$2,COUNT(A209:$A$365),E208)</f>
        <v>534.39134199166938</v>
      </c>
      <c r="C209" s="42">
        <f t="shared" si="10"/>
        <v>333.46626046037619</v>
      </c>
      <c r="D209" s="42">
        <f t="shared" si="11"/>
        <v>200.92508153129319</v>
      </c>
      <c r="E209" s="42">
        <f t="shared" si="9"/>
        <v>53153.676592128904</v>
      </c>
      <c r="F209" s="8">
        <v>7.4999999999999997E-2</v>
      </c>
      <c r="G209" s="41"/>
    </row>
    <row r="210" spans="1:7" x14ac:dyDescent="0.25">
      <c r="A210" s="8">
        <f>ROWS(A$5:A210)-1</f>
        <v>205</v>
      </c>
      <c r="B210" s="42">
        <f>-PMT(F210/$F$2,COUNT(A210:$A$365),E209)</f>
        <v>534.39134199166961</v>
      </c>
      <c r="C210" s="42">
        <f t="shared" si="10"/>
        <v>332.21047870080565</v>
      </c>
      <c r="D210" s="42">
        <f t="shared" si="11"/>
        <v>202.18086329086395</v>
      </c>
      <c r="E210" s="42">
        <f t="shared" si="9"/>
        <v>52951.495728838039</v>
      </c>
      <c r="F210" s="8">
        <v>7.4999999999999997E-2</v>
      </c>
      <c r="G210" s="41"/>
    </row>
    <row r="211" spans="1:7" x14ac:dyDescent="0.25">
      <c r="A211" s="8">
        <f>ROWS(A$5:A211)-1</f>
        <v>206</v>
      </c>
      <c r="B211" s="42">
        <f>-PMT(F211/$F$2,COUNT(A211:$A$365),E210)</f>
        <v>534.39134199166949</v>
      </c>
      <c r="C211" s="42">
        <f t="shared" si="10"/>
        <v>330.94684830523772</v>
      </c>
      <c r="D211" s="42">
        <f t="shared" si="11"/>
        <v>203.44449368643177</v>
      </c>
      <c r="E211" s="42">
        <f t="shared" si="9"/>
        <v>52748.051235151608</v>
      </c>
      <c r="F211" s="8">
        <v>7.4999999999999997E-2</v>
      </c>
      <c r="G211" s="41"/>
    </row>
    <row r="212" spans="1:7" x14ac:dyDescent="0.25">
      <c r="A212" s="8">
        <f>ROWS(A$5:A212)-1</f>
        <v>207</v>
      </c>
      <c r="B212" s="42">
        <f>-PMT(F212/$F$2,COUNT(A212:$A$365),E211)</f>
        <v>534.39134199166938</v>
      </c>
      <c r="C212" s="42">
        <f t="shared" si="10"/>
        <v>329.67532021969754</v>
      </c>
      <c r="D212" s="42">
        <f t="shared" si="11"/>
        <v>204.71602177197184</v>
      </c>
      <c r="E212" s="42">
        <f t="shared" si="9"/>
        <v>52543.335213379636</v>
      </c>
      <c r="F212" s="8">
        <v>7.4999999999999997E-2</v>
      </c>
      <c r="G212" s="41"/>
    </row>
    <row r="213" spans="1:7" x14ac:dyDescent="0.25">
      <c r="A213" s="8">
        <f>ROWS(A$5:A213)-1</f>
        <v>208</v>
      </c>
      <c r="B213" s="42">
        <f>-PMT(F213/$F$2,COUNT(A213:$A$365),E212)</f>
        <v>534.39134199166938</v>
      </c>
      <c r="C213" s="42">
        <f t="shared" si="10"/>
        <v>328.3958450836227</v>
      </c>
      <c r="D213" s="42">
        <f t="shared" si="11"/>
        <v>205.99549690804668</v>
      </c>
      <c r="E213" s="42">
        <f t="shared" si="9"/>
        <v>52337.339716471586</v>
      </c>
      <c r="F213" s="8">
        <v>7.4999999999999997E-2</v>
      </c>
      <c r="G213" s="41"/>
    </row>
    <row r="214" spans="1:7" x14ac:dyDescent="0.25">
      <c r="A214" s="8">
        <f>ROWS(A$5:A214)-1</f>
        <v>209</v>
      </c>
      <c r="B214" s="42">
        <f>-PMT(F214/$F$2,COUNT(A214:$A$365),E213)</f>
        <v>534.39134199166961</v>
      </c>
      <c r="C214" s="42">
        <f t="shared" si="10"/>
        <v>327.10837322794742</v>
      </c>
      <c r="D214" s="42">
        <f t="shared" si="11"/>
        <v>207.28296876372218</v>
      </c>
      <c r="E214" s="42">
        <f t="shared" si="9"/>
        <v>52130.056747707866</v>
      </c>
      <c r="F214" s="8">
        <v>7.4999999999999997E-2</v>
      </c>
      <c r="G214" s="41"/>
    </row>
    <row r="215" spans="1:7" x14ac:dyDescent="0.25">
      <c r="A215" s="8">
        <f>ROWS(A$5:A215)-1</f>
        <v>210</v>
      </c>
      <c r="B215" s="42">
        <f>-PMT(F215/$F$2,COUNT(A215:$A$365),E214)</f>
        <v>534.39134199166949</v>
      </c>
      <c r="C215" s="42">
        <f t="shared" si="10"/>
        <v>325.81285467317417</v>
      </c>
      <c r="D215" s="42">
        <f t="shared" si="11"/>
        <v>208.57848731849532</v>
      </c>
      <c r="E215" s="42">
        <f t="shared" si="9"/>
        <v>51921.478260389369</v>
      </c>
      <c r="F215" s="8">
        <v>7.4999999999999997E-2</v>
      </c>
      <c r="G215" s="41"/>
    </row>
    <row r="216" spans="1:7" x14ac:dyDescent="0.25">
      <c r="A216" s="8">
        <f>ROWS(A$5:A216)-1</f>
        <v>211</v>
      </c>
      <c r="B216" s="42">
        <f>-PMT(F216/$F$2,COUNT(A216:$A$365),E215)</f>
        <v>534.39134199166949</v>
      </c>
      <c r="C216" s="42">
        <f t="shared" si="10"/>
        <v>324.50923912743355</v>
      </c>
      <c r="D216" s="42">
        <f t="shared" si="11"/>
        <v>209.88210286423595</v>
      </c>
      <c r="E216" s="42">
        <f t="shared" si="9"/>
        <v>51711.596157525135</v>
      </c>
      <c r="F216" s="8">
        <v>7.4999999999999997E-2</v>
      </c>
      <c r="G216" s="41"/>
    </row>
    <row r="217" spans="1:7" x14ac:dyDescent="0.25">
      <c r="A217" s="8">
        <f>ROWS(A$5:A217)-1</f>
        <v>212</v>
      </c>
      <c r="B217" s="42">
        <f>-PMT(F217/$F$2,COUNT(A217:$A$365),E216)</f>
        <v>534.39134199166949</v>
      </c>
      <c r="C217" s="42">
        <f t="shared" si="10"/>
        <v>323.1974759845321</v>
      </c>
      <c r="D217" s="42">
        <f t="shared" si="11"/>
        <v>211.19386600713739</v>
      </c>
      <c r="E217" s="42">
        <f t="shared" si="9"/>
        <v>51500.402291517996</v>
      </c>
      <c r="F217" s="8">
        <v>7.4999999999999997E-2</v>
      </c>
      <c r="G217" s="41"/>
    </row>
    <row r="218" spans="1:7" x14ac:dyDescent="0.25">
      <c r="A218" s="8">
        <f>ROWS(A$5:A218)-1</f>
        <v>213</v>
      </c>
      <c r="B218" s="42">
        <f>-PMT(F218/$F$2,COUNT(A218:$A$365),E217)</f>
        <v>534.39134199166938</v>
      </c>
      <c r="C218" s="42">
        <f t="shared" si="10"/>
        <v>321.87751432198746</v>
      </c>
      <c r="D218" s="42">
        <f t="shared" si="11"/>
        <v>212.51382766968192</v>
      </c>
      <c r="E218" s="42">
        <f t="shared" si="9"/>
        <v>51287.888463848314</v>
      </c>
      <c r="F218" s="8">
        <v>7.4999999999999997E-2</v>
      </c>
      <c r="G218" s="41"/>
    </row>
    <row r="219" spans="1:7" x14ac:dyDescent="0.25">
      <c r="A219" s="8">
        <f>ROWS(A$5:A219)-1</f>
        <v>214</v>
      </c>
      <c r="B219" s="42">
        <f>-PMT(F219/$F$2,COUNT(A219:$A$365),E218)</f>
        <v>534.39134199166949</v>
      </c>
      <c r="C219" s="42">
        <f t="shared" si="10"/>
        <v>320.54930289905195</v>
      </c>
      <c r="D219" s="42">
        <f t="shared" si="11"/>
        <v>213.84203909261754</v>
      </c>
      <c r="E219" s="42">
        <f t="shared" si="9"/>
        <v>51074.046424755696</v>
      </c>
      <c r="F219" s="8">
        <v>7.4999999999999997E-2</v>
      </c>
      <c r="G219" s="41"/>
    </row>
    <row r="220" spans="1:7" x14ac:dyDescent="0.25">
      <c r="A220" s="8">
        <f>ROWS(A$5:A220)-1</f>
        <v>215</v>
      </c>
      <c r="B220" s="42">
        <f>-PMT(F220/$F$2,COUNT(A220:$A$365),E219)</f>
        <v>534.39134199166938</v>
      </c>
      <c r="C220" s="42">
        <f t="shared" si="10"/>
        <v>319.21279015472311</v>
      </c>
      <c r="D220" s="42">
        <f t="shared" si="11"/>
        <v>215.17855183694627</v>
      </c>
      <c r="E220" s="42">
        <f t="shared" si="9"/>
        <v>50858.867872918752</v>
      </c>
      <c r="F220" s="8">
        <v>7.4999999999999997E-2</v>
      </c>
      <c r="G220" s="41"/>
    </row>
    <row r="221" spans="1:7" x14ac:dyDescent="0.25">
      <c r="A221" s="8">
        <f>ROWS(A$5:A221)-1</f>
        <v>216</v>
      </c>
      <c r="B221" s="42">
        <f>-PMT(F221/$F$2,COUNT(A221:$A$365),E220)</f>
        <v>534.39134199166938</v>
      </c>
      <c r="C221" s="42">
        <f t="shared" si="10"/>
        <v>317.86792420574221</v>
      </c>
      <c r="D221" s="42">
        <f t="shared" si="11"/>
        <v>216.52341778592717</v>
      </c>
      <c r="E221" s="42">
        <f t="shared" si="9"/>
        <v>50642.344455132828</v>
      </c>
      <c r="F221" s="8">
        <v>7.4999999999999997E-2</v>
      </c>
      <c r="G221" s="41"/>
    </row>
    <row r="222" spans="1:7" x14ac:dyDescent="0.25">
      <c r="A222" s="8">
        <f>ROWS(A$5:A222)-1</f>
        <v>217</v>
      </c>
      <c r="B222" s="42">
        <f>-PMT(F222/$F$2,COUNT(A222:$A$365),E221)</f>
        <v>534.39134199166938</v>
      </c>
      <c r="C222" s="42">
        <f t="shared" si="10"/>
        <v>316.51465284458016</v>
      </c>
      <c r="D222" s="42">
        <f t="shared" si="11"/>
        <v>217.87668914708922</v>
      </c>
      <c r="E222" s="42">
        <f t="shared" si="9"/>
        <v>50424.467765985741</v>
      </c>
      <c r="F222" s="8">
        <v>7.4999999999999997E-2</v>
      </c>
      <c r="G222" s="41"/>
    </row>
    <row r="223" spans="1:7" x14ac:dyDescent="0.25">
      <c r="A223" s="8">
        <f>ROWS(A$5:A223)-1</f>
        <v>218</v>
      </c>
      <c r="B223" s="42">
        <f>-PMT(F223/$F$2,COUNT(A223:$A$365),E222)</f>
        <v>534.39134199166949</v>
      </c>
      <c r="C223" s="42">
        <f t="shared" si="10"/>
        <v>315.15292353741086</v>
      </c>
      <c r="D223" s="42">
        <f t="shared" si="11"/>
        <v>219.23841845425864</v>
      </c>
      <c r="E223" s="42">
        <f t="shared" si="9"/>
        <v>50205.22934753148</v>
      </c>
      <c r="F223" s="8">
        <v>7.4999999999999997E-2</v>
      </c>
      <c r="G223" s="41"/>
    </row>
    <row r="224" spans="1:7" x14ac:dyDescent="0.25">
      <c r="A224" s="8">
        <f>ROWS(A$5:A224)-1</f>
        <v>219</v>
      </c>
      <c r="B224" s="42">
        <f>-PMT(F224/$F$2,COUNT(A224:$A$365),E223)</f>
        <v>534.39134199166961</v>
      </c>
      <c r="C224" s="42">
        <f t="shared" si="10"/>
        <v>313.78268342207173</v>
      </c>
      <c r="D224" s="42">
        <f t="shared" si="11"/>
        <v>220.60865856959788</v>
      </c>
      <c r="E224" s="42">
        <f t="shared" si="9"/>
        <v>49984.620688961884</v>
      </c>
      <c r="F224" s="8">
        <v>7.4999999999999997E-2</v>
      </c>
      <c r="G224" s="41"/>
    </row>
    <row r="225" spans="1:7" x14ac:dyDescent="0.25">
      <c r="A225" s="8">
        <f>ROWS(A$5:A225)-1</f>
        <v>220</v>
      </c>
      <c r="B225" s="42">
        <f>-PMT(F225/$F$2,COUNT(A225:$A$365),E224)</f>
        <v>534.39134199166949</v>
      </c>
      <c r="C225" s="42">
        <f t="shared" si="10"/>
        <v>312.40387930601179</v>
      </c>
      <c r="D225" s="42">
        <f t="shared" si="11"/>
        <v>221.9874626856577</v>
      </c>
      <c r="E225" s="42">
        <f t="shared" si="9"/>
        <v>49762.63322627623</v>
      </c>
      <c r="F225" s="8">
        <v>7.4999999999999997E-2</v>
      </c>
      <c r="G225" s="41"/>
    </row>
    <row r="226" spans="1:7" x14ac:dyDescent="0.25">
      <c r="A226" s="8">
        <f>ROWS(A$5:A226)-1</f>
        <v>221</v>
      </c>
      <c r="B226" s="42">
        <f>-PMT(F226/$F$2,COUNT(A226:$A$365),E225)</f>
        <v>534.39134199166949</v>
      </c>
      <c r="C226" s="42">
        <f t="shared" si="10"/>
        <v>311.01645766422644</v>
      </c>
      <c r="D226" s="42">
        <f t="shared" si="11"/>
        <v>223.37488432744306</v>
      </c>
      <c r="E226" s="42">
        <f t="shared" si="9"/>
        <v>49539.258341948786</v>
      </c>
      <c r="F226" s="8">
        <v>7.4999999999999997E-2</v>
      </c>
      <c r="G226" s="41"/>
    </row>
    <row r="227" spans="1:7" x14ac:dyDescent="0.25">
      <c r="A227" s="8">
        <f>ROWS(A$5:A227)-1</f>
        <v>222</v>
      </c>
      <c r="B227" s="42">
        <f>-PMT(F227/$F$2,COUNT(A227:$A$365),E226)</f>
        <v>534.39134199166972</v>
      </c>
      <c r="C227" s="42">
        <f t="shared" si="10"/>
        <v>309.62036463717988</v>
      </c>
      <c r="D227" s="42">
        <f t="shared" si="11"/>
        <v>224.77097735448984</v>
      </c>
      <c r="E227" s="42">
        <f t="shared" si="9"/>
        <v>49314.487364594293</v>
      </c>
      <c r="F227" s="8">
        <v>7.4999999999999997E-2</v>
      </c>
      <c r="G227" s="41"/>
    </row>
    <row r="228" spans="1:7" x14ac:dyDescent="0.25">
      <c r="A228" s="8">
        <f>ROWS(A$5:A228)-1</f>
        <v>223</v>
      </c>
      <c r="B228" s="42">
        <f>-PMT(F228/$F$2,COUNT(A228:$A$365),E227)</f>
        <v>534.39134199166949</v>
      </c>
      <c r="C228" s="42">
        <f t="shared" si="10"/>
        <v>308.2155460287143</v>
      </c>
      <c r="D228" s="42">
        <f t="shared" si="11"/>
        <v>226.17579596295519</v>
      </c>
      <c r="E228" s="42">
        <f t="shared" si="9"/>
        <v>49088.311568631339</v>
      </c>
      <c r="F228" s="8">
        <v>7.4999999999999997E-2</v>
      </c>
      <c r="G228" s="41"/>
    </row>
    <row r="229" spans="1:7" x14ac:dyDescent="0.25">
      <c r="A229" s="8">
        <f>ROWS(A$5:A229)-1</f>
        <v>224</v>
      </c>
      <c r="B229" s="42">
        <f>-PMT(F229/$F$2,COUNT(A229:$A$365),E228)</f>
        <v>534.39134199166972</v>
      </c>
      <c r="C229" s="42">
        <f t="shared" si="10"/>
        <v>306.80194730394584</v>
      </c>
      <c r="D229" s="42">
        <f t="shared" si="11"/>
        <v>227.58939468772388</v>
      </c>
      <c r="E229" s="42">
        <f t="shared" si="9"/>
        <v>48860.722173943614</v>
      </c>
      <c r="F229" s="8">
        <v>7.4999999999999997E-2</v>
      </c>
      <c r="G229" s="41"/>
    </row>
    <row r="230" spans="1:7" x14ac:dyDescent="0.25">
      <c r="A230" s="8">
        <f>ROWS(A$5:A230)-1</f>
        <v>225</v>
      </c>
      <c r="B230" s="42">
        <f>-PMT(F230/$F$2,COUNT(A230:$A$365),E229)</f>
        <v>534.39134199166961</v>
      </c>
      <c r="C230" s="42">
        <f t="shared" si="10"/>
        <v>305.37951358714758</v>
      </c>
      <c r="D230" s="42">
        <f t="shared" si="11"/>
        <v>229.01182840452202</v>
      </c>
      <c r="E230" s="42">
        <f t="shared" si="9"/>
        <v>48631.71034553909</v>
      </c>
      <c r="F230" s="8">
        <v>7.4999999999999997E-2</v>
      </c>
      <c r="G230" s="41"/>
    </row>
    <row r="231" spans="1:7" x14ac:dyDescent="0.25">
      <c r="A231" s="8">
        <f>ROWS(A$5:A231)-1</f>
        <v>226</v>
      </c>
      <c r="B231" s="42">
        <f>-PMT(F231/$F$2,COUNT(A231:$A$365),E230)</f>
        <v>534.39134199166961</v>
      </c>
      <c r="C231" s="42">
        <f t="shared" si="10"/>
        <v>303.94818965961929</v>
      </c>
      <c r="D231" s="42">
        <f t="shared" si="11"/>
        <v>230.44315233205032</v>
      </c>
      <c r="E231" s="42">
        <f t="shared" si="9"/>
        <v>48401.267193207037</v>
      </c>
      <c r="F231" s="8">
        <v>7.4999999999999997E-2</v>
      </c>
      <c r="G231" s="41"/>
    </row>
    <row r="232" spans="1:7" x14ac:dyDescent="0.25">
      <c r="A232" s="8">
        <f>ROWS(A$5:A232)-1</f>
        <v>227</v>
      </c>
      <c r="B232" s="42">
        <f>-PMT(F232/$F$2,COUNT(A232:$A$365),E231)</f>
        <v>534.39134199166949</v>
      </c>
      <c r="C232" s="42">
        <f t="shared" si="10"/>
        <v>302.50791995754395</v>
      </c>
      <c r="D232" s="42">
        <f t="shared" si="11"/>
        <v>231.88342203412554</v>
      </c>
      <c r="E232" s="42">
        <f t="shared" si="9"/>
        <v>48169.383771172914</v>
      </c>
      <c r="F232" s="8">
        <v>7.4999999999999997E-2</v>
      </c>
      <c r="G232" s="41"/>
    </row>
    <row r="233" spans="1:7" x14ac:dyDescent="0.25">
      <c r="A233" s="8">
        <f>ROWS(A$5:A233)-1</f>
        <v>228</v>
      </c>
      <c r="B233" s="42">
        <f>-PMT(F233/$F$2,COUNT(A233:$A$365),E232)</f>
        <v>534.39134199166949</v>
      </c>
      <c r="C233" s="42">
        <f t="shared" si="10"/>
        <v>301.05864856983072</v>
      </c>
      <c r="D233" s="42">
        <f t="shared" si="11"/>
        <v>233.33269342183877</v>
      </c>
      <c r="E233" s="42">
        <f t="shared" si="9"/>
        <v>47936.051077751072</v>
      </c>
      <c r="F233" s="8">
        <v>7.4999999999999997E-2</v>
      </c>
      <c r="G233" s="41"/>
    </row>
    <row r="234" spans="1:7" x14ac:dyDescent="0.25">
      <c r="A234" s="8">
        <f>ROWS(A$5:A234)-1</f>
        <v>229</v>
      </c>
      <c r="B234" s="42">
        <f>-PMT(F234/$F$2,COUNT(A234:$A$365),E233)</f>
        <v>534.39134199166949</v>
      </c>
      <c r="C234" s="42">
        <f t="shared" si="10"/>
        <v>299.6003192359442</v>
      </c>
      <c r="D234" s="42">
        <f t="shared" si="11"/>
        <v>234.79102275572529</v>
      </c>
      <c r="E234" s="42">
        <f t="shared" si="9"/>
        <v>47701.260054995349</v>
      </c>
      <c r="F234" s="8">
        <v>7.4999999999999997E-2</v>
      </c>
      <c r="G234" s="41"/>
    </row>
    <row r="235" spans="1:7" x14ac:dyDescent="0.25">
      <c r="A235" s="8">
        <f>ROWS(A$5:A235)-1</f>
        <v>230</v>
      </c>
      <c r="B235" s="42">
        <f>-PMT(F235/$F$2,COUNT(A235:$A$365),E234)</f>
        <v>534.39134199166949</v>
      </c>
      <c r="C235" s="42">
        <f t="shared" si="10"/>
        <v>298.13287534372091</v>
      </c>
      <c r="D235" s="42">
        <f t="shared" si="11"/>
        <v>236.25846664794858</v>
      </c>
      <c r="E235" s="42">
        <f t="shared" si="9"/>
        <v>47465.001588347404</v>
      </c>
      <c r="F235" s="8">
        <v>7.4999999999999997E-2</v>
      </c>
      <c r="G235" s="41"/>
    </row>
    <row r="236" spans="1:7" x14ac:dyDescent="0.25">
      <c r="A236" s="8">
        <f>ROWS(A$5:A236)-1</f>
        <v>231</v>
      </c>
      <c r="B236" s="42">
        <f>-PMT(F236/$F$2,COUNT(A236:$A$365),E235)</f>
        <v>534.39134199166949</v>
      </c>
      <c r="C236" s="42">
        <f t="shared" si="10"/>
        <v>296.65625992717128</v>
      </c>
      <c r="D236" s="42">
        <f t="shared" si="11"/>
        <v>237.73508206449822</v>
      </c>
      <c r="E236" s="42">
        <f t="shared" si="9"/>
        <v>47227.266506282904</v>
      </c>
      <c r="F236" s="8">
        <v>7.4999999999999997E-2</v>
      </c>
      <c r="G236" s="41"/>
    </row>
    <row r="237" spans="1:7" x14ac:dyDescent="0.25">
      <c r="A237" s="8">
        <f>ROWS(A$5:A237)-1</f>
        <v>232</v>
      </c>
      <c r="B237" s="42">
        <f>-PMT(F237/$F$2,COUNT(A237:$A$365),E236)</f>
        <v>534.39134199166949</v>
      </c>
      <c r="C237" s="42">
        <f t="shared" si="10"/>
        <v>295.17041566426815</v>
      </c>
      <c r="D237" s="42">
        <f t="shared" si="11"/>
        <v>239.22092632740134</v>
      </c>
      <c r="E237" s="42">
        <f t="shared" si="9"/>
        <v>46988.045579955506</v>
      </c>
      <c r="F237" s="8">
        <v>7.4999999999999997E-2</v>
      </c>
      <c r="G237" s="41"/>
    </row>
    <row r="238" spans="1:7" x14ac:dyDescent="0.25">
      <c r="A238" s="8">
        <f>ROWS(A$5:A238)-1</f>
        <v>233</v>
      </c>
      <c r="B238" s="42">
        <f>-PMT(F238/$F$2,COUNT(A238:$A$365),E237)</f>
        <v>534.39134199166972</v>
      </c>
      <c r="C238" s="42">
        <f t="shared" si="10"/>
        <v>293.67528487472191</v>
      </c>
      <c r="D238" s="42">
        <f t="shared" si="11"/>
        <v>240.71605711694781</v>
      </c>
      <c r="E238" s="42">
        <f t="shared" si="9"/>
        <v>46747.329522838561</v>
      </c>
      <c r="F238" s="8">
        <v>7.4999999999999997E-2</v>
      </c>
      <c r="G238" s="41"/>
    </row>
    <row r="239" spans="1:7" x14ac:dyDescent="0.25">
      <c r="A239" s="8">
        <f>ROWS(A$5:A239)-1</f>
        <v>234</v>
      </c>
      <c r="B239" s="42">
        <f>-PMT(F239/$F$2,COUNT(A239:$A$365),E238)</f>
        <v>534.39134199166961</v>
      </c>
      <c r="C239" s="42">
        <f t="shared" si="10"/>
        <v>292.17080951774102</v>
      </c>
      <c r="D239" s="42">
        <f t="shared" si="11"/>
        <v>242.22053247392859</v>
      </c>
      <c r="E239" s="42">
        <f t="shared" si="9"/>
        <v>46505.108990364635</v>
      </c>
      <c r="F239" s="8">
        <v>7.4999999999999997E-2</v>
      </c>
      <c r="G239" s="41"/>
    </row>
    <row r="240" spans="1:7" x14ac:dyDescent="0.25">
      <c r="A240" s="8">
        <f>ROWS(A$5:A240)-1</f>
        <v>235</v>
      </c>
      <c r="B240" s="42">
        <f>-PMT(F240/$F$2,COUNT(A240:$A$365),E239)</f>
        <v>534.39134199166961</v>
      </c>
      <c r="C240" s="42">
        <f t="shared" si="10"/>
        <v>290.65693118977896</v>
      </c>
      <c r="D240" s="42">
        <f t="shared" si="11"/>
        <v>243.73441080189065</v>
      </c>
      <c r="E240" s="42">
        <f t="shared" si="9"/>
        <v>46261.374579562747</v>
      </c>
      <c r="F240" s="8">
        <v>7.4999999999999997E-2</v>
      </c>
      <c r="G240" s="41"/>
    </row>
    <row r="241" spans="1:7" x14ac:dyDescent="0.25">
      <c r="A241" s="8">
        <f>ROWS(A$5:A241)-1</f>
        <v>236</v>
      </c>
      <c r="B241" s="42">
        <f>-PMT(F241/$F$2,COUNT(A241:$A$365),E240)</f>
        <v>534.39134199166949</v>
      </c>
      <c r="C241" s="42">
        <f t="shared" si="10"/>
        <v>289.13359112226715</v>
      </c>
      <c r="D241" s="42">
        <f t="shared" si="11"/>
        <v>245.25775086940234</v>
      </c>
      <c r="E241" s="42">
        <f t="shared" si="9"/>
        <v>46016.116828693346</v>
      </c>
      <c r="F241" s="8">
        <v>7.4999999999999997E-2</v>
      </c>
      <c r="G241" s="41"/>
    </row>
    <row r="242" spans="1:7" x14ac:dyDescent="0.25">
      <c r="A242" s="8">
        <f>ROWS(A$5:A242)-1</f>
        <v>237</v>
      </c>
      <c r="B242" s="42">
        <f>-PMT(F242/$F$2,COUNT(A242:$A$365),E241)</f>
        <v>534.39134199166972</v>
      </c>
      <c r="C242" s="42">
        <f t="shared" si="10"/>
        <v>287.60073017933342</v>
      </c>
      <c r="D242" s="42">
        <f t="shared" si="11"/>
        <v>246.79061181233629</v>
      </c>
      <c r="E242" s="42">
        <f t="shared" si="9"/>
        <v>45769.326216881011</v>
      </c>
      <c r="F242" s="8">
        <v>7.4999999999999997E-2</v>
      </c>
      <c r="G242" s="41"/>
    </row>
    <row r="243" spans="1:7" x14ac:dyDescent="0.25">
      <c r="A243" s="8">
        <f>ROWS(A$5:A243)-1</f>
        <v>238</v>
      </c>
      <c r="B243" s="42">
        <f>-PMT(F243/$F$2,COUNT(A243:$A$365),E242)</f>
        <v>534.39134199166972</v>
      </c>
      <c r="C243" s="42">
        <f t="shared" si="10"/>
        <v>286.05828885550631</v>
      </c>
      <c r="D243" s="42">
        <f t="shared" si="11"/>
        <v>248.33305313616341</v>
      </c>
      <c r="E243" s="42">
        <f t="shared" si="9"/>
        <v>45520.993163744846</v>
      </c>
      <c r="F243" s="8">
        <v>7.4999999999999997E-2</v>
      </c>
      <c r="G243" s="41"/>
    </row>
    <row r="244" spans="1:7" x14ac:dyDescent="0.25">
      <c r="A244" s="8">
        <f>ROWS(A$5:A244)-1</f>
        <v>239</v>
      </c>
      <c r="B244" s="42">
        <f>-PMT(F244/$F$2,COUNT(A244:$A$365),E243)</f>
        <v>534.39134199166961</v>
      </c>
      <c r="C244" s="42">
        <f t="shared" si="10"/>
        <v>284.50620727340527</v>
      </c>
      <c r="D244" s="42">
        <f t="shared" si="11"/>
        <v>249.88513471826434</v>
      </c>
      <c r="E244" s="42">
        <f t="shared" si="9"/>
        <v>45271.108029026582</v>
      </c>
      <c r="F244" s="8">
        <v>7.4999999999999997E-2</v>
      </c>
      <c r="G244" s="41"/>
    </row>
    <row r="245" spans="1:7" x14ac:dyDescent="0.25">
      <c r="A245" s="8">
        <f>ROWS(A$5:A245)-1</f>
        <v>240</v>
      </c>
      <c r="B245" s="42">
        <f>-PMT(F245/$F$2,COUNT(A245:$A$365),E244)</f>
        <v>534.39134199166961</v>
      </c>
      <c r="C245" s="42">
        <f t="shared" si="10"/>
        <v>282.94442518141614</v>
      </c>
      <c r="D245" s="42">
        <f t="shared" si="11"/>
        <v>251.44691681025347</v>
      </c>
      <c r="E245" s="42">
        <f t="shared" si="9"/>
        <v>45019.66111221633</v>
      </c>
      <c r="F245" s="8">
        <v>7.4999999999999997E-2</v>
      </c>
      <c r="G245" s="41"/>
    </row>
    <row r="246" spans="1:7" x14ac:dyDescent="0.25">
      <c r="A246" s="8">
        <f>ROWS(A$5:A246)-1</f>
        <v>241</v>
      </c>
      <c r="B246" s="42">
        <f>-PMT(F246/$F$2,COUNT(A246:$A$365),E245)</f>
        <v>534.39134199166972</v>
      </c>
      <c r="C246" s="42">
        <f t="shared" si="10"/>
        <v>281.37288195135204</v>
      </c>
      <c r="D246" s="42">
        <f t="shared" si="11"/>
        <v>253.01846004031768</v>
      </c>
      <c r="E246" s="42">
        <f t="shared" si="9"/>
        <v>44766.642652176015</v>
      </c>
      <c r="F246" s="8">
        <v>7.4999999999999997E-2</v>
      </c>
      <c r="G246" s="41"/>
    </row>
    <row r="247" spans="1:7" x14ac:dyDescent="0.25">
      <c r="A247" s="8">
        <f>ROWS(A$5:A247)-1</f>
        <v>242</v>
      </c>
      <c r="B247" s="42">
        <f>-PMT(F247/$F$2,COUNT(A247:$A$365),E246)</f>
        <v>534.39134199166983</v>
      </c>
      <c r="C247" s="42">
        <f t="shared" si="10"/>
        <v>279.79151657610009</v>
      </c>
      <c r="D247" s="42">
        <f t="shared" si="11"/>
        <v>254.59982541556974</v>
      </c>
      <c r="E247" s="42">
        <f t="shared" si="9"/>
        <v>44512.042826760444</v>
      </c>
      <c r="F247" s="8">
        <v>7.4999999999999997E-2</v>
      </c>
      <c r="G247" s="41"/>
    </row>
    <row r="248" spans="1:7" x14ac:dyDescent="0.25">
      <c r="A248" s="8">
        <f>ROWS(A$5:A248)-1</f>
        <v>243</v>
      </c>
      <c r="B248" s="42">
        <f>-PMT(F248/$F$2,COUNT(A248:$A$365),E247)</f>
        <v>534.39134199166972</v>
      </c>
      <c r="C248" s="42">
        <f t="shared" si="10"/>
        <v>278.20026766725277</v>
      </c>
      <c r="D248" s="42">
        <f t="shared" si="11"/>
        <v>256.19107432441695</v>
      </c>
      <c r="E248" s="42">
        <f t="shared" si="9"/>
        <v>44255.851752436029</v>
      </c>
      <c r="F248" s="8">
        <v>7.4999999999999997E-2</v>
      </c>
      <c r="G248" s="41"/>
    </row>
    <row r="249" spans="1:7" x14ac:dyDescent="0.25">
      <c r="A249" s="8">
        <f>ROWS(A$5:A249)-1</f>
        <v>244</v>
      </c>
      <c r="B249" s="42">
        <f>-PMT(F249/$F$2,COUNT(A249:$A$365),E248)</f>
        <v>534.39134199166983</v>
      </c>
      <c r="C249" s="42">
        <f t="shared" si="10"/>
        <v>276.59907345272518</v>
      </c>
      <c r="D249" s="42">
        <f t="shared" si="11"/>
        <v>257.79226853894465</v>
      </c>
      <c r="E249" s="42">
        <f t="shared" si="9"/>
        <v>43998.059483897086</v>
      </c>
      <c r="F249" s="8">
        <v>7.4999999999999997E-2</v>
      </c>
      <c r="G249" s="41"/>
    </row>
    <row r="250" spans="1:7" x14ac:dyDescent="0.25">
      <c r="A250" s="8">
        <f>ROWS(A$5:A250)-1</f>
        <v>245</v>
      </c>
      <c r="B250" s="42">
        <f>-PMT(F250/$F$2,COUNT(A250:$A$365),E249)</f>
        <v>534.39134199166983</v>
      </c>
      <c r="C250" s="42">
        <f t="shared" si="10"/>
        <v>274.98787177435679</v>
      </c>
      <c r="D250" s="42">
        <f t="shared" si="11"/>
        <v>259.40347021731304</v>
      </c>
      <c r="E250" s="42">
        <f t="shared" si="9"/>
        <v>43738.656013679771</v>
      </c>
      <c r="F250" s="8">
        <v>7.4999999999999997E-2</v>
      </c>
      <c r="G250" s="41"/>
    </row>
    <row r="251" spans="1:7" x14ac:dyDescent="0.25">
      <c r="A251" s="8">
        <f>ROWS(A$5:A251)-1</f>
        <v>246</v>
      </c>
      <c r="B251" s="42">
        <f>-PMT(F251/$F$2,COUNT(A251:$A$365),E250)</f>
        <v>534.39134199166972</v>
      </c>
      <c r="C251" s="42">
        <f t="shared" si="10"/>
        <v>273.36660008549853</v>
      </c>
      <c r="D251" s="42">
        <f t="shared" si="11"/>
        <v>261.02474190617119</v>
      </c>
      <c r="E251" s="42">
        <f t="shared" si="9"/>
        <v>43477.6312717736</v>
      </c>
      <c r="F251" s="8">
        <v>7.4999999999999997E-2</v>
      </c>
      <c r="G251" s="41"/>
    </row>
    <row r="252" spans="1:7" x14ac:dyDescent="0.25">
      <c r="A252" s="8">
        <f>ROWS(A$5:A252)-1</f>
        <v>247</v>
      </c>
      <c r="B252" s="42">
        <f>-PMT(F252/$F$2,COUNT(A252:$A$365),E251)</f>
        <v>534.39134199166972</v>
      </c>
      <c r="C252" s="42">
        <f t="shared" si="10"/>
        <v>271.73519544858499</v>
      </c>
      <c r="D252" s="42">
        <f t="shared" si="11"/>
        <v>262.65614654308473</v>
      </c>
      <c r="E252" s="42">
        <f t="shared" si="9"/>
        <v>43214.975125230514</v>
      </c>
      <c r="F252" s="8">
        <v>7.4999999999999997E-2</v>
      </c>
      <c r="G252" s="41"/>
    </row>
    <row r="253" spans="1:7" x14ac:dyDescent="0.25">
      <c r="A253" s="8">
        <f>ROWS(A$5:A253)-1</f>
        <v>248</v>
      </c>
      <c r="B253" s="42">
        <f>-PMT(F253/$F$2,COUNT(A253:$A$365),E252)</f>
        <v>534.39134199166983</v>
      </c>
      <c r="C253" s="42">
        <f t="shared" si="10"/>
        <v>270.0935945326907</v>
      </c>
      <c r="D253" s="42">
        <f t="shared" si="11"/>
        <v>264.29774745897913</v>
      </c>
      <c r="E253" s="42">
        <f t="shared" si="9"/>
        <v>42950.677377771535</v>
      </c>
      <c r="F253" s="8">
        <v>7.4999999999999997E-2</v>
      </c>
      <c r="G253" s="41"/>
    </row>
    <row r="254" spans="1:7" x14ac:dyDescent="0.25">
      <c r="A254" s="8">
        <f>ROWS(A$5:A254)-1</f>
        <v>249</v>
      </c>
      <c r="B254" s="42">
        <f>-PMT(F254/$F$2,COUNT(A254:$A$365),E253)</f>
        <v>534.39134199166972</v>
      </c>
      <c r="C254" s="42">
        <f t="shared" si="10"/>
        <v>268.4417336110721</v>
      </c>
      <c r="D254" s="42">
        <f t="shared" si="11"/>
        <v>265.94960838059762</v>
      </c>
      <c r="E254" s="42">
        <f t="shared" si="9"/>
        <v>42684.727769390935</v>
      </c>
      <c r="F254" s="8">
        <v>7.4999999999999997E-2</v>
      </c>
      <c r="G254" s="41"/>
    </row>
    <row r="255" spans="1:7" x14ac:dyDescent="0.25">
      <c r="A255" s="8">
        <f>ROWS(A$5:A255)-1</f>
        <v>250</v>
      </c>
      <c r="B255" s="42">
        <f>-PMT(F255/$F$2,COUNT(A255:$A$365),E254)</f>
        <v>534.39134199166983</v>
      </c>
      <c r="C255" s="42">
        <f t="shared" si="10"/>
        <v>266.77954855869331</v>
      </c>
      <c r="D255" s="42">
        <f t="shared" si="11"/>
        <v>267.61179343297653</v>
      </c>
      <c r="E255" s="42">
        <f t="shared" si="9"/>
        <v>42417.11597595796</v>
      </c>
      <c r="F255" s="8">
        <v>7.4999999999999997E-2</v>
      </c>
      <c r="G255" s="41"/>
    </row>
    <row r="256" spans="1:7" x14ac:dyDescent="0.25">
      <c r="A256" s="8">
        <f>ROWS(A$5:A256)-1</f>
        <v>251</v>
      </c>
      <c r="B256" s="42">
        <f>-PMT(F256/$F$2,COUNT(A256:$A$365),E255)</f>
        <v>534.39134199166983</v>
      </c>
      <c r="C256" s="42">
        <f t="shared" si="10"/>
        <v>265.10697484973724</v>
      </c>
      <c r="D256" s="42">
        <f t="shared" si="11"/>
        <v>269.28436714193259</v>
      </c>
      <c r="E256" s="42">
        <f t="shared" si="9"/>
        <v>42147.831608816028</v>
      </c>
      <c r="F256" s="8">
        <v>7.4999999999999997E-2</v>
      </c>
      <c r="G256" s="41"/>
    </row>
    <row r="257" spans="1:7" x14ac:dyDescent="0.25">
      <c r="A257" s="8">
        <f>ROWS(A$5:A257)-1</f>
        <v>252</v>
      </c>
      <c r="B257" s="42">
        <f>-PMT(F257/$F$2,COUNT(A257:$A$365),E256)</f>
        <v>534.39134199166972</v>
      </c>
      <c r="C257" s="42">
        <f t="shared" si="10"/>
        <v>263.42394755510014</v>
      </c>
      <c r="D257" s="42">
        <f t="shared" si="11"/>
        <v>270.96739443656958</v>
      </c>
      <c r="E257" s="42">
        <f t="shared" si="9"/>
        <v>41876.864214379457</v>
      </c>
      <c r="F257" s="8">
        <v>7.4999999999999997E-2</v>
      </c>
      <c r="G257" s="41"/>
    </row>
    <row r="258" spans="1:7" x14ac:dyDescent="0.25">
      <c r="A258" s="8">
        <f>ROWS(A$5:A258)-1</f>
        <v>253</v>
      </c>
      <c r="B258" s="42">
        <f>-PMT(F258/$F$2,COUNT(A258:$A$365),E257)</f>
        <v>534.39134199166972</v>
      </c>
      <c r="C258" s="42">
        <f t="shared" si="10"/>
        <v>261.73040133987161</v>
      </c>
      <c r="D258" s="42">
        <f t="shared" si="11"/>
        <v>272.66094065179811</v>
      </c>
      <c r="E258" s="42">
        <f t="shared" si="9"/>
        <v>41604.20327372766</v>
      </c>
      <c r="F258" s="8">
        <v>7.4999999999999997E-2</v>
      </c>
      <c r="G258" s="41"/>
    </row>
    <row r="259" spans="1:7" x14ac:dyDescent="0.25">
      <c r="A259" s="8">
        <f>ROWS(A$5:A259)-1</f>
        <v>254</v>
      </c>
      <c r="B259" s="42">
        <f>-PMT(F259/$F$2,COUNT(A259:$A$365),E258)</f>
        <v>534.39134199166972</v>
      </c>
      <c r="C259" s="42">
        <f t="shared" si="10"/>
        <v>260.02627046079789</v>
      </c>
      <c r="D259" s="42">
        <f t="shared" si="11"/>
        <v>274.36507153087183</v>
      </c>
      <c r="E259" s="42">
        <f t="shared" si="9"/>
        <v>41329.838202196792</v>
      </c>
      <c r="F259" s="8">
        <v>7.4999999999999997E-2</v>
      </c>
      <c r="G259" s="41"/>
    </row>
    <row r="260" spans="1:7" x14ac:dyDescent="0.25">
      <c r="A260" s="8">
        <f>ROWS(A$5:A260)-1</f>
        <v>255</v>
      </c>
      <c r="B260" s="42">
        <f>-PMT(F260/$F$2,COUNT(A260:$A$365),E259)</f>
        <v>534.39134199166983</v>
      </c>
      <c r="C260" s="42">
        <f t="shared" si="10"/>
        <v>258.31148876372993</v>
      </c>
      <c r="D260" s="42">
        <f t="shared" si="11"/>
        <v>276.07985322793991</v>
      </c>
      <c r="E260" s="42">
        <f t="shared" si="9"/>
        <v>41053.758348968855</v>
      </c>
      <c r="F260" s="8">
        <v>7.4999999999999997E-2</v>
      </c>
      <c r="G260" s="41"/>
    </row>
    <row r="261" spans="1:7" x14ac:dyDescent="0.25">
      <c r="A261" s="8">
        <f>ROWS(A$5:A261)-1</f>
        <v>256</v>
      </c>
      <c r="B261" s="42">
        <f>-PMT(F261/$F$2,COUNT(A261:$A$365),E260)</f>
        <v>534.39134199166983</v>
      </c>
      <c r="C261" s="42">
        <f t="shared" si="10"/>
        <v>256.58598968105531</v>
      </c>
      <c r="D261" s="42">
        <f t="shared" si="11"/>
        <v>277.80535231061452</v>
      </c>
      <c r="E261" s="42">
        <f t="shared" si="9"/>
        <v>40775.952996658241</v>
      </c>
      <c r="F261" s="8">
        <v>7.4999999999999997E-2</v>
      </c>
      <c r="G261" s="41"/>
    </row>
    <row r="262" spans="1:7" x14ac:dyDescent="0.25">
      <c r="A262" s="8">
        <f>ROWS(A$5:A262)-1</f>
        <v>257</v>
      </c>
      <c r="B262" s="42">
        <f>-PMT(F262/$F$2,COUNT(A262:$A$365),E261)</f>
        <v>534.39134199166983</v>
      </c>
      <c r="C262" s="42">
        <f t="shared" si="10"/>
        <v>254.84970622911399</v>
      </c>
      <c r="D262" s="42">
        <f t="shared" si="11"/>
        <v>279.54163576255587</v>
      </c>
      <c r="E262" s="42">
        <f t="shared" ref="E262:E325" si="12">E261-D262-G262</f>
        <v>40496.411360895683</v>
      </c>
      <c r="F262" s="8">
        <v>7.4999999999999997E-2</v>
      </c>
      <c r="G262" s="41"/>
    </row>
    <row r="263" spans="1:7" x14ac:dyDescent="0.25">
      <c r="A263" s="8">
        <f>ROWS(A$5:A263)-1</f>
        <v>258</v>
      </c>
      <c r="B263" s="42">
        <f>-PMT(F263/$F$2,COUNT(A263:$A$365),E262)</f>
        <v>534.39134199166983</v>
      </c>
      <c r="C263" s="42">
        <f t="shared" ref="C263:C326" si="13">E262*F263/$F$2</f>
        <v>253.10257100559804</v>
      </c>
      <c r="D263" s="42">
        <f t="shared" ref="D263:D326" si="14">B263-C263</f>
        <v>281.28877098607177</v>
      </c>
      <c r="E263" s="42">
        <f t="shared" si="12"/>
        <v>40215.12258990961</v>
      </c>
      <c r="F263" s="8">
        <v>7.4999999999999997E-2</v>
      </c>
      <c r="G263" s="41"/>
    </row>
    <row r="264" spans="1:7" x14ac:dyDescent="0.25">
      <c r="A264" s="8">
        <f>ROWS(A$5:A264)-1</f>
        <v>259</v>
      </c>
      <c r="B264" s="42">
        <f>-PMT(F264/$F$2,COUNT(A264:$A$365),E263)</f>
        <v>534.39134199166983</v>
      </c>
      <c r="C264" s="42">
        <f t="shared" si="13"/>
        <v>251.34451618693504</v>
      </c>
      <c r="D264" s="42">
        <f t="shared" si="14"/>
        <v>283.04682580473479</v>
      </c>
      <c r="E264" s="42">
        <f t="shared" si="12"/>
        <v>39932.075764104877</v>
      </c>
      <c r="F264" s="8">
        <v>7.4999999999999997E-2</v>
      </c>
      <c r="G264" s="41"/>
    </row>
    <row r="265" spans="1:7" x14ac:dyDescent="0.25">
      <c r="A265" s="8">
        <f>ROWS(A$5:A265)-1</f>
        <v>260</v>
      </c>
      <c r="B265" s="42">
        <f>-PMT(F265/$F$2,COUNT(A265:$A$365),E264)</f>
        <v>534.39134199166983</v>
      </c>
      <c r="C265" s="42">
        <f t="shared" si="13"/>
        <v>249.5754735256555</v>
      </c>
      <c r="D265" s="42">
        <f t="shared" si="14"/>
        <v>284.81586846601431</v>
      </c>
      <c r="E265" s="42">
        <f t="shared" si="12"/>
        <v>39647.259895638861</v>
      </c>
      <c r="F265" s="8">
        <v>7.4999999999999997E-2</v>
      </c>
      <c r="G265" s="41"/>
    </row>
    <row r="266" spans="1:7" x14ac:dyDescent="0.25">
      <c r="A266" s="8">
        <f>ROWS(A$5:A266)-1</f>
        <v>261</v>
      </c>
      <c r="B266" s="42">
        <f>-PMT(F266/$F$2,COUNT(A266:$A$365),E265)</f>
        <v>534.39134199166983</v>
      </c>
      <c r="C266" s="42">
        <f t="shared" si="13"/>
        <v>247.79537434774286</v>
      </c>
      <c r="D266" s="42">
        <f t="shared" si="14"/>
        <v>286.595967643927</v>
      </c>
      <c r="E266" s="42">
        <f t="shared" si="12"/>
        <v>39360.66392799493</v>
      </c>
      <c r="F266" s="8">
        <v>7.4999999999999997E-2</v>
      </c>
      <c r="G266" s="41"/>
    </row>
    <row r="267" spans="1:7" x14ac:dyDescent="0.25">
      <c r="A267" s="8">
        <f>ROWS(A$5:A267)-1</f>
        <v>262</v>
      </c>
      <c r="B267" s="42">
        <f>-PMT(F267/$F$2,COUNT(A267:$A$365),E266)</f>
        <v>534.39134199166983</v>
      </c>
      <c r="C267" s="42">
        <f t="shared" si="13"/>
        <v>246.00414954996833</v>
      </c>
      <c r="D267" s="42">
        <f t="shared" si="14"/>
        <v>288.38719244170147</v>
      </c>
      <c r="E267" s="42">
        <f t="shared" si="12"/>
        <v>39072.276735553227</v>
      </c>
      <c r="F267" s="8">
        <v>7.4999999999999997E-2</v>
      </c>
      <c r="G267" s="41"/>
    </row>
    <row r="268" spans="1:7" x14ac:dyDescent="0.25">
      <c r="A268" s="8">
        <f>ROWS(A$5:A268)-1</f>
        <v>263</v>
      </c>
      <c r="B268" s="42">
        <f>-PMT(F268/$F$2,COUNT(A268:$A$365),E267)</f>
        <v>534.39134199166961</v>
      </c>
      <c r="C268" s="42">
        <f t="shared" si="13"/>
        <v>244.20172959720765</v>
      </c>
      <c r="D268" s="42">
        <f t="shared" si="14"/>
        <v>290.18961239446196</v>
      </c>
      <c r="E268" s="42">
        <f t="shared" si="12"/>
        <v>38782.087123158766</v>
      </c>
      <c r="F268" s="8">
        <v>7.4999999999999997E-2</v>
      </c>
      <c r="G268" s="41"/>
    </row>
    <row r="269" spans="1:7" x14ac:dyDescent="0.25">
      <c r="A269" s="8">
        <f>ROWS(A$5:A269)-1</f>
        <v>264</v>
      </c>
      <c r="B269" s="42">
        <f>-PMT(F269/$F$2,COUNT(A269:$A$365),E268)</f>
        <v>534.39134199166961</v>
      </c>
      <c r="C269" s="42">
        <f t="shared" si="13"/>
        <v>242.38804451974227</v>
      </c>
      <c r="D269" s="42">
        <f t="shared" si="14"/>
        <v>292.00329747192734</v>
      </c>
      <c r="E269" s="42">
        <f t="shared" si="12"/>
        <v>38490.083825686837</v>
      </c>
      <c r="F269" s="8">
        <v>7.4999999999999997E-2</v>
      </c>
      <c r="G269" s="41"/>
    </row>
    <row r="270" spans="1:7" x14ac:dyDescent="0.25">
      <c r="A270" s="8">
        <f>ROWS(A$5:A270)-1</f>
        <v>265</v>
      </c>
      <c r="B270" s="42">
        <f>-PMT(F270/$F$2,COUNT(A270:$A$365),E269)</f>
        <v>534.39134199166983</v>
      </c>
      <c r="C270" s="42">
        <f t="shared" si="13"/>
        <v>240.56302391054271</v>
      </c>
      <c r="D270" s="42">
        <f t="shared" si="14"/>
        <v>293.82831808112712</v>
      </c>
      <c r="E270" s="42">
        <f t="shared" si="12"/>
        <v>38196.255507605711</v>
      </c>
      <c r="F270" s="8">
        <v>7.4999999999999997E-2</v>
      </c>
      <c r="G270" s="41"/>
    </row>
    <row r="271" spans="1:7" x14ac:dyDescent="0.25">
      <c r="A271" s="8">
        <f>ROWS(A$5:A271)-1</f>
        <v>266</v>
      </c>
      <c r="B271" s="42">
        <f>-PMT(F271/$F$2,COUNT(A271:$A$365),E270)</f>
        <v>534.39134199166961</v>
      </c>
      <c r="C271" s="42">
        <f t="shared" si="13"/>
        <v>238.72659692253569</v>
      </c>
      <c r="D271" s="42">
        <f t="shared" si="14"/>
        <v>295.66474506913391</v>
      </c>
      <c r="E271" s="42">
        <f t="shared" si="12"/>
        <v>37900.59076253658</v>
      </c>
      <c r="F271" s="8">
        <v>7.4999999999999997E-2</v>
      </c>
      <c r="G271" s="41"/>
    </row>
    <row r="272" spans="1:7" x14ac:dyDescent="0.25">
      <c r="A272" s="8">
        <f>ROWS(A$5:A272)-1</f>
        <v>267</v>
      </c>
      <c r="B272" s="42">
        <f>-PMT(F272/$F$2,COUNT(A272:$A$365),E271)</f>
        <v>534.39134199166983</v>
      </c>
      <c r="C272" s="42">
        <f t="shared" si="13"/>
        <v>236.8786922658536</v>
      </c>
      <c r="D272" s="42">
        <f t="shared" si="14"/>
        <v>297.51264972581623</v>
      </c>
      <c r="E272" s="42">
        <f t="shared" si="12"/>
        <v>37603.078112810763</v>
      </c>
      <c r="F272" s="8">
        <v>7.4999999999999997E-2</v>
      </c>
      <c r="G272" s="41"/>
    </row>
    <row r="273" spans="1:7" x14ac:dyDescent="0.25">
      <c r="A273" s="8">
        <f>ROWS(A$5:A273)-1</f>
        <v>268</v>
      </c>
      <c r="B273" s="42">
        <f>-PMT(F273/$F$2,COUNT(A273:$A$365),E272)</f>
        <v>534.39134199166983</v>
      </c>
      <c r="C273" s="42">
        <f t="shared" si="13"/>
        <v>235.01923820506727</v>
      </c>
      <c r="D273" s="42">
        <f t="shared" si="14"/>
        <v>299.37210378660257</v>
      </c>
      <c r="E273" s="42">
        <f t="shared" si="12"/>
        <v>37303.706009024158</v>
      </c>
      <c r="F273" s="8">
        <v>7.4999999999999997E-2</v>
      </c>
      <c r="G273" s="41"/>
    </row>
    <row r="274" spans="1:7" x14ac:dyDescent="0.25">
      <c r="A274" s="8">
        <f>ROWS(A$5:A274)-1</f>
        <v>269</v>
      </c>
      <c r="B274" s="42">
        <f>-PMT(F274/$F$2,COUNT(A274:$A$365),E273)</f>
        <v>534.39134199166961</v>
      </c>
      <c r="C274" s="42">
        <f t="shared" si="13"/>
        <v>233.14816255640096</v>
      </c>
      <c r="D274" s="42">
        <f t="shared" si="14"/>
        <v>301.24317943526864</v>
      </c>
      <c r="E274" s="42">
        <f t="shared" si="12"/>
        <v>37002.462829588891</v>
      </c>
      <c r="F274" s="8">
        <v>7.4999999999999997E-2</v>
      </c>
      <c r="G274" s="41"/>
    </row>
    <row r="275" spans="1:7" x14ac:dyDescent="0.25">
      <c r="A275" s="8">
        <f>ROWS(A$5:A275)-1</f>
        <v>270</v>
      </c>
      <c r="B275" s="42">
        <f>-PMT(F275/$F$2,COUNT(A275:$A$365),E274)</f>
        <v>534.39134199166972</v>
      </c>
      <c r="C275" s="42">
        <f t="shared" si="13"/>
        <v>231.26539268493056</v>
      </c>
      <c r="D275" s="42">
        <f t="shared" si="14"/>
        <v>303.12594930673913</v>
      </c>
      <c r="E275" s="42">
        <f t="shared" si="12"/>
        <v>36699.33688028215</v>
      </c>
      <c r="F275" s="8">
        <v>7.4999999999999997E-2</v>
      </c>
      <c r="G275" s="41"/>
    </row>
    <row r="276" spans="1:7" x14ac:dyDescent="0.25">
      <c r="A276" s="8">
        <f>ROWS(A$5:A276)-1</f>
        <v>271</v>
      </c>
      <c r="B276" s="42">
        <f>-PMT(F276/$F$2,COUNT(A276:$A$365),E275)</f>
        <v>534.39134199166972</v>
      </c>
      <c r="C276" s="42">
        <f t="shared" si="13"/>
        <v>229.37085550176343</v>
      </c>
      <c r="D276" s="42">
        <f t="shared" si="14"/>
        <v>305.02048648990626</v>
      </c>
      <c r="E276" s="42">
        <f t="shared" si="12"/>
        <v>36394.316393792244</v>
      </c>
      <c r="F276" s="8">
        <v>7.4999999999999997E-2</v>
      </c>
      <c r="G276" s="41"/>
    </row>
    <row r="277" spans="1:7" x14ac:dyDescent="0.25">
      <c r="A277" s="8">
        <f>ROWS(A$5:A277)-1</f>
        <v>272</v>
      </c>
      <c r="B277" s="42">
        <f>-PMT(F277/$F$2,COUNT(A277:$A$365),E276)</f>
        <v>534.39134199166983</v>
      </c>
      <c r="C277" s="42">
        <f t="shared" si="13"/>
        <v>227.46447746120154</v>
      </c>
      <c r="D277" s="42">
        <f t="shared" si="14"/>
        <v>306.92686453046827</v>
      </c>
      <c r="E277" s="42">
        <f t="shared" si="12"/>
        <v>36087.389529261774</v>
      </c>
      <c r="F277" s="8">
        <v>7.4999999999999997E-2</v>
      </c>
      <c r="G277" s="41"/>
    </row>
    <row r="278" spans="1:7" x14ac:dyDescent="0.25">
      <c r="A278" s="8">
        <f>ROWS(A$5:A278)-1</f>
        <v>273</v>
      </c>
      <c r="B278" s="42">
        <f>-PMT(F278/$F$2,COUNT(A278:$A$365),E277)</f>
        <v>534.39134199166972</v>
      </c>
      <c r="C278" s="42">
        <f t="shared" si="13"/>
        <v>225.54618455788611</v>
      </c>
      <c r="D278" s="42">
        <f t="shared" si="14"/>
        <v>308.84515743378358</v>
      </c>
      <c r="E278" s="42">
        <f t="shared" si="12"/>
        <v>35778.544371827993</v>
      </c>
      <c r="F278" s="8">
        <v>7.4999999999999997E-2</v>
      </c>
      <c r="G278" s="41"/>
    </row>
    <row r="279" spans="1:7" x14ac:dyDescent="0.25">
      <c r="A279" s="8">
        <f>ROWS(A$5:A279)-1</f>
        <v>274</v>
      </c>
      <c r="B279" s="42">
        <f>-PMT(F279/$F$2,COUNT(A279:$A$365),E278)</f>
        <v>534.39134199166972</v>
      </c>
      <c r="C279" s="42">
        <f t="shared" si="13"/>
        <v>223.61590232392496</v>
      </c>
      <c r="D279" s="42">
        <f t="shared" si="14"/>
        <v>310.77543966774476</v>
      </c>
      <c r="E279" s="42">
        <f t="shared" si="12"/>
        <v>35467.768932160245</v>
      </c>
      <c r="F279" s="8">
        <v>7.4999999999999997E-2</v>
      </c>
      <c r="G279" s="41"/>
    </row>
    <row r="280" spans="1:7" x14ac:dyDescent="0.25">
      <c r="A280" s="8">
        <f>ROWS(A$5:A280)-1</f>
        <v>275</v>
      </c>
      <c r="B280" s="42">
        <f>-PMT(F280/$F$2,COUNT(A280:$A$365),E279)</f>
        <v>534.39134199166961</v>
      </c>
      <c r="C280" s="42">
        <f t="shared" si="13"/>
        <v>221.67355582600155</v>
      </c>
      <c r="D280" s="42">
        <f t="shared" si="14"/>
        <v>312.71778616566803</v>
      </c>
      <c r="E280" s="42">
        <f t="shared" si="12"/>
        <v>35155.051145994577</v>
      </c>
      <c r="F280" s="8">
        <v>7.4999999999999997E-2</v>
      </c>
      <c r="G280" s="41"/>
    </row>
    <row r="281" spans="1:7" x14ac:dyDescent="0.25">
      <c r="A281" s="8">
        <f>ROWS(A$5:A281)-1</f>
        <v>276</v>
      </c>
      <c r="B281" s="42">
        <f>-PMT(F281/$F$2,COUNT(A281:$A$365),E280)</f>
        <v>534.39134199166972</v>
      </c>
      <c r="C281" s="42">
        <f t="shared" si="13"/>
        <v>219.71906966246613</v>
      </c>
      <c r="D281" s="42">
        <f t="shared" si="14"/>
        <v>314.67227232920357</v>
      </c>
      <c r="E281" s="42">
        <f t="shared" si="12"/>
        <v>34840.378873665373</v>
      </c>
      <c r="F281" s="8">
        <v>7.4999999999999997E-2</v>
      </c>
      <c r="G281" s="41"/>
    </row>
    <row r="282" spans="1:7" x14ac:dyDescent="0.25">
      <c r="A282" s="8">
        <f>ROWS(A$5:A282)-1</f>
        <v>277</v>
      </c>
      <c r="B282" s="42">
        <f>-PMT(F282/$F$2,COUNT(A282:$A$365),E281)</f>
        <v>534.39134199166961</v>
      </c>
      <c r="C282" s="42">
        <f t="shared" si="13"/>
        <v>217.75236796040858</v>
      </c>
      <c r="D282" s="42">
        <f t="shared" si="14"/>
        <v>316.638974031261</v>
      </c>
      <c r="E282" s="42">
        <f t="shared" si="12"/>
        <v>34523.739899634114</v>
      </c>
      <c r="F282" s="8">
        <v>7.4999999999999997E-2</v>
      </c>
      <c r="G282" s="41"/>
    </row>
    <row r="283" spans="1:7" x14ac:dyDescent="0.25">
      <c r="A283" s="8">
        <f>ROWS(A$5:A283)-1</f>
        <v>278</v>
      </c>
      <c r="B283" s="42">
        <f>-PMT(F283/$F$2,COUNT(A283:$A$365),E282)</f>
        <v>534.39134199166983</v>
      </c>
      <c r="C283" s="42">
        <f t="shared" si="13"/>
        <v>215.77337437271319</v>
      </c>
      <c r="D283" s="42">
        <f t="shared" si="14"/>
        <v>318.61796761895664</v>
      </c>
      <c r="E283" s="42">
        <f t="shared" si="12"/>
        <v>34205.121932015158</v>
      </c>
      <c r="F283" s="8">
        <v>7.4999999999999997E-2</v>
      </c>
      <c r="G283" s="41"/>
    </row>
    <row r="284" spans="1:7" x14ac:dyDescent="0.25">
      <c r="A284" s="8">
        <f>ROWS(A$5:A284)-1</f>
        <v>279</v>
      </c>
      <c r="B284" s="42">
        <f>-PMT(F284/$F$2,COUNT(A284:$A$365),E283)</f>
        <v>534.39134199166972</v>
      </c>
      <c r="C284" s="42">
        <f t="shared" si="13"/>
        <v>213.78201207509471</v>
      </c>
      <c r="D284" s="42">
        <f t="shared" si="14"/>
        <v>320.60932991657501</v>
      </c>
      <c r="E284" s="42">
        <f t="shared" si="12"/>
        <v>33884.512602098584</v>
      </c>
      <c r="F284" s="8">
        <v>7.4999999999999997E-2</v>
      </c>
      <c r="G284" s="41"/>
    </row>
    <row r="285" spans="1:7" x14ac:dyDescent="0.25">
      <c r="A285" s="8">
        <f>ROWS(A$5:A285)-1</f>
        <v>280</v>
      </c>
      <c r="B285" s="42">
        <f>-PMT(F285/$F$2,COUNT(A285:$A$365),E284)</f>
        <v>534.39134199166983</v>
      </c>
      <c r="C285" s="42">
        <f t="shared" si="13"/>
        <v>211.77820376311615</v>
      </c>
      <c r="D285" s="42">
        <f t="shared" si="14"/>
        <v>322.61313822855368</v>
      </c>
      <c r="E285" s="42">
        <f t="shared" si="12"/>
        <v>33561.899463870031</v>
      </c>
      <c r="F285" s="8">
        <v>7.4999999999999997E-2</v>
      </c>
      <c r="G285" s="41"/>
    </row>
    <row r="286" spans="1:7" x14ac:dyDescent="0.25">
      <c r="A286" s="8">
        <f>ROWS(A$5:A286)-1</f>
        <v>281</v>
      </c>
      <c r="B286" s="42">
        <f>-PMT(F286/$F$2,COUNT(A286:$A$365),E285)</f>
        <v>534.39134199166972</v>
      </c>
      <c r="C286" s="42">
        <f t="shared" si="13"/>
        <v>209.7618716491877</v>
      </c>
      <c r="D286" s="42">
        <f t="shared" si="14"/>
        <v>324.62947034248202</v>
      </c>
      <c r="E286" s="42">
        <f t="shared" si="12"/>
        <v>33237.269993527552</v>
      </c>
      <c r="F286" s="8">
        <v>7.4999999999999997E-2</v>
      </c>
      <c r="G286" s="41"/>
    </row>
    <row r="287" spans="1:7" x14ac:dyDescent="0.25">
      <c r="A287" s="8">
        <f>ROWS(A$5:A287)-1</f>
        <v>282</v>
      </c>
      <c r="B287" s="42">
        <f>-PMT(F287/$F$2,COUNT(A287:$A$365),E286)</f>
        <v>534.39134199166983</v>
      </c>
      <c r="C287" s="42">
        <f t="shared" si="13"/>
        <v>207.7329374595472</v>
      </c>
      <c r="D287" s="42">
        <f t="shared" si="14"/>
        <v>326.65840453212263</v>
      </c>
      <c r="E287" s="42">
        <f t="shared" si="12"/>
        <v>32910.611588995431</v>
      </c>
      <c r="F287" s="8">
        <v>7.4999999999999997E-2</v>
      </c>
      <c r="G287" s="41"/>
    </row>
    <row r="288" spans="1:7" x14ac:dyDescent="0.25">
      <c r="A288" s="8">
        <f>ROWS(A$5:A288)-1</f>
        <v>283</v>
      </c>
      <c r="B288" s="42">
        <f>-PMT(F288/$F$2,COUNT(A288:$A$365),E287)</f>
        <v>534.39134199166983</v>
      </c>
      <c r="C288" s="42">
        <f t="shared" si="13"/>
        <v>205.69132243122144</v>
      </c>
      <c r="D288" s="42">
        <f t="shared" si="14"/>
        <v>328.70001956044837</v>
      </c>
      <c r="E288" s="42">
        <f t="shared" si="12"/>
        <v>32581.911569434982</v>
      </c>
      <c r="F288" s="8">
        <v>7.4999999999999997E-2</v>
      </c>
      <c r="G288" s="41"/>
    </row>
    <row r="289" spans="1:7" x14ac:dyDescent="0.25">
      <c r="A289" s="8">
        <f>ROWS(A$5:A289)-1</f>
        <v>284</v>
      </c>
      <c r="B289" s="42">
        <f>-PMT(F289/$F$2,COUNT(A289:$A$365),E288)</f>
        <v>534.39134199166983</v>
      </c>
      <c r="C289" s="42">
        <f t="shared" si="13"/>
        <v>203.63694730896862</v>
      </c>
      <c r="D289" s="42">
        <f t="shared" si="14"/>
        <v>330.75439468270122</v>
      </c>
      <c r="E289" s="42">
        <f t="shared" si="12"/>
        <v>32251.157174752279</v>
      </c>
      <c r="F289" s="8">
        <v>7.4999999999999997E-2</v>
      </c>
      <c r="G289" s="41"/>
    </row>
    <row r="290" spans="1:7" x14ac:dyDescent="0.25">
      <c r="A290" s="8">
        <f>ROWS(A$5:A290)-1</f>
        <v>285</v>
      </c>
      <c r="B290" s="42">
        <f>-PMT(F290/$F$2,COUNT(A290:$A$365),E289)</f>
        <v>534.39134199166972</v>
      </c>
      <c r="C290" s="42">
        <f t="shared" si="13"/>
        <v>201.56973234220175</v>
      </c>
      <c r="D290" s="42">
        <f t="shared" si="14"/>
        <v>332.82160964946797</v>
      </c>
      <c r="E290" s="42">
        <f t="shared" si="12"/>
        <v>31918.335565102811</v>
      </c>
      <c r="F290" s="8">
        <v>7.4999999999999997E-2</v>
      </c>
      <c r="G290" s="41"/>
    </row>
    <row r="291" spans="1:7" x14ac:dyDescent="0.25">
      <c r="A291" s="8">
        <f>ROWS(A$5:A291)-1</f>
        <v>286</v>
      </c>
      <c r="B291" s="42">
        <f>-PMT(F291/$F$2,COUNT(A291:$A$365),E290)</f>
        <v>534.39134199166972</v>
      </c>
      <c r="C291" s="42">
        <f t="shared" si="13"/>
        <v>199.48959728189254</v>
      </c>
      <c r="D291" s="42">
        <f t="shared" si="14"/>
        <v>334.90174470977718</v>
      </c>
      <c r="E291" s="42">
        <f t="shared" si="12"/>
        <v>31583.433820393035</v>
      </c>
      <c r="F291" s="8">
        <v>7.4999999999999997E-2</v>
      </c>
      <c r="G291" s="41"/>
    </row>
    <row r="292" spans="1:7" x14ac:dyDescent="0.25">
      <c r="A292" s="8">
        <f>ROWS(A$5:A292)-1</f>
        <v>287</v>
      </c>
      <c r="B292" s="42">
        <f>-PMT(F292/$F$2,COUNT(A292:$A$365),E291)</f>
        <v>534.39134199166983</v>
      </c>
      <c r="C292" s="42">
        <f t="shared" si="13"/>
        <v>197.39646137745646</v>
      </c>
      <c r="D292" s="42">
        <f t="shared" si="14"/>
        <v>336.99488061421334</v>
      </c>
      <c r="E292" s="42">
        <f t="shared" si="12"/>
        <v>31246.438939778822</v>
      </c>
      <c r="F292" s="8">
        <v>7.4999999999999997E-2</v>
      </c>
      <c r="G292" s="41"/>
    </row>
    <row r="293" spans="1:7" x14ac:dyDescent="0.25">
      <c r="A293" s="8">
        <f>ROWS(A$5:A293)-1</f>
        <v>288</v>
      </c>
      <c r="B293" s="42">
        <f>-PMT(F293/$F$2,COUNT(A293:$A$365),E292)</f>
        <v>534.39134199166983</v>
      </c>
      <c r="C293" s="42">
        <f t="shared" si="13"/>
        <v>195.29024337361761</v>
      </c>
      <c r="D293" s="42">
        <f t="shared" si="14"/>
        <v>339.10109861805222</v>
      </c>
      <c r="E293" s="42">
        <f t="shared" si="12"/>
        <v>30907.33784116077</v>
      </c>
      <c r="F293" s="8">
        <v>7.4999999999999997E-2</v>
      </c>
      <c r="G293" s="41"/>
    </row>
    <row r="294" spans="1:7" x14ac:dyDescent="0.25">
      <c r="A294" s="8">
        <f>ROWS(A$5:A294)-1</f>
        <v>289</v>
      </c>
      <c r="B294" s="42">
        <f>-PMT(F294/$F$2,COUNT(A294:$A$365),E293)</f>
        <v>534.39134199166983</v>
      </c>
      <c r="C294" s="42">
        <f t="shared" si="13"/>
        <v>193.17086150725481</v>
      </c>
      <c r="D294" s="42">
        <f t="shared" si="14"/>
        <v>341.22048048441502</v>
      </c>
      <c r="E294" s="42">
        <f t="shared" si="12"/>
        <v>30566.117360676355</v>
      </c>
      <c r="F294" s="8">
        <v>7.4999999999999997E-2</v>
      </c>
      <c r="G294" s="41"/>
    </row>
    <row r="295" spans="1:7" x14ac:dyDescent="0.25">
      <c r="A295" s="8">
        <f>ROWS(A$5:A295)-1</f>
        <v>290</v>
      </c>
      <c r="B295" s="42">
        <f>-PMT(F295/$F$2,COUNT(A295:$A$365),E294)</f>
        <v>534.39134199166983</v>
      </c>
      <c r="C295" s="42">
        <f t="shared" si="13"/>
        <v>191.03823350422724</v>
      </c>
      <c r="D295" s="42">
        <f t="shared" si="14"/>
        <v>343.35310848744257</v>
      </c>
      <c r="E295" s="42">
        <f t="shared" si="12"/>
        <v>30222.764252188914</v>
      </c>
      <c r="F295" s="8">
        <v>7.4999999999999997E-2</v>
      </c>
      <c r="G295" s="41"/>
    </row>
    <row r="296" spans="1:7" x14ac:dyDescent="0.25">
      <c r="A296" s="8">
        <f>ROWS(A$5:A296)-1</f>
        <v>291</v>
      </c>
      <c r="B296" s="42">
        <f>-PMT(F296/$F$2,COUNT(A296:$A$365),E295)</f>
        <v>534.39134199166983</v>
      </c>
      <c r="C296" s="42">
        <f t="shared" si="13"/>
        <v>188.89227657618071</v>
      </c>
      <c r="D296" s="42">
        <f t="shared" si="14"/>
        <v>345.4990654154891</v>
      </c>
      <c r="E296" s="42">
        <f t="shared" si="12"/>
        <v>29877.265186773424</v>
      </c>
      <c r="F296" s="8">
        <v>7.4999999999999997E-2</v>
      </c>
      <c r="G296" s="41"/>
    </row>
    <row r="297" spans="1:7" x14ac:dyDescent="0.25">
      <c r="A297" s="8">
        <f>ROWS(A$5:A297)-1</f>
        <v>292</v>
      </c>
      <c r="B297" s="42">
        <f>-PMT(F297/$F$2,COUNT(A297:$A$365),E296)</f>
        <v>534.39134199166983</v>
      </c>
      <c r="C297" s="42">
        <f t="shared" si="13"/>
        <v>186.73290741733388</v>
      </c>
      <c r="D297" s="42">
        <f t="shared" si="14"/>
        <v>347.65843457433596</v>
      </c>
      <c r="E297" s="42">
        <f t="shared" si="12"/>
        <v>29529.606752199088</v>
      </c>
      <c r="F297" s="8">
        <v>7.4999999999999997E-2</v>
      </c>
      <c r="G297" s="41"/>
    </row>
    <row r="298" spans="1:7" x14ac:dyDescent="0.25">
      <c r="A298" s="8">
        <f>ROWS(A$5:A298)-1</f>
        <v>293</v>
      </c>
      <c r="B298" s="42">
        <f>-PMT(F298/$F$2,COUNT(A298:$A$365),E297)</f>
        <v>534.39134199166983</v>
      </c>
      <c r="C298" s="42">
        <f t="shared" si="13"/>
        <v>184.5600422012443</v>
      </c>
      <c r="D298" s="42">
        <f t="shared" si="14"/>
        <v>349.83129979042553</v>
      </c>
      <c r="E298" s="42">
        <f t="shared" si="12"/>
        <v>29179.775452408663</v>
      </c>
      <c r="F298" s="8">
        <v>7.4999999999999997E-2</v>
      </c>
      <c r="G298" s="41"/>
    </row>
    <row r="299" spans="1:7" x14ac:dyDescent="0.25">
      <c r="A299" s="8">
        <f>ROWS(A$5:A299)-1</f>
        <v>294</v>
      </c>
      <c r="B299" s="42">
        <f>-PMT(F299/$F$2,COUNT(A299:$A$365),E298)</f>
        <v>534.39134199166983</v>
      </c>
      <c r="C299" s="42">
        <f t="shared" si="13"/>
        <v>182.37359657755414</v>
      </c>
      <c r="D299" s="42">
        <f t="shared" si="14"/>
        <v>352.01774541411567</v>
      </c>
      <c r="E299" s="42">
        <f t="shared" si="12"/>
        <v>28827.757706994547</v>
      </c>
      <c r="F299" s="8">
        <v>7.4999999999999997E-2</v>
      </c>
      <c r="G299" s="41"/>
    </row>
    <row r="300" spans="1:7" x14ac:dyDescent="0.25">
      <c r="A300" s="8">
        <f>ROWS(A$5:A300)-1</f>
        <v>295</v>
      </c>
      <c r="B300" s="42">
        <f>-PMT(F300/$F$2,COUNT(A300:$A$365),E299)</f>
        <v>534.39134199166972</v>
      </c>
      <c r="C300" s="42">
        <f t="shared" si="13"/>
        <v>180.1734856687159</v>
      </c>
      <c r="D300" s="42">
        <f t="shared" si="14"/>
        <v>354.21785632295382</v>
      </c>
      <c r="E300" s="42">
        <f t="shared" si="12"/>
        <v>28473.539850671594</v>
      </c>
      <c r="F300" s="8">
        <v>7.4999999999999997E-2</v>
      </c>
      <c r="G300" s="41"/>
    </row>
    <row r="301" spans="1:7" x14ac:dyDescent="0.25">
      <c r="A301" s="8">
        <f>ROWS(A$5:A301)-1</f>
        <v>296</v>
      </c>
      <c r="B301" s="42">
        <f>-PMT(F301/$F$2,COUNT(A301:$A$365),E300)</f>
        <v>534.39134199166983</v>
      </c>
      <c r="C301" s="42">
        <f t="shared" si="13"/>
        <v>177.95962406669744</v>
      </c>
      <c r="D301" s="42">
        <f t="shared" si="14"/>
        <v>356.43171792497242</v>
      </c>
      <c r="E301" s="42">
        <f t="shared" si="12"/>
        <v>28117.10813274662</v>
      </c>
      <c r="F301" s="8">
        <v>7.4999999999999997E-2</v>
      </c>
      <c r="G301" s="41"/>
    </row>
    <row r="302" spans="1:7" x14ac:dyDescent="0.25">
      <c r="A302" s="8">
        <f>ROWS(A$5:A302)-1</f>
        <v>297</v>
      </c>
      <c r="B302" s="42">
        <f>-PMT(F302/$F$2,COUNT(A302:$A$365),E301)</f>
        <v>534.39134199166983</v>
      </c>
      <c r="C302" s="42">
        <f t="shared" si="13"/>
        <v>175.73192582966635</v>
      </c>
      <c r="D302" s="42">
        <f t="shared" si="14"/>
        <v>358.65941616200348</v>
      </c>
      <c r="E302" s="42">
        <f t="shared" si="12"/>
        <v>27758.448716584615</v>
      </c>
      <c r="F302" s="8">
        <v>7.4999999999999997E-2</v>
      </c>
      <c r="G302" s="41"/>
    </row>
    <row r="303" spans="1:7" x14ac:dyDescent="0.25">
      <c r="A303" s="8">
        <f>ROWS(A$5:A303)-1</f>
        <v>298</v>
      </c>
      <c r="B303" s="42">
        <f>-PMT(F303/$F$2,COUNT(A303:$A$365),E302)</f>
        <v>534.39134199166983</v>
      </c>
      <c r="C303" s="42">
        <f t="shared" si="13"/>
        <v>173.49030447865383</v>
      </c>
      <c r="D303" s="42">
        <f t="shared" si="14"/>
        <v>360.90103751301604</v>
      </c>
      <c r="E303" s="42">
        <f t="shared" si="12"/>
        <v>27397.547679071598</v>
      </c>
      <c r="F303" s="8">
        <v>7.4999999999999997E-2</v>
      </c>
      <c r="G303" s="41"/>
    </row>
    <row r="304" spans="1:7" x14ac:dyDescent="0.25">
      <c r="A304" s="8">
        <f>ROWS(A$5:A304)-1</f>
        <v>299</v>
      </c>
      <c r="B304" s="42">
        <f>-PMT(F304/$F$2,COUNT(A304:$A$365),E303)</f>
        <v>534.39134199166983</v>
      </c>
      <c r="C304" s="42">
        <f t="shared" si="13"/>
        <v>171.23467299419747</v>
      </c>
      <c r="D304" s="42">
        <f t="shared" si="14"/>
        <v>363.15666899747237</v>
      </c>
      <c r="E304" s="42">
        <f t="shared" si="12"/>
        <v>27034.391010074127</v>
      </c>
      <c r="F304" s="8">
        <v>7.4999999999999997E-2</v>
      </c>
      <c r="G304" s="41"/>
    </row>
    <row r="305" spans="1:7" x14ac:dyDescent="0.25">
      <c r="A305" s="8">
        <f>ROWS(A$5:A305)-1</f>
        <v>300</v>
      </c>
      <c r="B305" s="42">
        <f>-PMT(F305/$F$2,COUNT(A305:$A$365),E304)</f>
        <v>534.39134199166983</v>
      </c>
      <c r="C305" s="42">
        <f t="shared" si="13"/>
        <v>168.9649438129633</v>
      </c>
      <c r="D305" s="42">
        <f t="shared" si="14"/>
        <v>365.42639817870656</v>
      </c>
      <c r="E305" s="42">
        <f t="shared" si="12"/>
        <v>26668.964611895419</v>
      </c>
      <c r="F305" s="8">
        <v>7.4999999999999997E-2</v>
      </c>
      <c r="G305" s="41"/>
    </row>
    <row r="306" spans="1:7" x14ac:dyDescent="0.25">
      <c r="A306" s="8">
        <f>ROWS(A$5:A306)-1</f>
        <v>301</v>
      </c>
      <c r="B306" s="42">
        <f>-PMT(F306/$F$2,COUNT(A306:$A$365),E305)</f>
        <v>534.39134199166961</v>
      </c>
      <c r="C306" s="42">
        <f t="shared" si="13"/>
        <v>166.68102882434636</v>
      </c>
      <c r="D306" s="42">
        <f t="shared" si="14"/>
        <v>367.71031316732325</v>
      </c>
      <c r="E306" s="42">
        <f t="shared" si="12"/>
        <v>26301.254298728094</v>
      </c>
      <c r="F306" s="8">
        <v>7.4999999999999997E-2</v>
      </c>
      <c r="G306" s="41"/>
    </row>
    <row r="307" spans="1:7" x14ac:dyDescent="0.25">
      <c r="A307" s="8">
        <f>ROWS(A$5:A307)-1</f>
        <v>302</v>
      </c>
      <c r="B307" s="42">
        <f>-PMT(F307/$F$2,COUNT(A307:$A$365),E306)</f>
        <v>534.39134199166972</v>
      </c>
      <c r="C307" s="42">
        <f t="shared" si="13"/>
        <v>164.38283936705059</v>
      </c>
      <c r="D307" s="42">
        <f t="shared" si="14"/>
        <v>370.00850262461915</v>
      </c>
      <c r="E307" s="42">
        <f t="shared" si="12"/>
        <v>25931.245796103474</v>
      </c>
      <c r="F307" s="8">
        <v>7.4999999999999997E-2</v>
      </c>
      <c r="G307" s="41"/>
    </row>
    <row r="308" spans="1:7" x14ac:dyDescent="0.25">
      <c r="A308" s="8">
        <f>ROWS(A$5:A308)-1</f>
        <v>303</v>
      </c>
      <c r="B308" s="42">
        <f>-PMT(F308/$F$2,COUNT(A308:$A$365),E307)</f>
        <v>534.39134199166972</v>
      </c>
      <c r="C308" s="42">
        <f t="shared" si="13"/>
        <v>162.0702862256467</v>
      </c>
      <c r="D308" s="42">
        <f t="shared" si="14"/>
        <v>372.32105576602305</v>
      </c>
      <c r="E308" s="42">
        <f t="shared" si="12"/>
        <v>25558.92474033745</v>
      </c>
      <c r="F308" s="8">
        <v>7.4999999999999997E-2</v>
      </c>
      <c r="G308" s="41"/>
    </row>
    <row r="309" spans="1:7" x14ac:dyDescent="0.25">
      <c r="A309" s="8">
        <f>ROWS(A$5:A309)-1</f>
        <v>304</v>
      </c>
      <c r="B309" s="42">
        <f>-PMT(F309/$F$2,COUNT(A309:$A$365),E308)</f>
        <v>534.39134199166972</v>
      </c>
      <c r="C309" s="42">
        <f t="shared" si="13"/>
        <v>159.74327962710905</v>
      </c>
      <c r="D309" s="42">
        <f t="shared" si="14"/>
        <v>374.6480623645607</v>
      </c>
      <c r="E309" s="42">
        <f t="shared" si="12"/>
        <v>25184.276677972888</v>
      </c>
      <c r="F309" s="8">
        <v>7.4999999999999997E-2</v>
      </c>
      <c r="G309" s="41"/>
    </row>
    <row r="310" spans="1:7" x14ac:dyDescent="0.25">
      <c r="A310" s="8">
        <f>ROWS(A$5:A310)-1</f>
        <v>305</v>
      </c>
      <c r="B310" s="42">
        <f>-PMT(F310/$F$2,COUNT(A310:$A$365),E309)</f>
        <v>534.39134199166972</v>
      </c>
      <c r="C310" s="42">
        <f t="shared" si="13"/>
        <v>157.40172923733056</v>
      </c>
      <c r="D310" s="42">
        <f t="shared" si="14"/>
        <v>376.98961275433919</v>
      </c>
      <c r="E310" s="42">
        <f t="shared" si="12"/>
        <v>24807.287065218548</v>
      </c>
      <c r="F310" s="8">
        <v>7.4999999999999997E-2</v>
      </c>
      <c r="G310" s="41"/>
    </row>
    <row r="311" spans="1:7" x14ac:dyDescent="0.25">
      <c r="A311" s="8">
        <f>ROWS(A$5:A311)-1</f>
        <v>306</v>
      </c>
      <c r="B311" s="42">
        <f>-PMT(F311/$F$2,COUNT(A311:$A$365),E310)</f>
        <v>534.39134199166961</v>
      </c>
      <c r="C311" s="42">
        <f t="shared" si="13"/>
        <v>155.04554415761592</v>
      </c>
      <c r="D311" s="42">
        <f t="shared" si="14"/>
        <v>379.34579783405366</v>
      </c>
      <c r="E311" s="42">
        <f t="shared" si="12"/>
        <v>24427.941267384496</v>
      </c>
      <c r="F311" s="8">
        <v>7.4999999999999997E-2</v>
      </c>
      <c r="G311" s="41"/>
    </row>
    <row r="312" spans="1:7" x14ac:dyDescent="0.25">
      <c r="A312" s="8">
        <f>ROWS(A$5:A312)-1</f>
        <v>307</v>
      </c>
      <c r="B312" s="42">
        <f>-PMT(F312/$F$2,COUNT(A312:$A$365),E311)</f>
        <v>534.39134199166961</v>
      </c>
      <c r="C312" s="42">
        <f t="shared" si="13"/>
        <v>152.67463292115309</v>
      </c>
      <c r="D312" s="42">
        <f t="shared" si="14"/>
        <v>381.71670907051652</v>
      </c>
      <c r="E312" s="42">
        <f t="shared" si="12"/>
        <v>24046.224558313981</v>
      </c>
      <c r="F312" s="8">
        <v>7.4999999999999997E-2</v>
      </c>
      <c r="G312" s="41"/>
    </row>
    <row r="313" spans="1:7" x14ac:dyDescent="0.25">
      <c r="A313" s="8">
        <f>ROWS(A$5:A313)-1</f>
        <v>308</v>
      </c>
      <c r="B313" s="42">
        <f>-PMT(F313/$F$2,COUNT(A313:$A$365),E312)</f>
        <v>534.39134199166961</v>
      </c>
      <c r="C313" s="42">
        <f t="shared" si="13"/>
        <v>150.28890348946237</v>
      </c>
      <c r="D313" s="42">
        <f t="shared" si="14"/>
        <v>384.10243850220724</v>
      </c>
      <c r="E313" s="42">
        <f t="shared" si="12"/>
        <v>23662.122119811775</v>
      </c>
      <c r="F313" s="8">
        <v>7.4999999999999997E-2</v>
      </c>
      <c r="G313" s="41"/>
    </row>
    <row r="314" spans="1:7" x14ac:dyDescent="0.25">
      <c r="A314" s="8">
        <f>ROWS(A$5:A314)-1</f>
        <v>309</v>
      </c>
      <c r="B314" s="42">
        <f>-PMT(F314/$F$2,COUNT(A314:$A$365),E313)</f>
        <v>534.39134199166972</v>
      </c>
      <c r="C314" s="42">
        <f t="shared" si="13"/>
        <v>147.88826324882359</v>
      </c>
      <c r="D314" s="42">
        <f t="shared" si="14"/>
        <v>386.50307874284613</v>
      </c>
      <c r="E314" s="42">
        <f t="shared" si="12"/>
        <v>23275.619041068927</v>
      </c>
      <c r="F314" s="8">
        <v>7.4999999999999997E-2</v>
      </c>
      <c r="G314" s="41"/>
    </row>
    <row r="315" spans="1:7" x14ac:dyDescent="0.25">
      <c r="A315" s="8">
        <f>ROWS(A$5:A315)-1</f>
        <v>310</v>
      </c>
      <c r="B315" s="42">
        <f>-PMT(F315/$F$2,COUNT(A315:$A$365),E314)</f>
        <v>534.39134199166972</v>
      </c>
      <c r="C315" s="42">
        <f t="shared" si="13"/>
        <v>145.47261900668079</v>
      </c>
      <c r="D315" s="42">
        <f t="shared" si="14"/>
        <v>388.9187229849889</v>
      </c>
      <c r="E315" s="42">
        <f t="shared" si="12"/>
        <v>22886.700318083938</v>
      </c>
      <c r="F315" s="8">
        <v>7.4999999999999997E-2</v>
      </c>
      <c r="G315" s="41"/>
    </row>
    <row r="316" spans="1:7" x14ac:dyDescent="0.25">
      <c r="A316" s="8">
        <f>ROWS(A$5:A316)-1</f>
        <v>311</v>
      </c>
      <c r="B316" s="42">
        <f>-PMT(F316/$F$2,COUNT(A316:$A$365),E315)</f>
        <v>534.39134199166983</v>
      </c>
      <c r="C316" s="42">
        <f t="shared" si="13"/>
        <v>143.0418769880246</v>
      </c>
      <c r="D316" s="42">
        <f t="shared" si="14"/>
        <v>391.34946500364526</v>
      </c>
      <c r="E316" s="42">
        <f t="shared" si="12"/>
        <v>22495.350853080294</v>
      </c>
      <c r="F316" s="8">
        <v>7.4999999999999997E-2</v>
      </c>
      <c r="G316" s="41"/>
    </row>
    <row r="317" spans="1:7" x14ac:dyDescent="0.25">
      <c r="A317" s="8">
        <f>ROWS(A$5:A317)-1</f>
        <v>312</v>
      </c>
      <c r="B317" s="42">
        <f>-PMT(F317/$F$2,COUNT(A317:$A$365),E316)</f>
        <v>534.39134199166961</v>
      </c>
      <c r="C317" s="42">
        <f t="shared" si="13"/>
        <v>140.59594283175184</v>
      </c>
      <c r="D317" s="42">
        <f t="shared" si="14"/>
        <v>393.79539915991779</v>
      </c>
      <c r="E317" s="42">
        <f t="shared" si="12"/>
        <v>22101.555453920377</v>
      </c>
      <c r="F317" s="8">
        <v>7.4999999999999997E-2</v>
      </c>
      <c r="G317" s="41"/>
    </row>
    <row r="318" spans="1:7" x14ac:dyDescent="0.25">
      <c r="A318" s="8">
        <f>ROWS(A$5:A318)-1</f>
        <v>313</v>
      </c>
      <c r="B318" s="42">
        <f>-PMT(F318/$F$2,COUNT(A318:$A$365),E317)</f>
        <v>534.39134199166972</v>
      </c>
      <c r="C318" s="42">
        <f t="shared" si="13"/>
        <v>138.13472158700236</v>
      </c>
      <c r="D318" s="42">
        <f t="shared" si="14"/>
        <v>396.25662040466739</v>
      </c>
      <c r="E318" s="42">
        <f t="shared" si="12"/>
        <v>21705.29883351571</v>
      </c>
      <c r="F318" s="8">
        <v>7.4999999999999997E-2</v>
      </c>
      <c r="G318" s="41"/>
    </row>
    <row r="319" spans="1:7" x14ac:dyDescent="0.25">
      <c r="A319" s="8">
        <f>ROWS(A$5:A319)-1</f>
        <v>314</v>
      </c>
      <c r="B319" s="42">
        <f>-PMT(F319/$F$2,COUNT(A319:$A$365),E318)</f>
        <v>534.39134199166972</v>
      </c>
      <c r="C319" s="42">
        <f t="shared" si="13"/>
        <v>135.65811770947317</v>
      </c>
      <c r="D319" s="42">
        <f t="shared" si="14"/>
        <v>398.73322428219655</v>
      </c>
      <c r="E319" s="42">
        <f t="shared" si="12"/>
        <v>21306.565609233512</v>
      </c>
      <c r="F319" s="8">
        <v>7.4999999999999997E-2</v>
      </c>
      <c r="G319" s="41"/>
    </row>
    <row r="320" spans="1:7" x14ac:dyDescent="0.25">
      <c r="A320" s="8">
        <f>ROWS(A$5:A320)-1</f>
        <v>315</v>
      </c>
      <c r="B320" s="42">
        <f>-PMT(F320/$F$2,COUNT(A320:$A$365),E319)</f>
        <v>534.39134199166972</v>
      </c>
      <c r="C320" s="42">
        <f t="shared" si="13"/>
        <v>133.16603505770945</v>
      </c>
      <c r="D320" s="42">
        <f t="shared" si="14"/>
        <v>401.22530693396027</v>
      </c>
      <c r="E320" s="42">
        <f t="shared" si="12"/>
        <v>20905.340302299552</v>
      </c>
      <c r="F320" s="8">
        <v>7.4999999999999997E-2</v>
      </c>
      <c r="G320" s="41"/>
    </row>
    <row r="321" spans="1:7" x14ac:dyDescent="0.25">
      <c r="A321" s="8">
        <f>ROWS(A$5:A321)-1</f>
        <v>316</v>
      </c>
      <c r="B321" s="42">
        <f>-PMT(F321/$F$2,COUNT(A321:$A$365),E320)</f>
        <v>534.39134199166983</v>
      </c>
      <c r="C321" s="42">
        <f t="shared" si="13"/>
        <v>130.65837688937219</v>
      </c>
      <c r="D321" s="42">
        <f t="shared" si="14"/>
        <v>403.73296510229761</v>
      </c>
      <c r="E321" s="42">
        <f t="shared" si="12"/>
        <v>20501.607337197252</v>
      </c>
      <c r="F321" s="8">
        <v>7.4999999999999997E-2</v>
      </c>
      <c r="G321" s="41"/>
    </row>
    <row r="322" spans="1:7" x14ac:dyDescent="0.25">
      <c r="A322" s="8">
        <f>ROWS(A$5:A322)-1</f>
        <v>317</v>
      </c>
      <c r="B322" s="42">
        <f>-PMT(F322/$F$2,COUNT(A322:$A$365),E321)</f>
        <v>534.39134199166961</v>
      </c>
      <c r="C322" s="42">
        <f t="shared" si="13"/>
        <v>128.13504585748282</v>
      </c>
      <c r="D322" s="42">
        <f t="shared" si="14"/>
        <v>406.25629613418675</v>
      </c>
      <c r="E322" s="42">
        <f t="shared" si="12"/>
        <v>20095.351041063066</v>
      </c>
      <c r="F322" s="8">
        <v>7.4999999999999997E-2</v>
      </c>
      <c r="G322" s="41"/>
    </row>
    <row r="323" spans="1:7" x14ac:dyDescent="0.25">
      <c r="A323" s="8">
        <f>ROWS(A$5:A323)-1</f>
        <v>318</v>
      </c>
      <c r="B323" s="42">
        <f>-PMT(F323/$F$2,COUNT(A323:$A$365),E322)</f>
        <v>534.39134199166949</v>
      </c>
      <c r="C323" s="42">
        <f t="shared" si="13"/>
        <v>125.59594400664416</v>
      </c>
      <c r="D323" s="42">
        <f t="shared" si="14"/>
        <v>408.79539798502532</v>
      </c>
      <c r="E323" s="42">
        <f t="shared" si="12"/>
        <v>19686.555643078042</v>
      </c>
      <c r="F323" s="8">
        <v>7.4999999999999997E-2</v>
      </c>
      <c r="G323" s="41"/>
    </row>
    <row r="324" spans="1:7" x14ac:dyDescent="0.25">
      <c r="A324" s="8">
        <f>ROWS(A$5:A324)-1</f>
        <v>319</v>
      </c>
      <c r="B324" s="42">
        <f>-PMT(F324/$F$2,COUNT(A324:$A$365),E323)</f>
        <v>534.39134199166961</v>
      </c>
      <c r="C324" s="42">
        <f t="shared" si="13"/>
        <v>123.04097276923777</v>
      </c>
      <c r="D324" s="42">
        <f t="shared" si="14"/>
        <v>411.35036922243182</v>
      </c>
      <c r="E324" s="42">
        <f t="shared" si="12"/>
        <v>19275.205273855609</v>
      </c>
      <c r="F324" s="8">
        <v>7.4999999999999997E-2</v>
      </c>
      <c r="G324" s="41"/>
    </row>
    <row r="325" spans="1:7" x14ac:dyDescent="0.25">
      <c r="A325" s="8">
        <f>ROWS(A$5:A325)-1</f>
        <v>320</v>
      </c>
      <c r="B325" s="42">
        <f>-PMT(F325/$F$2,COUNT(A325:$A$365),E324)</f>
        <v>534.39134199166972</v>
      </c>
      <c r="C325" s="42">
        <f t="shared" si="13"/>
        <v>120.47003296159755</v>
      </c>
      <c r="D325" s="42">
        <f t="shared" si="14"/>
        <v>413.92130903007217</v>
      </c>
      <c r="E325" s="42">
        <f t="shared" si="12"/>
        <v>18861.283964825536</v>
      </c>
      <c r="F325" s="8">
        <v>7.4999999999999997E-2</v>
      </c>
      <c r="G325" s="41"/>
    </row>
    <row r="326" spans="1:7" x14ac:dyDescent="0.25">
      <c r="A326" s="8">
        <f>ROWS(A$5:A326)-1</f>
        <v>321</v>
      </c>
      <c r="B326" s="42">
        <f>-PMT(F326/$F$2,COUNT(A326:$A$365),E325)</f>
        <v>534.39134199166961</v>
      </c>
      <c r="C326" s="42">
        <f t="shared" si="13"/>
        <v>117.88302478015959</v>
      </c>
      <c r="D326" s="42">
        <f t="shared" si="14"/>
        <v>416.50831721151002</v>
      </c>
      <c r="E326" s="42">
        <f t="shared" ref="E326:E365" si="15">E325-D326-G326</f>
        <v>18444.775647614028</v>
      </c>
      <c r="F326" s="8">
        <v>7.4999999999999997E-2</v>
      </c>
      <c r="G326" s="41"/>
    </row>
    <row r="327" spans="1:7" x14ac:dyDescent="0.25">
      <c r="A327" s="8">
        <f>ROWS(A$5:A327)-1</f>
        <v>322</v>
      </c>
      <c r="B327" s="42">
        <f>-PMT(F327/$F$2,COUNT(A327:$A$365),E326)</f>
        <v>534.39134199166961</v>
      </c>
      <c r="C327" s="42">
        <f t="shared" ref="C327:C365" si="16">E326*F327/$F$2</f>
        <v>115.27984779758766</v>
      </c>
      <c r="D327" s="42">
        <f t="shared" ref="D327:D365" si="17">B327-C327</f>
        <v>419.11149419408196</v>
      </c>
      <c r="E327" s="42">
        <f t="shared" si="15"/>
        <v>18025.664153419944</v>
      </c>
      <c r="F327" s="8">
        <v>7.4999999999999997E-2</v>
      </c>
      <c r="G327" s="41"/>
    </row>
    <row r="328" spans="1:7" x14ac:dyDescent="0.25">
      <c r="A328" s="8">
        <f>ROWS(A$5:A328)-1</f>
        <v>323</v>
      </c>
      <c r="B328" s="42">
        <f>-PMT(F328/$F$2,COUNT(A328:$A$365),E327)</f>
        <v>534.39134199166961</v>
      </c>
      <c r="C328" s="42">
        <f t="shared" si="16"/>
        <v>112.66040095887466</v>
      </c>
      <c r="D328" s="42">
        <f t="shared" si="17"/>
        <v>421.73094103279493</v>
      </c>
      <c r="E328" s="42">
        <f t="shared" si="15"/>
        <v>17603.93321238715</v>
      </c>
      <c r="F328" s="8">
        <v>7.4999999999999997E-2</v>
      </c>
      <c r="G328" s="41"/>
    </row>
    <row r="329" spans="1:7" x14ac:dyDescent="0.25">
      <c r="A329" s="8">
        <f>ROWS(A$5:A329)-1</f>
        <v>324</v>
      </c>
      <c r="B329" s="42">
        <f>-PMT(F329/$F$2,COUNT(A329:$A$365),E328)</f>
        <v>534.39134199166972</v>
      </c>
      <c r="C329" s="42">
        <f t="shared" si="16"/>
        <v>110.02458257741968</v>
      </c>
      <c r="D329" s="42">
        <f t="shared" si="17"/>
        <v>424.36675941425005</v>
      </c>
      <c r="E329" s="42">
        <f t="shared" si="15"/>
        <v>17179.5664529729</v>
      </c>
      <c r="F329" s="8">
        <v>7.4999999999999997E-2</v>
      </c>
      <c r="G329" s="41"/>
    </row>
    <row r="330" spans="1:7" x14ac:dyDescent="0.25">
      <c r="A330" s="8">
        <f>ROWS(A$5:A330)-1</f>
        <v>325</v>
      </c>
      <c r="B330" s="42">
        <f>-PMT(F330/$F$2,COUNT(A330:$A$365),E329)</f>
        <v>534.39134199166972</v>
      </c>
      <c r="C330" s="42">
        <f t="shared" si="16"/>
        <v>107.37229033108063</v>
      </c>
      <c r="D330" s="42">
        <f t="shared" si="17"/>
        <v>427.01905166058907</v>
      </c>
      <c r="E330" s="42">
        <f t="shared" si="15"/>
        <v>16752.547401312309</v>
      </c>
      <c r="F330" s="8">
        <v>7.4999999999999997E-2</v>
      </c>
      <c r="G330" s="41"/>
    </row>
    <row r="331" spans="1:7" x14ac:dyDescent="0.25">
      <c r="A331" s="8">
        <f>ROWS(A$5:A331)-1</f>
        <v>326</v>
      </c>
      <c r="B331" s="42">
        <f>-PMT(F331/$F$2,COUNT(A331:$A$365),E330)</f>
        <v>534.39134199166949</v>
      </c>
      <c r="C331" s="42">
        <f t="shared" si="16"/>
        <v>104.70342125820194</v>
      </c>
      <c r="D331" s="42">
        <f t="shared" si="17"/>
        <v>429.68792073346754</v>
      </c>
      <c r="E331" s="42">
        <f t="shared" si="15"/>
        <v>16322.859480578842</v>
      </c>
      <c r="F331" s="8">
        <v>7.4999999999999997E-2</v>
      </c>
      <c r="G331" s="41"/>
    </row>
    <row r="332" spans="1:7" x14ac:dyDescent="0.25">
      <c r="A332" s="8">
        <f>ROWS(A$5:A332)-1</f>
        <v>327</v>
      </c>
      <c r="B332" s="42">
        <f>-PMT(F332/$F$2,COUNT(A332:$A$365),E331)</f>
        <v>534.39134199166961</v>
      </c>
      <c r="C332" s="42">
        <f t="shared" si="16"/>
        <v>102.01787175361777</v>
      </c>
      <c r="D332" s="42">
        <f t="shared" si="17"/>
        <v>432.37347023805182</v>
      </c>
      <c r="E332" s="42">
        <f t="shared" si="15"/>
        <v>15890.48601034079</v>
      </c>
      <c r="F332" s="8">
        <v>7.4999999999999997E-2</v>
      </c>
      <c r="G332" s="41"/>
    </row>
    <row r="333" spans="1:7" x14ac:dyDescent="0.25">
      <c r="A333" s="8">
        <f>ROWS(A$5:A333)-1</f>
        <v>328</v>
      </c>
      <c r="B333" s="42">
        <f>-PMT(F333/$F$2,COUNT(A333:$A$365),E332)</f>
        <v>534.39134199166949</v>
      </c>
      <c r="C333" s="42">
        <f t="shared" si="16"/>
        <v>99.315537564629935</v>
      </c>
      <c r="D333" s="42">
        <f t="shared" si="17"/>
        <v>435.07580442703954</v>
      </c>
      <c r="E333" s="42">
        <f t="shared" si="15"/>
        <v>15455.410205913751</v>
      </c>
      <c r="F333" s="8">
        <v>7.4999999999999997E-2</v>
      </c>
      <c r="G333" s="41"/>
    </row>
    <row r="334" spans="1:7" x14ac:dyDescent="0.25">
      <c r="A334" s="8">
        <f>ROWS(A$5:A334)-1</f>
        <v>329</v>
      </c>
      <c r="B334" s="42">
        <f>-PMT(F334/$F$2,COUNT(A334:$A$365),E333)</f>
        <v>534.39134199166961</v>
      </c>
      <c r="C334" s="42">
        <f t="shared" si="16"/>
        <v>96.596313786960934</v>
      </c>
      <c r="D334" s="42">
        <f t="shared" si="17"/>
        <v>437.79502820470867</v>
      </c>
      <c r="E334" s="42">
        <f t="shared" si="15"/>
        <v>15017.615177709042</v>
      </c>
      <c r="F334" s="8">
        <v>7.4999999999999997E-2</v>
      </c>
      <c r="G334" s="41"/>
    </row>
    <row r="335" spans="1:7" x14ac:dyDescent="0.25">
      <c r="A335" s="8">
        <f>ROWS(A$5:A335)-1</f>
        <v>330</v>
      </c>
      <c r="B335" s="42">
        <f>-PMT(F335/$F$2,COUNT(A335:$A$365),E334)</f>
        <v>534.39134199166949</v>
      </c>
      <c r="C335" s="42">
        <f t="shared" si="16"/>
        <v>93.8600948606815</v>
      </c>
      <c r="D335" s="42">
        <f t="shared" si="17"/>
        <v>440.53124713098799</v>
      </c>
      <c r="E335" s="42">
        <f t="shared" si="15"/>
        <v>14577.083930578054</v>
      </c>
      <c r="F335" s="8">
        <v>7.4999999999999997E-2</v>
      </c>
      <c r="G335" s="41"/>
    </row>
    <row r="336" spans="1:7" x14ac:dyDescent="0.25">
      <c r="A336" s="8">
        <f>ROWS(A$5:A336)-1</f>
        <v>331</v>
      </c>
      <c r="B336" s="42">
        <f>-PMT(F336/$F$2,COUNT(A336:$A$365),E335)</f>
        <v>534.39134199166961</v>
      </c>
      <c r="C336" s="42">
        <f t="shared" si="16"/>
        <v>91.106774566112833</v>
      </c>
      <c r="D336" s="42">
        <f t="shared" si="17"/>
        <v>443.28456742555676</v>
      </c>
      <c r="E336" s="42">
        <f t="shared" si="15"/>
        <v>14133.799363152497</v>
      </c>
      <c r="F336" s="8">
        <v>7.4999999999999997E-2</v>
      </c>
      <c r="G336" s="41"/>
    </row>
    <row r="337" spans="1:7" x14ac:dyDescent="0.25">
      <c r="A337" s="8">
        <f>ROWS(A$5:A337)-1</f>
        <v>332</v>
      </c>
      <c r="B337" s="42">
        <f>-PMT(F337/$F$2,COUNT(A337:$A$365),E336)</f>
        <v>534.39134199166949</v>
      </c>
      <c r="C337" s="42">
        <f t="shared" si="16"/>
        <v>88.336246019703097</v>
      </c>
      <c r="D337" s="42">
        <f t="shared" si="17"/>
        <v>446.05509597196641</v>
      </c>
      <c r="E337" s="42">
        <f t="shared" si="15"/>
        <v>13687.744267180531</v>
      </c>
      <c r="F337" s="8">
        <v>7.4999999999999997E-2</v>
      </c>
      <c r="G337" s="41"/>
    </row>
    <row r="338" spans="1:7" x14ac:dyDescent="0.25">
      <c r="A338" s="8">
        <f>ROWS(A$5:A338)-1</f>
        <v>333</v>
      </c>
      <c r="B338" s="42">
        <f>-PMT(F338/$F$2,COUNT(A338:$A$365),E337)</f>
        <v>534.39134199166972</v>
      </c>
      <c r="C338" s="42">
        <f t="shared" si="16"/>
        <v>85.548401669878317</v>
      </c>
      <c r="D338" s="42">
        <f t="shared" si="17"/>
        <v>448.84294032179139</v>
      </c>
      <c r="E338" s="42">
        <f t="shared" si="15"/>
        <v>13238.901326858741</v>
      </c>
      <c r="F338" s="8">
        <v>7.4999999999999997E-2</v>
      </c>
      <c r="G338" s="41"/>
    </row>
    <row r="339" spans="1:7" x14ac:dyDescent="0.25">
      <c r="A339" s="8">
        <f>ROWS(A$5:A339)-1</f>
        <v>334</v>
      </c>
      <c r="B339" s="42">
        <f>-PMT(F339/$F$2,COUNT(A339:$A$365),E338)</f>
        <v>534.39134199166961</v>
      </c>
      <c r="C339" s="42">
        <f t="shared" si="16"/>
        <v>82.743133292867128</v>
      </c>
      <c r="D339" s="42">
        <f t="shared" si="17"/>
        <v>451.64820869880248</v>
      </c>
      <c r="E339" s="42">
        <f t="shared" si="15"/>
        <v>12787.253118159939</v>
      </c>
      <c r="F339" s="8">
        <v>7.4999999999999997E-2</v>
      </c>
      <c r="G339" s="41"/>
    </row>
    <row r="340" spans="1:7" x14ac:dyDescent="0.25">
      <c r="A340" s="8">
        <f>ROWS(A$5:A340)-1</f>
        <v>335</v>
      </c>
      <c r="B340" s="42">
        <f>-PMT(F340/$F$2,COUNT(A340:$A$365),E339)</f>
        <v>534.39134199166972</v>
      </c>
      <c r="C340" s="42">
        <f t="shared" si="16"/>
        <v>79.920331988499612</v>
      </c>
      <c r="D340" s="42">
        <f t="shared" si="17"/>
        <v>454.47101000317014</v>
      </c>
      <c r="E340" s="42">
        <f t="shared" si="15"/>
        <v>12332.782108156769</v>
      </c>
      <c r="F340" s="8">
        <v>7.4999999999999997E-2</v>
      </c>
      <c r="G340" s="41"/>
    </row>
    <row r="341" spans="1:7" x14ac:dyDescent="0.25">
      <c r="A341" s="8">
        <f>ROWS(A$5:A341)-1</f>
        <v>336</v>
      </c>
      <c r="B341" s="42">
        <f>-PMT(F341/$F$2,COUNT(A341:$A$365),E340)</f>
        <v>534.39134199166972</v>
      </c>
      <c r="C341" s="42">
        <f t="shared" si="16"/>
        <v>77.079888175979804</v>
      </c>
      <c r="D341" s="42">
        <f t="shared" si="17"/>
        <v>457.3114538156899</v>
      </c>
      <c r="E341" s="42">
        <f t="shared" si="15"/>
        <v>11875.470654341079</v>
      </c>
      <c r="F341" s="8">
        <v>7.4999999999999997E-2</v>
      </c>
      <c r="G341" s="41"/>
    </row>
    <row r="342" spans="1:7" x14ac:dyDescent="0.25">
      <c r="A342" s="8">
        <f>ROWS(A$5:A342)-1</f>
        <v>337</v>
      </c>
      <c r="B342" s="42">
        <f>-PMT(F342/$F$2,COUNT(A342:$A$365),E341)</f>
        <v>534.39134199166961</v>
      </c>
      <c r="C342" s="42">
        <f t="shared" si="16"/>
        <v>74.221691589631746</v>
      </c>
      <c r="D342" s="42">
        <f t="shared" si="17"/>
        <v>460.16965040203786</v>
      </c>
      <c r="E342" s="42">
        <f t="shared" si="15"/>
        <v>11415.301003939041</v>
      </c>
      <c r="F342" s="8">
        <v>7.4999999999999997E-2</v>
      </c>
      <c r="G342" s="41"/>
    </row>
    <row r="343" spans="1:7" x14ac:dyDescent="0.25">
      <c r="A343" s="8">
        <f>ROWS(A$5:A343)-1</f>
        <v>338</v>
      </c>
      <c r="B343" s="42">
        <f>-PMT(F343/$F$2,COUNT(A343:$A$365),E342)</f>
        <v>534.39134199166972</v>
      </c>
      <c r="C343" s="42">
        <f t="shared" si="16"/>
        <v>71.345631274619009</v>
      </c>
      <c r="D343" s="42">
        <f t="shared" si="17"/>
        <v>463.04571071705072</v>
      </c>
      <c r="E343" s="42">
        <f t="shared" si="15"/>
        <v>10952.25529322199</v>
      </c>
      <c r="F343" s="8">
        <v>7.4999999999999997E-2</v>
      </c>
      <c r="G343" s="41"/>
    </row>
    <row r="344" spans="1:7" x14ac:dyDescent="0.25">
      <c r="A344" s="8">
        <f>ROWS(A$5:A344)-1</f>
        <v>339</v>
      </c>
      <c r="B344" s="42">
        <f>-PMT(F344/$F$2,COUNT(A344:$A$365),E343)</f>
        <v>534.39134199166972</v>
      </c>
      <c r="C344" s="42">
        <f t="shared" si="16"/>
        <v>68.451595582637438</v>
      </c>
      <c r="D344" s="42">
        <f t="shared" si="17"/>
        <v>465.9397464090323</v>
      </c>
      <c r="E344" s="42">
        <f t="shared" si="15"/>
        <v>10486.315546812957</v>
      </c>
      <c r="F344" s="8">
        <v>7.4999999999999997E-2</v>
      </c>
      <c r="G344" s="41"/>
    </row>
    <row r="345" spans="1:7" x14ac:dyDescent="0.25">
      <c r="A345" s="8">
        <f>ROWS(A$5:A345)-1</f>
        <v>340</v>
      </c>
      <c r="B345" s="42">
        <f>-PMT(F345/$F$2,COUNT(A345:$A$365),E344)</f>
        <v>534.39134199166949</v>
      </c>
      <c r="C345" s="42">
        <f t="shared" si="16"/>
        <v>65.539472167580982</v>
      </c>
      <c r="D345" s="42">
        <f t="shared" si="17"/>
        <v>468.85186982408851</v>
      </c>
      <c r="E345" s="42">
        <f t="shared" si="15"/>
        <v>10017.463676988869</v>
      </c>
      <c r="F345" s="8">
        <v>7.4999999999999997E-2</v>
      </c>
      <c r="G345" s="41"/>
    </row>
    <row r="346" spans="1:7" x14ac:dyDescent="0.25">
      <c r="A346" s="8">
        <f>ROWS(A$5:A346)-1</f>
        <v>341</v>
      </c>
      <c r="B346" s="42">
        <f>-PMT(F346/$F$2,COUNT(A346:$A$365),E345)</f>
        <v>534.39134199166972</v>
      </c>
      <c r="C346" s="42">
        <f t="shared" si="16"/>
        <v>62.609147981180428</v>
      </c>
      <c r="D346" s="42">
        <f t="shared" si="17"/>
        <v>471.78219401048932</v>
      </c>
      <c r="E346" s="42">
        <f t="shared" si="15"/>
        <v>9545.6814829783798</v>
      </c>
      <c r="F346" s="8">
        <v>7.4999999999999997E-2</v>
      </c>
      <c r="G346" s="41"/>
    </row>
    <row r="347" spans="1:7" x14ac:dyDescent="0.25">
      <c r="A347" s="8">
        <f>ROWS(A$5:A347)-1</f>
        <v>342</v>
      </c>
      <c r="B347" s="42">
        <f>-PMT(F347/$F$2,COUNT(A347:$A$365),E346)</f>
        <v>534.39134199166961</v>
      </c>
      <c r="C347" s="42">
        <f t="shared" si="16"/>
        <v>59.660509268614874</v>
      </c>
      <c r="D347" s="42">
        <f t="shared" si="17"/>
        <v>474.73083272305473</v>
      </c>
      <c r="E347" s="42">
        <f t="shared" si="15"/>
        <v>9070.9506502553249</v>
      </c>
      <c r="F347" s="8">
        <v>7.4999999999999997E-2</v>
      </c>
      <c r="G347" s="41"/>
    </row>
    <row r="348" spans="1:7" x14ac:dyDescent="0.25">
      <c r="A348" s="8">
        <f>ROWS(A$5:A348)-1</f>
        <v>343</v>
      </c>
      <c r="B348" s="42">
        <f>-PMT(F348/$F$2,COUNT(A348:$A$365),E347)</f>
        <v>534.39134199166961</v>
      </c>
      <c r="C348" s="42">
        <f t="shared" si="16"/>
        <v>56.693441564095785</v>
      </c>
      <c r="D348" s="42">
        <f t="shared" si="17"/>
        <v>477.69790042757381</v>
      </c>
      <c r="E348" s="42">
        <f t="shared" si="15"/>
        <v>8593.2527498277504</v>
      </c>
      <c r="F348" s="8">
        <v>7.4999999999999997E-2</v>
      </c>
      <c r="G348" s="41"/>
    </row>
    <row r="349" spans="1:7" x14ac:dyDescent="0.25">
      <c r="A349" s="8">
        <f>ROWS(A$5:A349)-1</f>
        <v>344</v>
      </c>
      <c r="B349" s="42">
        <f>-PMT(F349/$F$2,COUNT(A349:$A$365),E348)</f>
        <v>534.39134199166972</v>
      </c>
      <c r="C349" s="42">
        <f t="shared" si="16"/>
        <v>53.707829686423445</v>
      </c>
      <c r="D349" s="42">
        <f t="shared" si="17"/>
        <v>480.68351230524627</v>
      </c>
      <c r="E349" s="42">
        <f t="shared" si="15"/>
        <v>8112.5692375225044</v>
      </c>
      <c r="F349" s="8">
        <v>7.4999999999999997E-2</v>
      </c>
      <c r="G349" s="41"/>
    </row>
    <row r="350" spans="1:7" x14ac:dyDescent="0.25">
      <c r="A350" s="8">
        <f>ROWS(A$5:A350)-1</f>
        <v>345</v>
      </c>
      <c r="B350" s="42">
        <f>-PMT(F350/$F$2,COUNT(A350:$A$365),E349)</f>
        <v>534.39134199166961</v>
      </c>
      <c r="C350" s="42">
        <f t="shared" si="16"/>
        <v>50.703557734515648</v>
      </c>
      <c r="D350" s="42">
        <f t="shared" si="17"/>
        <v>483.68778425715396</v>
      </c>
      <c r="E350" s="42">
        <f t="shared" si="15"/>
        <v>7628.8814532653505</v>
      </c>
      <c r="F350" s="8">
        <v>7.4999999999999997E-2</v>
      </c>
      <c r="G350" s="41"/>
    </row>
    <row r="351" spans="1:7" x14ac:dyDescent="0.25">
      <c r="A351" s="8">
        <f>ROWS(A$5:A351)-1</f>
        <v>346</v>
      </c>
      <c r="B351" s="42">
        <f>-PMT(F351/$F$2,COUNT(A351:$A$365),E350)</f>
        <v>534.39134199166961</v>
      </c>
      <c r="C351" s="42">
        <f t="shared" si="16"/>
        <v>47.680509082908436</v>
      </c>
      <c r="D351" s="42">
        <f t="shared" si="17"/>
        <v>486.71083290876118</v>
      </c>
      <c r="E351" s="42">
        <f t="shared" si="15"/>
        <v>7142.1706203565891</v>
      </c>
      <c r="F351" s="8">
        <v>7.4999999999999997E-2</v>
      </c>
      <c r="G351" s="41"/>
    </row>
    <row r="352" spans="1:7" x14ac:dyDescent="0.25">
      <c r="A352" s="8">
        <f>ROWS(A$5:A352)-1</f>
        <v>347</v>
      </c>
      <c r="B352" s="42">
        <f>-PMT(F352/$F$2,COUNT(A352:$A$365),E351)</f>
        <v>534.39134199166961</v>
      </c>
      <c r="C352" s="42">
        <f t="shared" si="16"/>
        <v>44.638566377228678</v>
      </c>
      <c r="D352" s="42">
        <f t="shared" si="17"/>
        <v>489.75277561444091</v>
      </c>
      <c r="E352" s="42">
        <f t="shared" si="15"/>
        <v>6652.4178447421482</v>
      </c>
      <c r="F352" s="8">
        <v>7.4999999999999997E-2</v>
      </c>
      <c r="G352" s="41"/>
    </row>
    <row r="353" spans="1:7" x14ac:dyDescent="0.25">
      <c r="A353" s="8">
        <f>ROWS(A$5:A353)-1</f>
        <v>348</v>
      </c>
      <c r="B353" s="42">
        <f>-PMT(F353/$F$2,COUNT(A353:$A$365),E352)</f>
        <v>534.39134199166961</v>
      </c>
      <c r="C353" s="42">
        <f t="shared" si="16"/>
        <v>41.577611529638425</v>
      </c>
      <c r="D353" s="42">
        <f t="shared" si="17"/>
        <v>492.81373046203117</v>
      </c>
      <c r="E353" s="42">
        <f t="shared" si="15"/>
        <v>6159.6041142801168</v>
      </c>
      <c r="F353" s="8">
        <v>7.4999999999999997E-2</v>
      </c>
      <c r="G353" s="41"/>
    </row>
    <row r="354" spans="1:7" x14ac:dyDescent="0.25">
      <c r="A354" s="8">
        <f>ROWS(A$5:A354)-1</f>
        <v>349</v>
      </c>
      <c r="B354" s="42">
        <f>-PMT(F354/$F$2,COUNT(A354:$A$365),E353)</f>
        <v>534.39134199166949</v>
      </c>
      <c r="C354" s="42">
        <f t="shared" si="16"/>
        <v>38.497525714250727</v>
      </c>
      <c r="D354" s="42">
        <f t="shared" si="17"/>
        <v>495.89381627741875</v>
      </c>
      <c r="E354" s="42">
        <f t="shared" si="15"/>
        <v>5663.7102980026984</v>
      </c>
      <c r="F354" s="8">
        <v>7.4999999999999997E-2</v>
      </c>
      <c r="G354" s="41"/>
    </row>
    <row r="355" spans="1:7" x14ac:dyDescent="0.25">
      <c r="A355" s="8">
        <f>ROWS(A$5:A355)-1</f>
        <v>350</v>
      </c>
      <c r="B355" s="42">
        <f>-PMT(F355/$F$2,COUNT(A355:$A$365),E354)</f>
        <v>534.39134199166972</v>
      </c>
      <c r="C355" s="42">
        <f t="shared" si="16"/>
        <v>35.398189362516867</v>
      </c>
      <c r="D355" s="42">
        <f t="shared" si="17"/>
        <v>498.99315262915286</v>
      </c>
      <c r="E355" s="42">
        <f t="shared" si="15"/>
        <v>5164.7171453735455</v>
      </c>
      <c r="F355" s="8">
        <v>7.4999999999999997E-2</v>
      </c>
      <c r="G355" s="41"/>
    </row>
    <row r="356" spans="1:7" x14ac:dyDescent="0.25">
      <c r="A356" s="8">
        <f>ROWS(A$5:A356)-1</f>
        <v>351</v>
      </c>
      <c r="B356" s="42">
        <f>-PMT(F356/$F$2,COUNT(A356:$A$365),E355)</f>
        <v>534.39134199166961</v>
      </c>
      <c r="C356" s="42">
        <f t="shared" si="16"/>
        <v>32.279482158584656</v>
      </c>
      <c r="D356" s="42">
        <f t="shared" si="17"/>
        <v>502.11185983308496</v>
      </c>
      <c r="E356" s="42">
        <f t="shared" si="15"/>
        <v>4662.6052855404605</v>
      </c>
      <c r="F356" s="8">
        <v>7.4999999999999997E-2</v>
      </c>
      <c r="G356" s="41"/>
    </row>
    <row r="357" spans="1:7" x14ac:dyDescent="0.25">
      <c r="A357" s="8">
        <f>ROWS(A$5:A357)-1</f>
        <v>352</v>
      </c>
      <c r="B357" s="42">
        <f>-PMT(F357/$F$2,COUNT(A357:$A$365),E356)</f>
        <v>534.39134199166961</v>
      </c>
      <c r="C357" s="42">
        <f t="shared" si="16"/>
        <v>29.141283034627875</v>
      </c>
      <c r="D357" s="42">
        <f t="shared" si="17"/>
        <v>505.25005895704174</v>
      </c>
      <c r="E357" s="42">
        <f t="shared" si="15"/>
        <v>4157.3552265834187</v>
      </c>
      <c r="F357" s="8">
        <v>7.4999999999999997E-2</v>
      </c>
      <c r="G357" s="41"/>
    </row>
    <row r="358" spans="1:7" x14ac:dyDescent="0.25">
      <c r="A358" s="8">
        <f>ROWS(A$5:A358)-1</f>
        <v>353</v>
      </c>
      <c r="B358" s="42">
        <f>-PMT(F358/$F$2,COUNT(A358:$A$365),E357)</f>
        <v>534.39134199166961</v>
      </c>
      <c r="C358" s="42">
        <f t="shared" si="16"/>
        <v>25.983470166146365</v>
      </c>
      <c r="D358" s="42">
        <f t="shared" si="17"/>
        <v>508.40787182552322</v>
      </c>
      <c r="E358" s="42">
        <f t="shared" si="15"/>
        <v>3648.9473547578955</v>
      </c>
      <c r="F358" s="8">
        <v>7.4999999999999997E-2</v>
      </c>
      <c r="G358" s="41"/>
    </row>
    <row r="359" spans="1:7" x14ac:dyDescent="0.25">
      <c r="A359" s="8">
        <f>ROWS(A$5:A359)-1</f>
        <v>354</v>
      </c>
      <c r="B359" s="42">
        <f>-PMT(F359/$F$2,COUNT(A359:$A$365),E358)</f>
        <v>534.39134199166961</v>
      </c>
      <c r="C359" s="42">
        <f t="shared" si="16"/>
        <v>22.805920967236844</v>
      </c>
      <c r="D359" s="42">
        <f t="shared" si="17"/>
        <v>511.58542102443278</v>
      </c>
      <c r="E359" s="42">
        <f t="shared" si="15"/>
        <v>3137.3619337334626</v>
      </c>
      <c r="F359" s="8">
        <v>7.4999999999999997E-2</v>
      </c>
      <c r="G359" s="41"/>
    </row>
    <row r="360" spans="1:7" x14ac:dyDescent="0.25">
      <c r="A360" s="8">
        <f>ROWS(A$5:A360)-1</f>
        <v>355</v>
      </c>
      <c r="B360" s="42">
        <f>-PMT(F360/$F$2,COUNT(A360:$A$365),E359)</f>
        <v>534.39134199166949</v>
      </c>
      <c r="C360" s="42">
        <f t="shared" si="16"/>
        <v>19.608512085834139</v>
      </c>
      <c r="D360" s="42">
        <f t="shared" si="17"/>
        <v>514.78282990583534</v>
      </c>
      <c r="E360" s="42">
        <f t="shared" si="15"/>
        <v>2622.5791038276275</v>
      </c>
      <c r="F360" s="8">
        <v>7.4999999999999997E-2</v>
      </c>
      <c r="G360" s="41"/>
    </row>
    <row r="361" spans="1:7" x14ac:dyDescent="0.25">
      <c r="A361" s="8">
        <f>ROWS(A$5:A361)-1</f>
        <v>356</v>
      </c>
      <c r="B361" s="42">
        <f>-PMT(F361/$F$2,COUNT(A361:$A$365),E360)</f>
        <v>534.39134199166961</v>
      </c>
      <c r="C361" s="42">
        <f t="shared" si="16"/>
        <v>16.391119398922672</v>
      </c>
      <c r="D361" s="42">
        <f t="shared" si="17"/>
        <v>518.00022259274692</v>
      </c>
      <c r="E361" s="42">
        <f t="shared" si="15"/>
        <v>2104.5788812348806</v>
      </c>
      <c r="F361" s="8">
        <v>7.4999999999999997E-2</v>
      </c>
      <c r="G361" s="41"/>
    </row>
    <row r="362" spans="1:7" x14ac:dyDescent="0.25">
      <c r="A362" s="8">
        <f>ROWS(A$5:A362)-1</f>
        <v>357</v>
      </c>
      <c r="B362" s="42">
        <f>-PMT(F362/$F$2,COUNT(A362:$A$365),E361)</f>
        <v>534.39134199166949</v>
      </c>
      <c r="C362" s="42">
        <f t="shared" si="16"/>
        <v>13.153618007718002</v>
      </c>
      <c r="D362" s="42">
        <f t="shared" si="17"/>
        <v>521.23772398395147</v>
      </c>
      <c r="E362" s="42">
        <f t="shared" si="15"/>
        <v>1583.341157250929</v>
      </c>
      <c r="F362" s="8">
        <v>7.4999999999999997E-2</v>
      </c>
      <c r="G362" s="41"/>
    </row>
    <row r="363" spans="1:7" x14ac:dyDescent="0.25">
      <c r="A363" s="8">
        <f>ROWS(A$5:A363)-1</f>
        <v>358</v>
      </c>
      <c r="B363" s="42">
        <f>-PMT(F363/$F$2,COUNT(A363:$A$365),E362)</f>
        <v>534.39134199166949</v>
      </c>
      <c r="C363" s="42">
        <f t="shared" si="16"/>
        <v>9.8958822328183054</v>
      </c>
      <c r="D363" s="42">
        <f t="shared" si="17"/>
        <v>524.49545975885121</v>
      </c>
      <c r="E363" s="42">
        <f t="shared" si="15"/>
        <v>1058.8456974920778</v>
      </c>
      <c r="F363" s="8">
        <v>7.4999999999999997E-2</v>
      </c>
      <c r="G363" s="41"/>
    </row>
    <row r="364" spans="1:7" x14ac:dyDescent="0.25">
      <c r="A364" s="8">
        <f>ROWS(A$5:A364)-1</f>
        <v>359</v>
      </c>
      <c r="B364" s="42">
        <f>-PMT(F364/$F$2,COUNT(A364:$A$365),E363)</f>
        <v>534.39134199166961</v>
      </c>
      <c r="C364" s="42">
        <f t="shared" si="16"/>
        <v>6.6177856093254865</v>
      </c>
      <c r="D364" s="42">
        <f t="shared" si="17"/>
        <v>527.77355638234417</v>
      </c>
      <c r="E364" s="42">
        <f t="shared" si="15"/>
        <v>531.07214110973359</v>
      </c>
      <c r="F364" s="8">
        <v>7.4999999999999997E-2</v>
      </c>
      <c r="G364" s="41"/>
    </row>
    <row r="365" spans="1:7" x14ac:dyDescent="0.25">
      <c r="A365" s="8">
        <f>ROWS(A$5:A365)-1</f>
        <v>360</v>
      </c>
      <c r="B365" s="42">
        <f>-PMT(F365/$F$2,COUNT(A365:$A$365),E364)</f>
        <v>534.39134199166949</v>
      </c>
      <c r="C365" s="42">
        <f t="shared" si="16"/>
        <v>3.319200881935835</v>
      </c>
      <c r="D365" s="42">
        <f t="shared" si="17"/>
        <v>531.07214110973371</v>
      </c>
      <c r="E365" s="42">
        <f t="shared" si="15"/>
        <v>-1.1368683772161603E-13</v>
      </c>
      <c r="F365" s="8">
        <v>7.4999999999999997E-2</v>
      </c>
      <c r="G365" s="41"/>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00FF"/>
  </sheetPr>
  <dimension ref="A2:F15"/>
  <sheetViews>
    <sheetView workbookViewId="0">
      <selection activeCell="C8" sqref="C8"/>
    </sheetView>
  </sheetViews>
  <sheetFormatPr defaultRowHeight="15" x14ac:dyDescent="0.25"/>
  <cols>
    <col min="1" max="1" width="11" customWidth="1"/>
    <col min="2" max="2" width="7.7109375" bestFit="1" customWidth="1"/>
    <col min="3" max="3" width="11.140625" customWidth="1"/>
    <col min="4" max="4" width="14.140625" customWidth="1"/>
    <col min="5" max="5" width="11.7109375" customWidth="1"/>
    <col min="6" max="6" width="12.5703125" customWidth="1"/>
  </cols>
  <sheetData>
    <row r="2" spans="1:6" x14ac:dyDescent="0.25">
      <c r="A2" t="s">
        <v>93</v>
      </c>
      <c r="B2" t="s">
        <v>0</v>
      </c>
      <c r="C2" t="s">
        <v>1</v>
      </c>
      <c r="D2" t="s">
        <v>94</v>
      </c>
      <c r="E2" t="s">
        <v>2</v>
      </c>
      <c r="F2" t="s">
        <v>9</v>
      </c>
    </row>
    <row r="3" spans="1:6" x14ac:dyDescent="0.25">
      <c r="A3">
        <v>5513</v>
      </c>
      <c r="B3" s="43">
        <v>40188</v>
      </c>
      <c r="C3" t="s">
        <v>95</v>
      </c>
      <c r="D3" t="s">
        <v>12</v>
      </c>
      <c r="E3">
        <v>26</v>
      </c>
      <c r="F3">
        <v>364</v>
      </c>
    </row>
    <row r="4" spans="1:6" x14ac:dyDescent="0.25">
      <c r="A4">
        <v>5514</v>
      </c>
      <c r="B4" s="43">
        <v>40188</v>
      </c>
      <c r="C4" t="s">
        <v>4</v>
      </c>
      <c r="D4" t="s">
        <v>22</v>
      </c>
      <c r="E4">
        <v>21</v>
      </c>
      <c r="F4">
        <v>210</v>
      </c>
    </row>
    <row r="5" spans="1:6" x14ac:dyDescent="0.25">
      <c r="A5">
        <v>5515</v>
      </c>
      <c r="B5" s="43">
        <v>40188</v>
      </c>
      <c r="C5" t="s">
        <v>10</v>
      </c>
      <c r="D5" t="s">
        <v>11</v>
      </c>
      <c r="E5">
        <v>10</v>
      </c>
      <c r="F5">
        <v>189.5</v>
      </c>
    </row>
    <row r="6" spans="1:6" x14ac:dyDescent="0.25">
      <c r="A6">
        <v>5516</v>
      </c>
      <c r="B6" s="43">
        <v>40188</v>
      </c>
      <c r="C6" t="s">
        <v>10</v>
      </c>
      <c r="D6" t="s">
        <v>19</v>
      </c>
      <c r="E6">
        <v>12</v>
      </c>
      <c r="F6">
        <v>144</v>
      </c>
    </row>
    <row r="7" spans="1:6" x14ac:dyDescent="0.25">
      <c r="A7">
        <v>5517</v>
      </c>
      <c r="B7" s="43">
        <v>40188</v>
      </c>
      <c r="C7" t="s">
        <v>10</v>
      </c>
      <c r="D7" t="s">
        <v>96</v>
      </c>
      <c r="E7">
        <v>10</v>
      </c>
      <c r="F7">
        <v>169.5</v>
      </c>
    </row>
    <row r="8" spans="1:6" x14ac:dyDescent="0.25">
      <c r="A8">
        <v>5518</v>
      </c>
      <c r="B8" s="43">
        <v>40188</v>
      </c>
      <c r="C8" t="s">
        <v>16</v>
      </c>
      <c r="D8" t="s">
        <v>11</v>
      </c>
      <c r="E8">
        <v>13</v>
      </c>
      <c r="F8">
        <v>246.35</v>
      </c>
    </row>
    <row r="9" spans="1:6" x14ac:dyDescent="0.25">
      <c r="A9">
        <v>5519</v>
      </c>
      <c r="B9" s="43">
        <v>40188</v>
      </c>
      <c r="C9" t="s">
        <v>7</v>
      </c>
      <c r="D9" t="s">
        <v>97</v>
      </c>
      <c r="E9">
        <v>18</v>
      </c>
      <c r="F9">
        <v>233.1</v>
      </c>
    </row>
    <row r="10" spans="1:6" x14ac:dyDescent="0.25">
      <c r="A10">
        <v>5520</v>
      </c>
      <c r="B10" s="43">
        <v>40188</v>
      </c>
      <c r="C10" t="s">
        <v>95</v>
      </c>
      <c r="D10" t="s">
        <v>15</v>
      </c>
      <c r="E10">
        <v>8</v>
      </c>
      <c r="F10">
        <v>127.6</v>
      </c>
    </row>
    <row r="11" spans="1:6" x14ac:dyDescent="0.25">
      <c r="A11">
        <v>5521</v>
      </c>
      <c r="B11" s="43">
        <v>40188</v>
      </c>
      <c r="C11" t="s">
        <v>3</v>
      </c>
      <c r="D11" t="s">
        <v>15</v>
      </c>
      <c r="E11">
        <v>26</v>
      </c>
      <c r="F11">
        <v>414.7</v>
      </c>
    </row>
    <row r="12" spans="1:6" x14ac:dyDescent="0.25">
      <c r="A12">
        <v>5522</v>
      </c>
      <c r="B12" s="43">
        <v>40188</v>
      </c>
      <c r="C12" t="s">
        <v>16</v>
      </c>
      <c r="D12" t="s">
        <v>19</v>
      </c>
      <c r="E12">
        <v>28</v>
      </c>
      <c r="F12">
        <v>336</v>
      </c>
    </row>
    <row r="13" spans="1:6" x14ac:dyDescent="0.25">
      <c r="A13">
        <v>5523</v>
      </c>
      <c r="B13" s="43">
        <v>40188</v>
      </c>
      <c r="C13" t="s">
        <v>16</v>
      </c>
      <c r="D13" t="s">
        <v>98</v>
      </c>
      <c r="E13">
        <v>17</v>
      </c>
      <c r="F13">
        <v>271.14999999999998</v>
      </c>
    </row>
    <row r="14" spans="1:6" x14ac:dyDescent="0.25">
      <c r="A14">
        <v>5524</v>
      </c>
      <c r="B14" s="43">
        <v>40188</v>
      </c>
      <c r="C14" t="s">
        <v>3</v>
      </c>
      <c r="D14" t="s">
        <v>14</v>
      </c>
      <c r="E14">
        <v>13</v>
      </c>
      <c r="F14">
        <v>567.97</v>
      </c>
    </row>
    <row r="15" spans="1:6" x14ac:dyDescent="0.25">
      <c r="A15">
        <v>5525</v>
      </c>
      <c r="B15" s="43">
        <v>40188</v>
      </c>
      <c r="C15" t="s">
        <v>13</v>
      </c>
      <c r="D15" t="s">
        <v>22</v>
      </c>
      <c r="E15">
        <v>20</v>
      </c>
      <c r="F15">
        <v>200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0000FF"/>
  </sheetPr>
  <dimension ref="A1:G28"/>
  <sheetViews>
    <sheetView zoomScale="115" zoomScaleNormal="115" workbookViewId="0">
      <selection activeCell="C8" sqref="C8"/>
    </sheetView>
  </sheetViews>
  <sheetFormatPr defaultColWidth="9.140625" defaultRowHeight="15" x14ac:dyDescent="0.25"/>
  <cols>
    <col min="1" max="1" width="12" bestFit="1" customWidth="1"/>
    <col min="2" max="7" width="8.140625" customWidth="1"/>
  </cols>
  <sheetData>
    <row r="1" spans="1:7" x14ac:dyDescent="0.25">
      <c r="A1" t="s">
        <v>77</v>
      </c>
    </row>
    <row r="2" spans="1:7" x14ac:dyDescent="0.25">
      <c r="A2" s="8"/>
      <c r="B2" s="35" t="s">
        <v>78</v>
      </c>
      <c r="C2" s="35" t="s">
        <v>79</v>
      </c>
      <c r="D2" s="35" t="s">
        <v>80</v>
      </c>
      <c r="E2" s="35" t="s">
        <v>81</v>
      </c>
      <c r="F2" s="35" t="s">
        <v>82</v>
      </c>
      <c r="G2" s="35" t="s">
        <v>83</v>
      </c>
    </row>
    <row r="3" spans="1:7" x14ac:dyDescent="0.25">
      <c r="A3" s="35" t="s">
        <v>72</v>
      </c>
      <c r="B3" s="36">
        <f t="shared" ref="B3:G6" si="0">B11*1.075</f>
        <v>376.25</v>
      </c>
      <c r="C3" s="36">
        <f t="shared" si="0"/>
        <v>293.47499999999997</v>
      </c>
      <c r="D3" s="36">
        <f t="shared" si="0"/>
        <v>403.125</v>
      </c>
      <c r="E3" s="36">
        <f t="shared" si="0"/>
        <v>537.5</v>
      </c>
      <c r="F3" s="36">
        <f t="shared" si="0"/>
        <v>1026.625</v>
      </c>
      <c r="G3" s="36">
        <f t="shared" si="0"/>
        <v>1173.8999999999999</v>
      </c>
    </row>
    <row r="4" spans="1:7" x14ac:dyDescent="0.25">
      <c r="A4" s="35" t="s">
        <v>73</v>
      </c>
      <c r="B4" s="36">
        <f t="shared" si="0"/>
        <v>1028.7749999999999</v>
      </c>
      <c r="C4" s="36">
        <f t="shared" si="0"/>
        <v>994.375</v>
      </c>
      <c r="D4" s="36">
        <f t="shared" si="0"/>
        <v>1343.75</v>
      </c>
      <c r="E4" s="36">
        <f t="shared" si="0"/>
        <v>1182.5</v>
      </c>
      <c r="F4" s="36">
        <f t="shared" si="0"/>
        <v>2160.75</v>
      </c>
      <c r="G4" s="36">
        <f t="shared" si="0"/>
        <v>2461.75</v>
      </c>
    </row>
    <row r="5" spans="1:7" x14ac:dyDescent="0.25">
      <c r="A5" s="35" t="s">
        <v>74</v>
      </c>
      <c r="B5" s="36">
        <f t="shared" si="0"/>
        <v>172</v>
      </c>
      <c r="C5" s="36">
        <f t="shared" si="0"/>
        <v>236.5</v>
      </c>
      <c r="D5" s="36">
        <f t="shared" si="0"/>
        <v>312.82499999999999</v>
      </c>
      <c r="E5" s="36">
        <f t="shared" si="0"/>
        <v>479.45</v>
      </c>
      <c r="F5" s="36">
        <f t="shared" si="0"/>
        <v>577.27499999999998</v>
      </c>
      <c r="G5" s="36">
        <f t="shared" si="0"/>
        <v>223.6</v>
      </c>
    </row>
    <row r="6" spans="1:7" ht="15.75" thickBot="1" x14ac:dyDescent="0.3">
      <c r="A6" s="37" t="s">
        <v>75</v>
      </c>
      <c r="B6" s="38">
        <f t="shared" si="0"/>
        <v>564.375</v>
      </c>
      <c r="C6" s="38">
        <f t="shared" si="0"/>
        <v>671.875</v>
      </c>
      <c r="D6" s="38">
        <f t="shared" si="0"/>
        <v>612.75</v>
      </c>
      <c r="E6" s="38">
        <f t="shared" si="0"/>
        <v>915.9</v>
      </c>
      <c r="F6" s="38">
        <f t="shared" si="0"/>
        <v>806.25</v>
      </c>
      <c r="G6" s="38">
        <f t="shared" si="0"/>
        <v>618.125</v>
      </c>
    </row>
    <row r="7" spans="1:7" ht="15.75" thickBot="1" x14ac:dyDescent="0.3">
      <c r="A7" s="39" t="s">
        <v>76</v>
      </c>
      <c r="B7" s="40">
        <f t="shared" ref="B7" si="1">SUM(B3:B6)</f>
        <v>2141.3999999999996</v>
      </c>
      <c r="C7" s="40">
        <f t="shared" ref="C7:G7" si="2">SUM(C3:C6)</f>
        <v>2196.2249999999999</v>
      </c>
      <c r="D7" s="40">
        <f t="shared" si="2"/>
        <v>2672.45</v>
      </c>
      <c r="E7" s="40">
        <f t="shared" si="2"/>
        <v>3115.35</v>
      </c>
      <c r="F7" s="40">
        <f t="shared" si="2"/>
        <v>4570.8999999999996</v>
      </c>
      <c r="G7" s="40">
        <f t="shared" si="2"/>
        <v>4477.375</v>
      </c>
    </row>
    <row r="8" spans="1:7" ht="15.75" thickTop="1" x14ac:dyDescent="0.25"/>
    <row r="9" spans="1:7" x14ac:dyDescent="0.25">
      <c r="A9" t="s">
        <v>77</v>
      </c>
    </row>
    <row r="10" spans="1:7" x14ac:dyDescent="0.25">
      <c r="A10" s="8"/>
      <c r="B10" s="35" t="s">
        <v>66</v>
      </c>
      <c r="C10" s="35" t="s">
        <v>67</v>
      </c>
      <c r="D10" s="35" t="s">
        <v>68</v>
      </c>
      <c r="E10" s="35" t="s">
        <v>69</v>
      </c>
      <c r="F10" s="35" t="s">
        <v>70</v>
      </c>
      <c r="G10" s="35" t="s">
        <v>71</v>
      </c>
    </row>
    <row r="11" spans="1:7" x14ac:dyDescent="0.25">
      <c r="A11" s="35" t="s">
        <v>72</v>
      </c>
      <c r="B11" s="36">
        <v>350</v>
      </c>
      <c r="C11" s="36">
        <v>273</v>
      </c>
      <c r="D11" s="36">
        <v>375</v>
      </c>
      <c r="E11" s="36">
        <v>500</v>
      </c>
      <c r="F11" s="36">
        <v>955</v>
      </c>
      <c r="G11" s="36">
        <v>1092</v>
      </c>
    </row>
    <row r="12" spans="1:7" x14ac:dyDescent="0.25">
      <c r="A12" s="35" t="s">
        <v>73</v>
      </c>
      <c r="B12" s="36">
        <v>957</v>
      </c>
      <c r="C12" s="36">
        <v>925</v>
      </c>
      <c r="D12" s="36">
        <v>1250</v>
      </c>
      <c r="E12" s="36">
        <v>1100</v>
      </c>
      <c r="F12" s="36">
        <v>2010</v>
      </c>
      <c r="G12" s="36">
        <v>2290</v>
      </c>
    </row>
    <row r="13" spans="1:7" x14ac:dyDescent="0.25">
      <c r="A13" s="35" t="s">
        <v>74</v>
      </c>
      <c r="B13" s="36">
        <v>160</v>
      </c>
      <c r="C13" s="36">
        <v>220</v>
      </c>
      <c r="D13" s="36">
        <v>291</v>
      </c>
      <c r="E13" s="36">
        <v>446</v>
      </c>
      <c r="F13" s="36">
        <v>537</v>
      </c>
      <c r="G13" s="36">
        <v>208</v>
      </c>
    </row>
    <row r="14" spans="1:7" ht="15.75" thickBot="1" x14ac:dyDescent="0.3">
      <c r="A14" s="37" t="s">
        <v>75</v>
      </c>
      <c r="B14" s="38">
        <v>525</v>
      </c>
      <c r="C14" s="38">
        <v>625</v>
      </c>
      <c r="D14" s="38">
        <v>570</v>
      </c>
      <c r="E14" s="38">
        <v>852</v>
      </c>
      <c r="F14" s="38">
        <v>750</v>
      </c>
      <c r="G14" s="38">
        <v>575</v>
      </c>
    </row>
    <row r="15" spans="1:7" ht="15.75" thickBot="1" x14ac:dyDescent="0.3">
      <c r="A15" s="39" t="s">
        <v>76</v>
      </c>
      <c r="B15" s="40">
        <f t="shared" ref="B15:G15" si="3">SUM(B11:B14)</f>
        <v>1992</v>
      </c>
      <c r="C15" s="40">
        <f t="shared" si="3"/>
        <v>2043</v>
      </c>
      <c r="D15" s="40">
        <f t="shared" si="3"/>
        <v>2486</v>
      </c>
      <c r="E15" s="40">
        <f t="shared" si="3"/>
        <v>2898</v>
      </c>
      <c r="F15" s="40">
        <f t="shared" si="3"/>
        <v>4252</v>
      </c>
      <c r="G15" s="40">
        <f t="shared" si="3"/>
        <v>4165</v>
      </c>
    </row>
    <row r="16" spans="1:7" ht="15.75" thickTop="1" x14ac:dyDescent="0.25"/>
    <row r="17" spans="1:5" x14ac:dyDescent="0.25">
      <c r="A17" t="s">
        <v>99</v>
      </c>
    </row>
    <row r="18" spans="1:5" x14ac:dyDescent="0.25">
      <c r="A18" s="426" t="s">
        <v>0</v>
      </c>
      <c r="B18" s="426" t="s">
        <v>100</v>
      </c>
      <c r="C18" s="426" t="s">
        <v>101</v>
      </c>
      <c r="D18" s="428" t="s">
        <v>90</v>
      </c>
      <c r="E18" s="429"/>
    </row>
    <row r="19" spans="1:5" x14ac:dyDescent="0.25">
      <c r="A19" s="427"/>
      <c r="B19" s="427"/>
      <c r="C19" s="427"/>
      <c r="D19" s="44" t="s">
        <v>100</v>
      </c>
      <c r="E19" s="44" t="s">
        <v>101</v>
      </c>
    </row>
    <row r="20" spans="1:5" x14ac:dyDescent="0.25">
      <c r="A20" s="7">
        <v>40190</v>
      </c>
      <c r="B20" s="8">
        <v>500</v>
      </c>
      <c r="C20" s="8"/>
      <c r="D20" s="8">
        <f>IF(OR($A20="",SUM($B$20:$B20)-SUM($C$20:$C20)&lt;0),"",ABS(SUM($B$20:$B20)-SUM($C$20:$C20)))</f>
        <v>500</v>
      </c>
      <c r="E20" s="8" t="str">
        <f>IF(OR($A20="",SUM($B$20:$B20)-SUM($C$20:$C20)&gt;=0),"",ABS(SUM($B$20:$B20)-SUM($C$20:$C20)))</f>
        <v/>
      </c>
    </row>
    <row r="21" spans="1:5" x14ac:dyDescent="0.25">
      <c r="A21" s="7">
        <v>40191</v>
      </c>
      <c r="B21" s="8"/>
      <c r="C21" s="8">
        <v>600</v>
      </c>
      <c r="D21" s="8" t="str">
        <f>IF(OR($A21="",SUM($B$20:$B21)-SUM($C$20:$C21)&lt;0),"",ABS(SUM($B$20:$B21)-SUM($C$20:$C21)))</f>
        <v/>
      </c>
      <c r="E21" s="8">
        <f>IF(OR($A21="",SUM($B$20:$B21)-SUM($C$20:$C21)&gt;=0),"",ABS(SUM($B$20:$B21)-SUM($C$20:$C21)))</f>
        <v>100</v>
      </c>
    </row>
    <row r="22" spans="1:5" x14ac:dyDescent="0.25">
      <c r="A22" s="7">
        <v>40192</v>
      </c>
      <c r="B22" s="8">
        <v>750</v>
      </c>
      <c r="C22" s="8"/>
      <c r="D22" s="8">
        <f>IF(OR($A22="",SUM($B$20:$B22)-SUM($C$20:$C22)&lt;0),"",ABS(SUM($B$20:$B22)-SUM($C$20:$C22)))</f>
        <v>650</v>
      </c>
      <c r="E22" s="8" t="str">
        <f>IF(OR($A22="",SUM($B$20:$B22)-SUM($C$20:$C22)&gt;=0),"",ABS(SUM($B$20:$B22)-SUM($C$20:$C22)))</f>
        <v/>
      </c>
    </row>
    <row r="23" spans="1:5" x14ac:dyDescent="0.25">
      <c r="A23" s="7">
        <v>40193</v>
      </c>
      <c r="B23" s="8"/>
      <c r="C23" s="8">
        <v>1000</v>
      </c>
      <c r="D23" s="8" t="str">
        <f>IF(OR($A23="",SUM($B$20:$B23)-SUM($C$20:$C23)&lt;0),"",ABS(SUM($B$20:$B23)-SUM($C$20:$C23)))</f>
        <v/>
      </c>
      <c r="E23" s="8">
        <f>IF(OR($A23="",SUM($B$20:$B23)-SUM($C$20:$C23)&gt;=0),"",ABS(SUM($B$20:$B23)-SUM($C$20:$C23)))</f>
        <v>350</v>
      </c>
    </row>
    <row r="24" spans="1:5" x14ac:dyDescent="0.25">
      <c r="A24" s="8"/>
      <c r="B24" s="8"/>
      <c r="C24" s="8"/>
      <c r="D24" s="8" t="str">
        <f>IF(OR($A24="",SUM($B$20:$B24)-SUM($C$20:$C24)&lt;0),"",ABS(SUM($B$20:$B24)-SUM($C$20:$C24)))</f>
        <v/>
      </c>
      <c r="E24" s="8" t="str">
        <f>IF(OR($A24="",SUM($B$20:$B24)-SUM($C$20:$C24)&gt;=0),"",ABS(SUM($B$20:$B24)-SUM($C$20:$C24)))</f>
        <v/>
      </c>
    </row>
    <row r="25" spans="1:5" x14ac:dyDescent="0.25">
      <c r="A25" s="8"/>
      <c r="B25" s="8"/>
      <c r="C25" s="8"/>
      <c r="D25" s="8" t="str">
        <f>IF(OR($A25="",SUM($B$20:$B25)-SUM($C$20:$C25)&lt;0),"",ABS(SUM($B$20:$B25)-SUM($C$20:$C25)))</f>
        <v/>
      </c>
      <c r="E25" s="8" t="str">
        <f>IF(OR($A25="",SUM($B$20:$B25)-SUM($C$20:$C25)&gt;=0),"",ABS(SUM($B$20:$B25)-SUM($C$20:$C25)))</f>
        <v/>
      </c>
    </row>
    <row r="26" spans="1:5" x14ac:dyDescent="0.25">
      <c r="C26" s="8" t="s">
        <v>90</v>
      </c>
      <c r="D26" s="8" t="str">
        <f>IF(SUM($B$20:$B$25)&gt;=SUM($C$20:$C$25),LOOKUP(10^10,D$20:D$25),"")</f>
        <v/>
      </c>
      <c r="E26" s="8">
        <f>IF(SUM($B$20:$B$25)&lt;SUM($C$20:$C$25),LOOKUP(10^10,E$20:E$25),"")</f>
        <v>350</v>
      </c>
    </row>
    <row r="28" spans="1:5" x14ac:dyDescent="0.25">
      <c r="C28" s="8" t="s">
        <v>102</v>
      </c>
      <c r="D28" s="8"/>
      <c r="E28" s="8">
        <f>SUM(D26:E26)</f>
        <v>350</v>
      </c>
    </row>
  </sheetData>
  <mergeCells count="4">
    <mergeCell ref="A18:A19"/>
    <mergeCell ref="B18:B19"/>
    <mergeCell ref="C18:C19"/>
    <mergeCell ref="D18:E1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rgb="FF0000FF"/>
  </sheetPr>
  <dimension ref="A1:D14"/>
  <sheetViews>
    <sheetView workbookViewId="0">
      <selection activeCell="B4" sqref="B4"/>
    </sheetView>
  </sheetViews>
  <sheetFormatPr defaultRowHeight="15" x14ac:dyDescent="0.25"/>
  <cols>
    <col min="1" max="1" width="17.140625" customWidth="1"/>
    <col min="2" max="2" width="19.7109375" customWidth="1"/>
  </cols>
  <sheetData>
    <row r="1" spans="1:4" ht="60" x14ac:dyDescent="0.25">
      <c r="A1" s="45" t="str">
        <f>"Cell "&amp;ADDRESS(ROW(B4),COLUMN(B4),4)&amp;" contains a formula because the 1st character in the cell is an equal sign and the cell does not have Text Number format"</f>
        <v>Cell B4 contains a formula because the 1st character in the cell is an equal sign and the cell does not have Text Number format</v>
      </c>
      <c r="B1" s="46"/>
    </row>
    <row r="2" spans="1:4" x14ac:dyDescent="0.25">
      <c r="A2" s="8" t="s">
        <v>37</v>
      </c>
      <c r="B2" s="8">
        <v>100</v>
      </c>
    </row>
    <row r="3" spans="1:4" x14ac:dyDescent="0.25">
      <c r="A3" s="8" t="s">
        <v>103</v>
      </c>
      <c r="B3" s="8">
        <v>91.25</v>
      </c>
    </row>
    <row r="4" spans="1:4" x14ac:dyDescent="0.25">
      <c r="A4" s="8" t="s">
        <v>104</v>
      </c>
      <c r="B4" s="8">
        <f>B2-B3</f>
        <v>8.75</v>
      </c>
    </row>
    <row r="6" spans="1:4" ht="30.6" customHeight="1" x14ac:dyDescent="0.25">
      <c r="A6" s="45" t="str">
        <f>"Cell "&amp;ADDRESS(ROW(B9),COLUMN(B9),4)&amp;" does NOT contain a formula because the 1st character in the cell is a space"</f>
        <v>Cell B9 does NOT contain a formula because the 1st character in the cell is a space</v>
      </c>
      <c r="B6" s="46"/>
    </row>
    <row r="7" spans="1:4" x14ac:dyDescent="0.25">
      <c r="A7" s="8" t="s">
        <v>37</v>
      </c>
      <c r="B7" s="8">
        <v>100</v>
      </c>
    </row>
    <row r="8" spans="1:4" x14ac:dyDescent="0.25">
      <c r="A8" s="8" t="s">
        <v>103</v>
      </c>
      <c r="B8" s="8">
        <v>91.25</v>
      </c>
      <c r="D8" t="s">
        <v>105</v>
      </c>
    </row>
    <row r="9" spans="1:4" x14ac:dyDescent="0.25">
      <c r="A9" s="8" t="s">
        <v>104</v>
      </c>
      <c r="B9" s="8" t="s">
        <v>106</v>
      </c>
      <c r="D9">
        <f>LEN(B9)</f>
        <v>7</v>
      </c>
    </row>
    <row r="11" spans="1:4" ht="45" x14ac:dyDescent="0.25">
      <c r="A11" s="45" t="str">
        <f>"Cell "&amp;ADDRESS(ROW(B9),COLUMN(B9),4)&amp;" does NOT contain a formula because the Text Number format has been applied to the cell"</f>
        <v>Cell B9 does NOT contain a formula because the Text Number format has been applied to the cell</v>
      </c>
      <c r="B11" s="46"/>
    </row>
    <row r="12" spans="1:4" x14ac:dyDescent="0.25">
      <c r="A12" s="8" t="s">
        <v>37</v>
      </c>
      <c r="B12" s="8">
        <v>100</v>
      </c>
    </row>
    <row r="13" spans="1:4" x14ac:dyDescent="0.25">
      <c r="A13" s="8" t="s">
        <v>103</v>
      </c>
      <c r="B13" s="8">
        <v>91.25</v>
      </c>
    </row>
    <row r="14" spans="1:4" x14ac:dyDescent="0.25">
      <c r="A14" s="8" t="s">
        <v>104</v>
      </c>
      <c r="B14" s="47" t="s">
        <v>107</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tabColor rgb="FF0000FF"/>
  </sheetPr>
  <dimension ref="A1:G83"/>
  <sheetViews>
    <sheetView workbookViewId="0">
      <selection activeCell="B5" sqref="B5"/>
    </sheetView>
  </sheetViews>
  <sheetFormatPr defaultColWidth="9.140625" defaultRowHeight="15" x14ac:dyDescent="0.25"/>
  <cols>
    <col min="1" max="1" width="15" customWidth="1"/>
    <col min="2" max="2" width="16.28515625" bestFit="1" customWidth="1"/>
    <col min="3" max="5" width="19.85546875" bestFit="1" customWidth="1"/>
    <col min="6" max="7" width="38.85546875" customWidth="1"/>
  </cols>
  <sheetData>
    <row r="1" spans="1:2" ht="30" x14ac:dyDescent="0.25">
      <c r="A1" s="48" t="s">
        <v>108</v>
      </c>
      <c r="B1" s="48"/>
    </row>
    <row r="2" spans="1:2" x14ac:dyDescent="0.25">
      <c r="A2" s="44" t="s">
        <v>109</v>
      </c>
      <c r="B2" s="49" t="s">
        <v>110</v>
      </c>
    </row>
    <row r="3" spans="1:2" ht="30" x14ac:dyDescent="0.25">
      <c r="A3" s="44" t="str">
        <f>"Number of "&amp;B2</f>
        <v>Number of 2 x 4 pine lumber</v>
      </c>
      <c r="B3" s="50">
        <v>15</v>
      </c>
    </row>
    <row r="4" spans="1:2" ht="30" x14ac:dyDescent="0.25">
      <c r="A4" s="44" t="str">
        <f>"Price per "&amp;B2</f>
        <v>Price per 2 x 4 pine lumber</v>
      </c>
      <c r="B4" s="51">
        <v>3.59</v>
      </c>
    </row>
    <row r="5" spans="1:2" x14ac:dyDescent="0.25">
      <c r="A5" s="44" t="s">
        <v>111</v>
      </c>
      <c r="B5" s="52"/>
    </row>
    <row r="7" spans="1:2" ht="30" x14ac:dyDescent="0.25">
      <c r="A7" s="48" t="s">
        <v>112</v>
      </c>
      <c r="B7" s="48"/>
    </row>
    <row r="8" spans="1:2" ht="30" x14ac:dyDescent="0.25">
      <c r="A8" s="44" t="s">
        <v>113</v>
      </c>
      <c r="B8" s="22">
        <v>5250</v>
      </c>
    </row>
    <row r="9" spans="1:2" ht="30" x14ac:dyDescent="0.25">
      <c r="A9" s="44" t="s">
        <v>114</v>
      </c>
      <c r="B9" s="23"/>
    </row>
    <row r="11" spans="1:2" ht="30" x14ac:dyDescent="0.25">
      <c r="A11" s="48" t="s">
        <v>115</v>
      </c>
      <c r="B11" s="48"/>
    </row>
    <row r="12" spans="1:2" x14ac:dyDescent="0.25">
      <c r="A12" s="14" t="s">
        <v>116</v>
      </c>
      <c r="B12" s="8">
        <v>88.5</v>
      </c>
    </row>
    <row r="13" spans="1:2" x14ac:dyDescent="0.25">
      <c r="A13" s="14" t="s">
        <v>117</v>
      </c>
      <c r="B13" s="8">
        <v>92</v>
      </c>
    </row>
    <row r="14" spans="1:2" x14ac:dyDescent="0.25">
      <c r="A14" s="14" t="s">
        <v>118</v>
      </c>
      <c r="B14" s="8">
        <v>67</v>
      </c>
    </row>
    <row r="15" spans="1:2" x14ac:dyDescent="0.25">
      <c r="A15" s="14" t="s">
        <v>119</v>
      </c>
      <c r="B15" s="11">
        <v>78</v>
      </c>
    </row>
    <row r="16" spans="1:2" x14ac:dyDescent="0.25">
      <c r="A16" s="53" t="s">
        <v>120</v>
      </c>
      <c r="B16" s="10"/>
    </row>
    <row r="18" spans="1:2" ht="30" x14ac:dyDescent="0.25">
      <c r="A18" s="48" t="s">
        <v>121</v>
      </c>
      <c r="B18" s="48"/>
    </row>
    <row r="19" spans="1:2" x14ac:dyDescent="0.25">
      <c r="A19" s="44" t="s">
        <v>122</v>
      </c>
      <c r="B19" s="8">
        <v>15000</v>
      </c>
    </row>
    <row r="20" spans="1:2" ht="30" x14ac:dyDescent="0.25">
      <c r="A20" s="44" t="s">
        <v>123</v>
      </c>
      <c r="B20" s="8">
        <v>4590</v>
      </c>
    </row>
    <row r="21" spans="1:2" ht="30" x14ac:dyDescent="0.25">
      <c r="A21" s="44" t="s">
        <v>124</v>
      </c>
      <c r="B21" s="8">
        <v>8022</v>
      </c>
    </row>
    <row r="22" spans="1:2" x14ac:dyDescent="0.25">
      <c r="A22" s="44" t="s">
        <v>125</v>
      </c>
      <c r="B22" s="11">
        <v>78</v>
      </c>
    </row>
    <row r="23" spans="1:2" x14ac:dyDescent="0.25">
      <c r="A23" s="54" t="s">
        <v>104</v>
      </c>
      <c r="B23" s="10"/>
    </row>
    <row r="25" spans="1:2" ht="30" x14ac:dyDescent="0.25">
      <c r="A25" s="48" t="s">
        <v>126</v>
      </c>
      <c r="B25" s="48"/>
    </row>
    <row r="26" spans="1:2" x14ac:dyDescent="0.25">
      <c r="A26" s="44" t="s">
        <v>100</v>
      </c>
      <c r="B26" s="14" t="s">
        <v>101</v>
      </c>
    </row>
    <row r="27" spans="1:2" x14ac:dyDescent="0.25">
      <c r="A27" s="346">
        <v>200</v>
      </c>
      <c r="B27" s="347">
        <v>200</v>
      </c>
    </row>
    <row r="28" spans="1:2" x14ac:dyDescent="0.25">
      <c r="A28" s="346">
        <v>50.01</v>
      </c>
      <c r="B28" s="347">
        <v>50.01</v>
      </c>
    </row>
    <row r="29" spans="1:2" x14ac:dyDescent="0.25">
      <c r="A29" s="346">
        <v>22.100999999999999</v>
      </c>
      <c r="B29" s="348">
        <v>22.1</v>
      </c>
    </row>
    <row r="30" spans="1:2" x14ac:dyDescent="0.25">
      <c r="A30" s="349"/>
      <c r="B30" s="349"/>
    </row>
    <row r="32" spans="1:2" x14ac:dyDescent="0.25">
      <c r="A32" s="8" t="s">
        <v>127</v>
      </c>
      <c r="B32" s="55"/>
    </row>
    <row r="34" spans="1:7" ht="45" x14ac:dyDescent="0.25">
      <c r="A34" s="48" t="s">
        <v>128</v>
      </c>
      <c r="B34" s="48"/>
      <c r="C34" s="48"/>
    </row>
    <row r="35" spans="1:7" x14ac:dyDescent="0.25">
      <c r="A35" s="14" t="s">
        <v>129</v>
      </c>
      <c r="B35" s="14" t="s">
        <v>130</v>
      </c>
      <c r="C35" s="14" t="s">
        <v>131</v>
      </c>
    </row>
    <row r="36" spans="1:7" x14ac:dyDescent="0.25">
      <c r="A36" s="8" t="s">
        <v>95</v>
      </c>
      <c r="B36" s="8" t="s">
        <v>1317</v>
      </c>
      <c r="C36" s="10"/>
    </row>
    <row r="37" spans="1:7" x14ac:dyDescent="0.25">
      <c r="A37" s="11" t="s">
        <v>4</v>
      </c>
      <c r="B37" s="8" t="s">
        <v>132</v>
      </c>
      <c r="C37" s="10"/>
    </row>
    <row r="38" spans="1:7" x14ac:dyDescent="0.25">
      <c r="A38" s="11" t="s">
        <v>3</v>
      </c>
      <c r="B38" s="11" t="s">
        <v>133</v>
      </c>
      <c r="C38" s="10"/>
    </row>
    <row r="39" spans="1:7" x14ac:dyDescent="0.25">
      <c r="A39" s="11" t="s">
        <v>134</v>
      </c>
      <c r="B39" s="11" t="s">
        <v>7</v>
      </c>
      <c r="C39" s="10"/>
    </row>
    <row r="40" spans="1:7" x14ac:dyDescent="0.25">
      <c r="A40" s="11" t="s">
        <v>135</v>
      </c>
      <c r="B40" s="11" t="s">
        <v>136</v>
      </c>
      <c r="C40" s="10"/>
    </row>
    <row r="42" spans="1:7" x14ac:dyDescent="0.25">
      <c r="A42" s="56" t="s">
        <v>37</v>
      </c>
      <c r="C42" s="56" t="s">
        <v>137</v>
      </c>
    </row>
    <row r="43" spans="1:7" x14ac:dyDescent="0.25">
      <c r="A43" s="22">
        <v>512</v>
      </c>
      <c r="C43" s="24">
        <v>500</v>
      </c>
    </row>
    <row r="44" spans="1:7" ht="30" x14ac:dyDescent="0.25">
      <c r="A44" s="22">
        <v>400</v>
      </c>
      <c r="C44" s="57" t="s">
        <v>138</v>
      </c>
      <c r="E44" s="58" t="s">
        <v>139</v>
      </c>
      <c r="F44" s="58"/>
      <c r="G44" s="58"/>
    </row>
    <row r="45" spans="1:7" x14ac:dyDescent="0.25">
      <c r="A45" s="22">
        <v>395</v>
      </c>
      <c r="C45" s="10"/>
      <c r="E45" s="58" t="s">
        <v>140</v>
      </c>
      <c r="F45" s="58"/>
      <c r="G45" s="58"/>
    </row>
    <row r="46" spans="1:7" x14ac:dyDescent="0.25">
      <c r="A46" s="22">
        <v>875</v>
      </c>
    </row>
    <row r="47" spans="1:7" x14ac:dyDescent="0.25">
      <c r="A47" s="22">
        <v>652</v>
      </c>
    </row>
    <row r="48" spans="1:7" x14ac:dyDescent="0.25">
      <c r="A48" s="22">
        <v>395</v>
      </c>
    </row>
    <row r="50" spans="1:6" ht="30" x14ac:dyDescent="0.25">
      <c r="A50" s="59" t="s">
        <v>1385</v>
      </c>
      <c r="B50" s="59"/>
      <c r="C50" s="59"/>
    </row>
    <row r="51" spans="1:6" x14ac:dyDescent="0.25">
      <c r="A51" s="60" t="s">
        <v>141</v>
      </c>
      <c r="B51" s="61"/>
      <c r="C51" s="61"/>
      <c r="D51" s="61"/>
      <c r="E51" s="62"/>
    </row>
    <row r="52" spans="1:6" x14ac:dyDescent="0.25">
      <c r="A52" s="56" t="s">
        <v>142</v>
      </c>
      <c r="B52" s="56" t="s">
        <v>143</v>
      </c>
      <c r="C52" s="56" t="s">
        <v>144</v>
      </c>
      <c r="D52" s="56" t="s">
        <v>145</v>
      </c>
      <c r="E52" s="56" t="s">
        <v>146</v>
      </c>
      <c r="F52" s="27"/>
    </row>
    <row r="53" spans="1:6" x14ac:dyDescent="0.25">
      <c r="A53" s="11" t="s">
        <v>147</v>
      </c>
      <c r="B53" s="8">
        <v>45.99</v>
      </c>
      <c r="C53" s="8">
        <v>23.78</v>
      </c>
      <c r="D53" s="8">
        <v>51.02</v>
      </c>
      <c r="E53" s="10"/>
    </row>
    <row r="54" spans="1:6" x14ac:dyDescent="0.25">
      <c r="A54" s="11" t="s">
        <v>148</v>
      </c>
      <c r="B54" s="8">
        <v>40.22</v>
      </c>
      <c r="C54" s="8">
        <v>42.32</v>
      </c>
      <c r="D54" s="8">
        <v>43.69</v>
      </c>
      <c r="E54" s="10"/>
    </row>
    <row r="55" spans="1:6" x14ac:dyDescent="0.25">
      <c r="A55" s="11" t="s">
        <v>149</v>
      </c>
      <c r="B55" s="8">
        <v>37.549999999999997</v>
      </c>
      <c r="C55" s="8">
        <v>34.200000000000003</v>
      </c>
      <c r="D55" s="8">
        <v>31.5</v>
      </c>
      <c r="E55" s="10"/>
    </row>
    <row r="56" spans="1:6" x14ac:dyDescent="0.25">
      <c r="A56" s="11" t="s">
        <v>150</v>
      </c>
      <c r="B56" s="8">
        <v>69.430000000000007</v>
      </c>
      <c r="C56" s="8">
        <v>0</v>
      </c>
      <c r="D56" s="8">
        <v>56.11</v>
      </c>
      <c r="E56" s="10"/>
    </row>
    <row r="58" spans="1:6" x14ac:dyDescent="0.25">
      <c r="A58" s="78" t="s">
        <v>1355</v>
      </c>
      <c r="B58" s="78"/>
      <c r="C58" s="78"/>
      <c r="D58" s="78"/>
    </row>
    <row r="60" spans="1:6" x14ac:dyDescent="0.25">
      <c r="A60" s="356" t="s">
        <v>1356</v>
      </c>
      <c r="B60" s="356" t="s">
        <v>1357</v>
      </c>
    </row>
    <row r="61" spans="1:6" x14ac:dyDescent="0.25">
      <c r="A61" s="8" t="s">
        <v>1358</v>
      </c>
      <c r="B61" s="10"/>
      <c r="C61" t="s">
        <v>1359</v>
      </c>
    </row>
    <row r="63" spans="1:6" x14ac:dyDescent="0.25">
      <c r="A63" s="18" t="s">
        <v>1356</v>
      </c>
      <c r="B63" s="18" t="s">
        <v>1360</v>
      </c>
      <c r="C63" s="18" t="s">
        <v>1361</v>
      </c>
      <c r="D63" s="18" t="s">
        <v>1362</v>
      </c>
    </row>
    <row r="64" spans="1:6" x14ac:dyDescent="0.25">
      <c r="A64" s="8" t="s">
        <v>1363</v>
      </c>
      <c r="B64" s="8" t="s">
        <v>1364</v>
      </c>
      <c r="C64" s="7">
        <v>39041</v>
      </c>
      <c r="D64" s="8" t="s">
        <v>1365</v>
      </c>
    </row>
    <row r="65" spans="1:4" x14ac:dyDescent="0.25">
      <c r="A65" s="357" t="s">
        <v>1366</v>
      </c>
      <c r="B65" s="8" t="s">
        <v>1367</v>
      </c>
      <c r="C65" s="7">
        <v>40571</v>
      </c>
      <c r="D65" s="8" t="s">
        <v>1368</v>
      </c>
    </row>
    <row r="66" spans="1:4" x14ac:dyDescent="0.25">
      <c r="A66" s="8" t="s">
        <v>1369</v>
      </c>
      <c r="B66" s="8" t="s">
        <v>1370</v>
      </c>
      <c r="C66" s="7">
        <v>39958</v>
      </c>
      <c r="D66" s="8" t="s">
        <v>1371</v>
      </c>
    </row>
    <row r="67" spans="1:4" x14ac:dyDescent="0.25">
      <c r="A67" s="357" t="s">
        <v>1372</v>
      </c>
      <c r="B67" s="8" t="s">
        <v>1364</v>
      </c>
      <c r="C67" s="7">
        <v>40073</v>
      </c>
      <c r="D67" s="8" t="s">
        <v>1373</v>
      </c>
    </row>
    <row r="68" spans="1:4" x14ac:dyDescent="0.25">
      <c r="A68" s="8" t="s">
        <v>1358</v>
      </c>
      <c r="B68" s="8" t="s">
        <v>1364</v>
      </c>
      <c r="C68" s="7">
        <v>38678</v>
      </c>
      <c r="D68" s="8" t="s">
        <v>1374</v>
      </c>
    </row>
    <row r="69" spans="1:4" x14ac:dyDescent="0.25">
      <c r="A69" s="8" t="s">
        <v>1375</v>
      </c>
      <c r="B69" s="8" t="s">
        <v>1367</v>
      </c>
      <c r="C69" s="7">
        <v>38473</v>
      </c>
      <c r="D69" s="8" t="s">
        <v>1376</v>
      </c>
    </row>
    <row r="70" spans="1:4" x14ac:dyDescent="0.25">
      <c r="A70" s="8" t="s">
        <v>1377</v>
      </c>
      <c r="B70" s="8" t="s">
        <v>1367</v>
      </c>
      <c r="C70" s="7">
        <v>39737</v>
      </c>
      <c r="D70" s="8" t="s">
        <v>1378</v>
      </c>
    </row>
    <row r="71" spans="1:4" x14ac:dyDescent="0.25">
      <c r="A71" s="8" t="s">
        <v>1379</v>
      </c>
      <c r="B71" s="8" t="s">
        <v>1370</v>
      </c>
      <c r="C71" s="7">
        <v>38646</v>
      </c>
      <c r="D71" s="8" t="s">
        <v>1380</v>
      </c>
    </row>
    <row r="73" spans="1:4" x14ac:dyDescent="0.25">
      <c r="A73" s="18" t="s">
        <v>0</v>
      </c>
      <c r="B73" s="18" t="s">
        <v>37</v>
      </c>
      <c r="D73" s="78" t="s">
        <v>1381</v>
      </c>
    </row>
    <row r="74" spans="1:4" x14ac:dyDescent="0.25">
      <c r="A74" s="7">
        <v>40143</v>
      </c>
      <c r="B74" s="22">
        <v>790772</v>
      </c>
      <c r="D74" s="8">
        <v>2010</v>
      </c>
    </row>
    <row r="75" spans="1:4" x14ac:dyDescent="0.25">
      <c r="A75" s="7">
        <v>40203</v>
      </c>
      <c r="B75" s="22">
        <v>669253</v>
      </c>
      <c r="D75" s="18" t="s">
        <v>1382</v>
      </c>
    </row>
    <row r="76" spans="1:4" x14ac:dyDescent="0.25">
      <c r="A76" s="7">
        <v>40573</v>
      </c>
      <c r="B76" s="22">
        <v>653699</v>
      </c>
      <c r="D76" s="23">
        <f>SUMPRODUCT(--(YEAR(A74:A81)=D74),B74:B81)</f>
        <v>3048762</v>
      </c>
    </row>
    <row r="77" spans="1:4" x14ac:dyDescent="0.25">
      <c r="A77" s="7">
        <v>40456</v>
      </c>
      <c r="B77" s="22">
        <v>638300</v>
      </c>
      <c r="D77" s="358" t="s">
        <v>1383</v>
      </c>
    </row>
    <row r="78" spans="1:4" x14ac:dyDescent="0.25">
      <c r="A78" s="7">
        <v>40204</v>
      </c>
      <c r="B78" s="22">
        <v>955656</v>
      </c>
      <c r="D78" t="s">
        <v>1384</v>
      </c>
    </row>
    <row r="79" spans="1:4" x14ac:dyDescent="0.25">
      <c r="A79" s="7">
        <v>40496</v>
      </c>
      <c r="B79" s="22">
        <v>785553</v>
      </c>
    </row>
    <row r="80" spans="1:4" x14ac:dyDescent="0.25">
      <c r="A80" s="7">
        <v>40108</v>
      </c>
      <c r="B80" s="22">
        <v>682300</v>
      </c>
    </row>
    <row r="81" spans="1:3" x14ac:dyDescent="0.25">
      <c r="A81" s="7">
        <v>40551</v>
      </c>
      <c r="B81" s="22">
        <v>623663</v>
      </c>
    </row>
    <row r="83" spans="1:3" x14ac:dyDescent="0.25">
      <c r="C83">
        <f>YEAR(A74)</f>
        <v>2009</v>
      </c>
    </row>
  </sheetData>
  <dataValidations count="1">
    <dataValidation type="list" allowBlank="1" showInputMessage="1" showErrorMessage="1" sqref="A61" xr:uid="{00000000-0002-0000-1600-000000000000}">
      <formula1>$A$64:$A$71</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tabColor rgb="FF0000FF"/>
  </sheetPr>
  <dimension ref="A1:B15"/>
  <sheetViews>
    <sheetView workbookViewId="0">
      <selection activeCell="C8" sqref="C8"/>
    </sheetView>
  </sheetViews>
  <sheetFormatPr defaultRowHeight="15" x14ac:dyDescent="0.25"/>
  <cols>
    <col min="1" max="1" width="40.28515625" bestFit="1" customWidth="1"/>
    <col min="2" max="2" width="19.85546875" bestFit="1" customWidth="1"/>
    <col min="3" max="3" width="10.5703125" bestFit="1" customWidth="1"/>
  </cols>
  <sheetData>
    <row r="1" spans="1:2" x14ac:dyDescent="0.25">
      <c r="A1" s="63" t="s">
        <v>151</v>
      </c>
      <c r="B1" s="64"/>
    </row>
    <row r="2" spans="1:2" x14ac:dyDescent="0.25">
      <c r="A2" s="8" t="s">
        <v>152</v>
      </c>
      <c r="B2" s="8" t="s">
        <v>153</v>
      </c>
    </row>
    <row r="3" spans="1:2" x14ac:dyDescent="0.25">
      <c r="A3" s="8" t="s">
        <v>154</v>
      </c>
      <c r="B3" s="8" t="s">
        <v>155</v>
      </c>
    </row>
    <row r="4" spans="1:2" x14ac:dyDescent="0.25">
      <c r="A4" s="8" t="s">
        <v>156</v>
      </c>
      <c r="B4" s="8" t="s">
        <v>157</v>
      </c>
    </row>
    <row r="5" spans="1:2" x14ac:dyDescent="0.25">
      <c r="A5" s="8" t="s">
        <v>158</v>
      </c>
      <c r="B5" s="8" t="s">
        <v>159</v>
      </c>
    </row>
    <row r="6" spans="1:2" x14ac:dyDescent="0.25">
      <c r="A6" s="8" t="s">
        <v>160</v>
      </c>
      <c r="B6" s="8" t="s">
        <v>161</v>
      </c>
    </row>
    <row r="7" spans="1:2" x14ac:dyDescent="0.25">
      <c r="A7" s="8" t="s">
        <v>162</v>
      </c>
      <c r="B7" s="8" t="s">
        <v>163</v>
      </c>
    </row>
    <row r="9" spans="1:2" x14ac:dyDescent="0.25">
      <c r="A9" s="65" t="s">
        <v>164</v>
      </c>
    </row>
    <row r="10" spans="1:2" x14ac:dyDescent="0.25">
      <c r="A10" s="8" t="s">
        <v>165</v>
      </c>
    </row>
    <row r="11" spans="1:2" x14ac:dyDescent="0.25">
      <c r="A11" s="8" t="s">
        <v>166</v>
      </c>
    </row>
    <row r="12" spans="1:2" x14ac:dyDescent="0.25">
      <c r="A12" s="8" t="s">
        <v>167</v>
      </c>
    </row>
    <row r="13" spans="1:2" x14ac:dyDescent="0.25">
      <c r="A13" s="8" t="s">
        <v>168</v>
      </c>
    </row>
    <row r="14" spans="1:2" x14ac:dyDescent="0.25">
      <c r="A14" s="8" t="s">
        <v>169</v>
      </c>
    </row>
    <row r="15" spans="1:2" x14ac:dyDescent="0.25">
      <c r="A15" s="8" t="s">
        <v>170</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tabColor rgb="FF0000FF"/>
  </sheetPr>
  <dimension ref="A1:O26"/>
  <sheetViews>
    <sheetView workbookViewId="0">
      <selection activeCell="I2" sqref="I2"/>
    </sheetView>
  </sheetViews>
  <sheetFormatPr defaultRowHeight="15" x14ac:dyDescent="0.25"/>
  <cols>
    <col min="1" max="1" width="2" bestFit="1" customWidth="1"/>
    <col min="2" max="2" width="9.85546875" bestFit="1" customWidth="1"/>
    <col min="3" max="3" width="49" customWidth="1"/>
    <col min="4" max="4" width="5.5703125" bestFit="1" customWidth="1"/>
    <col min="6" max="7" width="7.85546875" bestFit="1" customWidth="1"/>
    <col min="8" max="8" width="10.5703125" bestFit="1" customWidth="1"/>
    <col min="9" max="9" width="8.42578125" customWidth="1"/>
    <col min="10" max="10" width="3.7109375" customWidth="1"/>
    <col min="11" max="11" width="18.140625" bestFit="1" customWidth="1"/>
  </cols>
  <sheetData>
    <row r="1" spans="1:15" x14ac:dyDescent="0.25">
      <c r="A1" s="63" t="s">
        <v>171</v>
      </c>
      <c r="B1" s="64"/>
      <c r="C1" s="64"/>
      <c r="D1" s="64"/>
      <c r="F1" s="14" t="s">
        <v>172</v>
      </c>
      <c r="G1" s="14" t="s">
        <v>173</v>
      </c>
      <c r="H1" s="14" t="s">
        <v>174</v>
      </c>
      <c r="I1" s="14" t="s">
        <v>175</v>
      </c>
      <c r="J1" s="27"/>
    </row>
    <row r="2" spans="1:15" x14ac:dyDescent="0.25">
      <c r="A2" s="8">
        <v>1</v>
      </c>
      <c r="B2" s="8" t="s">
        <v>176</v>
      </c>
      <c r="C2" s="8" t="s">
        <v>177</v>
      </c>
      <c r="D2" s="8" t="s">
        <v>178</v>
      </c>
      <c r="F2" s="8">
        <v>10</v>
      </c>
      <c r="G2" s="8">
        <v>3</v>
      </c>
      <c r="H2" s="66">
        <v>5</v>
      </c>
      <c r="I2" s="67">
        <f>F2-G2*H2</f>
        <v>-5</v>
      </c>
    </row>
    <row r="3" spans="1:15" x14ac:dyDescent="0.25">
      <c r="A3" s="8">
        <v>2</v>
      </c>
      <c r="B3" s="8" t="s">
        <v>179</v>
      </c>
      <c r="C3" s="8" t="s">
        <v>180</v>
      </c>
      <c r="D3" s="8" t="s">
        <v>181</v>
      </c>
      <c r="F3" s="14" t="s">
        <v>172</v>
      </c>
      <c r="G3" s="14" t="s">
        <v>173</v>
      </c>
      <c r="H3" s="14" t="s">
        <v>174</v>
      </c>
      <c r="I3" s="14" t="s">
        <v>175</v>
      </c>
      <c r="J3" s="27"/>
      <c r="K3" s="27" t="s">
        <v>182</v>
      </c>
    </row>
    <row r="4" spans="1:15" x14ac:dyDescent="0.25">
      <c r="A4" s="8">
        <v>3</v>
      </c>
      <c r="B4" s="8" t="s">
        <v>183</v>
      </c>
      <c r="C4" s="8" t="s">
        <v>184</v>
      </c>
      <c r="D4" s="8" t="s">
        <v>185</v>
      </c>
      <c r="F4" s="8">
        <v>10</v>
      </c>
      <c r="G4" s="8">
        <v>3</v>
      </c>
      <c r="H4" s="66">
        <v>5</v>
      </c>
      <c r="I4" s="67">
        <f>(F4-G4)*H4</f>
        <v>35</v>
      </c>
      <c r="K4" t="str">
        <f>F4&amp;" - "&amp;G4&amp;" * "&amp;H4&amp;" = "&amp;F4-G4*H4</f>
        <v>10 - 3 * 5 = -5</v>
      </c>
    </row>
    <row r="5" spans="1:15" x14ac:dyDescent="0.25">
      <c r="A5" s="8">
        <v>4</v>
      </c>
      <c r="B5" s="8" t="s">
        <v>186</v>
      </c>
      <c r="C5" s="8" t="s">
        <v>1387</v>
      </c>
      <c r="D5" s="8" t="s">
        <v>187</v>
      </c>
      <c r="K5" t="str">
        <f>M5&amp;" - "&amp;N5*O5&amp;" = "&amp;M5-N5*O5</f>
        <v>10 - 15 = -5</v>
      </c>
      <c r="M5">
        <v>10</v>
      </c>
      <c r="N5">
        <v>3</v>
      </c>
      <c r="O5" s="68">
        <v>5</v>
      </c>
    </row>
    <row r="6" spans="1:15" x14ac:dyDescent="0.25">
      <c r="K6" t="str">
        <f>M6-N6*O6&amp;" = "&amp;M6-N6*O6</f>
        <v>-5 = -5</v>
      </c>
      <c r="M6">
        <v>10</v>
      </c>
      <c r="N6">
        <v>3</v>
      </c>
      <c r="O6" s="68">
        <v>5</v>
      </c>
    </row>
    <row r="7" spans="1:15" x14ac:dyDescent="0.25">
      <c r="C7" s="69" t="s">
        <v>188</v>
      </c>
      <c r="I7" s="78" t="s">
        <v>1386</v>
      </c>
    </row>
    <row r="8" spans="1:15" ht="15.75" x14ac:dyDescent="0.25">
      <c r="C8" s="70" t="s">
        <v>189</v>
      </c>
      <c r="I8" s="8">
        <f>(8+2)*2</f>
        <v>20</v>
      </c>
    </row>
    <row r="9" spans="1:15" ht="15.75" x14ac:dyDescent="0.25">
      <c r="C9" s="70" t="s">
        <v>190</v>
      </c>
      <c r="I9" s="78" t="s">
        <v>1386</v>
      </c>
    </row>
    <row r="10" spans="1:15" ht="15.75" x14ac:dyDescent="0.25">
      <c r="C10" s="71" t="s">
        <v>191</v>
      </c>
      <c r="E10" s="8">
        <v>9</v>
      </c>
      <c r="F10" s="8">
        <v>4</v>
      </c>
      <c r="G10" s="8">
        <v>32</v>
      </c>
      <c r="I10" s="8">
        <f>8+2*2</f>
        <v>12</v>
      </c>
    </row>
    <row r="11" spans="1:15" ht="15.75" x14ac:dyDescent="0.25">
      <c r="C11" s="70" t="s">
        <v>192</v>
      </c>
      <c r="E11" s="8">
        <v>14</v>
      </c>
      <c r="F11" s="8">
        <v>30</v>
      </c>
      <c r="G11" s="8">
        <v>7</v>
      </c>
    </row>
    <row r="12" spans="1:15" ht="15.75" x14ac:dyDescent="0.25">
      <c r="C12" s="71" t="s">
        <v>193</v>
      </c>
      <c r="E12" s="8">
        <v>29</v>
      </c>
      <c r="F12" s="9">
        <v>29</v>
      </c>
      <c r="G12" s="8">
        <v>26</v>
      </c>
    </row>
    <row r="13" spans="1:15" ht="15.75" x14ac:dyDescent="0.25">
      <c r="C13" s="70" t="s">
        <v>194</v>
      </c>
      <c r="E13" s="8">
        <v>11</v>
      </c>
      <c r="F13" s="8">
        <v>26</v>
      </c>
      <c r="G13" s="8">
        <v>30</v>
      </c>
    </row>
    <row r="14" spans="1:15" ht="15.75" x14ac:dyDescent="0.25">
      <c r="C14" s="71" t="s">
        <v>195</v>
      </c>
      <c r="E14" s="8">
        <v>27</v>
      </c>
      <c r="F14" s="8">
        <v>20</v>
      </c>
      <c r="G14" s="8">
        <v>12</v>
      </c>
    </row>
    <row r="15" spans="1:15" ht="15.75" x14ac:dyDescent="0.25">
      <c r="C15" s="70" t="s">
        <v>196</v>
      </c>
      <c r="E15" s="8">
        <v>33</v>
      </c>
      <c r="F15" s="8">
        <v>27</v>
      </c>
      <c r="G15" s="8">
        <v>2</v>
      </c>
    </row>
    <row r="16" spans="1:15" ht="15.75" x14ac:dyDescent="0.25">
      <c r="C16" s="71" t="s">
        <v>197</v>
      </c>
    </row>
    <row r="17" spans="3:6" ht="15.75" x14ac:dyDescent="0.25">
      <c r="C17" s="71" t="s">
        <v>198</v>
      </c>
      <c r="E17" t="s">
        <v>199</v>
      </c>
      <c r="F17" s="9">
        <f>E12:G12 F10:F15</f>
        <v>29</v>
      </c>
    </row>
    <row r="18" spans="3:6" ht="15.75" x14ac:dyDescent="0.25">
      <c r="C18" s="70" t="s">
        <v>200</v>
      </c>
      <c r="E18" t="s">
        <v>201</v>
      </c>
      <c r="F18">
        <f>SUM(E10:G10,E14:G14)</f>
        <v>104</v>
      </c>
    </row>
    <row r="19" spans="3:6" ht="15.75" x14ac:dyDescent="0.25">
      <c r="C19" s="70" t="s">
        <v>202</v>
      </c>
      <c r="F19">
        <f>(1000-SUM(F10:F15 E12:G12,E10:G10))</f>
        <v>926</v>
      </c>
    </row>
    <row r="20" spans="3:6" ht="15.75" x14ac:dyDescent="0.25">
      <c r="C20" s="71" t="s">
        <v>203</v>
      </c>
    </row>
    <row r="21" spans="3:6" ht="15.75" x14ac:dyDescent="0.25">
      <c r="C21" s="71" t="s">
        <v>204</v>
      </c>
    </row>
    <row r="22" spans="3:6" ht="15.75" x14ac:dyDescent="0.25">
      <c r="C22" s="70" t="s">
        <v>205</v>
      </c>
    </row>
    <row r="23" spans="3:6" ht="15.75" x14ac:dyDescent="0.25">
      <c r="C23" s="70" t="s">
        <v>206</v>
      </c>
    </row>
    <row r="24" spans="3:6" ht="15.75" x14ac:dyDescent="0.25">
      <c r="C24" s="70" t="s">
        <v>207</v>
      </c>
    </row>
    <row r="25" spans="3:6" ht="15.75" x14ac:dyDescent="0.25">
      <c r="C25" s="70" t="s">
        <v>208</v>
      </c>
    </row>
    <row r="26" spans="3:6" ht="15.75" x14ac:dyDescent="0.25">
      <c r="C26" s="70" t="s">
        <v>209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tabColor rgb="FF0000FF"/>
  </sheetPr>
  <dimension ref="A1:J4"/>
  <sheetViews>
    <sheetView workbookViewId="0">
      <selection activeCell="E2" sqref="E2"/>
    </sheetView>
  </sheetViews>
  <sheetFormatPr defaultRowHeight="15" x14ac:dyDescent="0.25"/>
  <cols>
    <col min="1" max="3" width="9.140625" customWidth="1"/>
    <col min="4" max="4" width="28" customWidth="1"/>
    <col min="5" max="5" width="18.7109375" customWidth="1"/>
    <col min="6" max="6" width="1.28515625" customWidth="1"/>
    <col min="7" max="8" width="15" customWidth="1"/>
    <col min="10" max="10" width="13.5703125" bestFit="1" customWidth="1"/>
  </cols>
  <sheetData>
    <row r="1" spans="1:10" ht="30" x14ac:dyDescent="0.25">
      <c r="A1" s="12" t="s">
        <v>37</v>
      </c>
      <c r="B1" s="12" t="s">
        <v>103</v>
      </c>
      <c r="C1" s="12" t="s">
        <v>210</v>
      </c>
      <c r="D1" s="12" t="s">
        <v>211</v>
      </c>
      <c r="E1" s="12" t="s">
        <v>212</v>
      </c>
    </row>
    <row r="2" spans="1:10" ht="30" x14ac:dyDescent="0.25">
      <c r="A2" s="66">
        <v>500</v>
      </c>
      <c r="B2" s="66">
        <v>392</v>
      </c>
      <c r="C2" s="66">
        <v>100</v>
      </c>
      <c r="D2" s="72" t="str">
        <f>"Is "&amp;A2&amp;"-"&amp;B2&amp;" &gt; "&amp;C2&amp;" TRUE or FALSE?"</f>
        <v>Is 500-392 &gt; 100 TRUE or FALSE?</v>
      </c>
      <c r="E2" s="10"/>
      <c r="G2" s="73" t="s">
        <v>213</v>
      </c>
      <c r="H2" s="73" t="s">
        <v>214</v>
      </c>
      <c r="J2" t="str">
        <f>A2&amp;" - "&amp;B2&amp;" &gt; "&amp;C2</f>
        <v>500 - 392 &gt; 100</v>
      </c>
    </row>
    <row r="3" spans="1:10" x14ac:dyDescent="0.25">
      <c r="A3" s="66">
        <v>500</v>
      </c>
      <c r="B3" s="66">
        <v>392</v>
      </c>
      <c r="C3" s="66">
        <v>100</v>
      </c>
      <c r="D3" s="72" t="str">
        <f>"Is "&amp;A3&amp;"-"&amp;B3&amp;" &gt; "&amp;C3&amp;", "&amp;G3&amp;" or "&amp;H3&amp;"?"</f>
        <v>Is 500-392 &gt; 100, Yes or No?</v>
      </c>
      <c r="E3" s="74"/>
      <c r="G3" s="8" t="s">
        <v>215</v>
      </c>
      <c r="H3" s="8" t="s">
        <v>216</v>
      </c>
      <c r="J3" t="str">
        <f>A2-B2&amp;" &gt; "&amp;C2</f>
        <v>108 &gt; 100</v>
      </c>
    </row>
    <row r="4" spans="1:10" x14ac:dyDescent="0.25">
      <c r="A4" s="66">
        <v>500</v>
      </c>
      <c r="B4" s="66">
        <v>392</v>
      </c>
      <c r="C4" s="66">
        <v>100</v>
      </c>
      <c r="D4" s="72" t="str">
        <f>"Is "&amp;A4&amp;"-"&amp;B4&amp;" &gt; "&amp;C4&amp;", "&amp;G4&amp;" or "&amp;H4&amp;"?"</f>
        <v>Is 500-392 &gt; 100, 10 or 0?</v>
      </c>
      <c r="E4" s="74"/>
      <c r="G4" s="22">
        <v>10</v>
      </c>
      <c r="H4" s="22">
        <v>0</v>
      </c>
      <c r="J4" t="b">
        <f>A2-B2&gt;C2</f>
        <v>1</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tabColor rgb="FF0000FF"/>
  </sheetPr>
  <dimension ref="A1:J14"/>
  <sheetViews>
    <sheetView workbookViewId="0">
      <selection activeCell="C8" sqref="C8"/>
    </sheetView>
  </sheetViews>
  <sheetFormatPr defaultRowHeight="15" x14ac:dyDescent="0.25"/>
  <cols>
    <col min="1" max="1" width="8.7109375" bestFit="1" customWidth="1"/>
    <col min="2" max="3" width="7.28515625" bestFit="1" customWidth="1"/>
    <col min="4" max="4" width="11.42578125" bestFit="1" customWidth="1"/>
    <col min="7" max="7" width="9.140625" customWidth="1"/>
    <col min="8" max="8" width="7.140625" bestFit="1" customWidth="1"/>
    <col min="9" max="9" width="8.28515625" bestFit="1" customWidth="1"/>
    <col min="10" max="10" width="10.85546875" bestFit="1" customWidth="1"/>
  </cols>
  <sheetData>
    <row r="1" spans="1:10" x14ac:dyDescent="0.25">
      <c r="A1" s="5" t="s">
        <v>0</v>
      </c>
      <c r="B1" s="5" t="s">
        <v>37</v>
      </c>
      <c r="C1" s="5" t="s">
        <v>175</v>
      </c>
      <c r="D1" s="5" t="s">
        <v>217</v>
      </c>
      <c r="G1" s="18" t="s">
        <v>37</v>
      </c>
      <c r="H1" s="18" t="s">
        <v>218</v>
      </c>
      <c r="I1" s="18" t="s">
        <v>219</v>
      </c>
      <c r="J1" s="18" t="s">
        <v>137</v>
      </c>
    </row>
    <row r="2" spans="1:10" x14ac:dyDescent="0.25">
      <c r="A2" s="75">
        <v>40853</v>
      </c>
      <c r="B2" s="66">
        <v>7038</v>
      </c>
      <c r="C2" s="76">
        <f>B2*F$14</f>
        <v>457.47</v>
      </c>
      <c r="D2" s="76">
        <f t="shared" ref="D2:D4" si="0">B2-C2</f>
        <v>6580.53</v>
      </c>
      <c r="G2" s="66">
        <v>15000</v>
      </c>
      <c r="H2" s="77"/>
      <c r="I2" s="66">
        <v>500</v>
      </c>
      <c r="J2" s="66">
        <v>10000</v>
      </c>
    </row>
    <row r="3" spans="1:10" x14ac:dyDescent="0.25">
      <c r="A3" s="75">
        <v>40854</v>
      </c>
      <c r="B3" s="66">
        <v>5938</v>
      </c>
      <c r="C3" s="76">
        <f>B3*F$14</f>
        <v>385.97</v>
      </c>
      <c r="D3" s="76">
        <f t="shared" si="0"/>
        <v>5552.03</v>
      </c>
    </row>
    <row r="4" spans="1:10" x14ac:dyDescent="0.25">
      <c r="A4" s="75">
        <v>40855</v>
      </c>
      <c r="B4" s="66">
        <v>6578</v>
      </c>
      <c r="C4" s="76">
        <f>B4*F$14</f>
        <v>427.57</v>
      </c>
      <c r="D4" s="76">
        <f t="shared" si="0"/>
        <v>6150.43</v>
      </c>
    </row>
    <row r="5" spans="1:10" x14ac:dyDescent="0.25">
      <c r="A5" s="75">
        <v>40856</v>
      </c>
      <c r="B5" s="66">
        <v>7890</v>
      </c>
      <c r="C5" s="76"/>
      <c r="D5" s="76"/>
    </row>
    <row r="6" spans="1:10" x14ac:dyDescent="0.25">
      <c r="A6" s="75"/>
      <c r="B6" s="66"/>
      <c r="C6" s="76"/>
      <c r="D6" s="10"/>
    </row>
    <row r="7" spans="1:10" x14ac:dyDescent="0.25">
      <c r="A7" s="75"/>
      <c r="B7" s="66"/>
      <c r="C7" s="76"/>
      <c r="D7" s="10"/>
    </row>
    <row r="8" spans="1:10" x14ac:dyDescent="0.25">
      <c r="A8" s="75"/>
      <c r="B8" s="66"/>
      <c r="C8" s="76"/>
      <c r="D8" s="10"/>
    </row>
    <row r="9" spans="1:10" x14ac:dyDescent="0.25">
      <c r="A9" s="75"/>
      <c r="B9" s="66"/>
      <c r="C9" s="76"/>
      <c r="D9" s="10"/>
    </row>
    <row r="10" spans="1:10" x14ac:dyDescent="0.25">
      <c r="A10" s="75"/>
      <c r="B10" s="66"/>
      <c r="C10" s="76"/>
      <c r="D10" s="10"/>
    </row>
    <row r="11" spans="1:10" x14ac:dyDescent="0.25">
      <c r="A11" s="75"/>
      <c r="B11" s="66"/>
      <c r="C11" s="76"/>
      <c r="D11" s="10"/>
    </row>
    <row r="13" spans="1:10" x14ac:dyDescent="0.25">
      <c r="F13" s="78" t="s">
        <v>220</v>
      </c>
    </row>
    <row r="14" spans="1:10" x14ac:dyDescent="0.25">
      <c r="F14" s="79">
        <v>6.5000000000000002E-2</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rgb="FF0000FF"/>
  </sheetPr>
  <dimension ref="A1:D7"/>
  <sheetViews>
    <sheetView workbookViewId="0">
      <selection activeCell="C8" sqref="C8"/>
    </sheetView>
  </sheetViews>
  <sheetFormatPr defaultColWidth="17.140625" defaultRowHeight="15" x14ac:dyDescent="0.25"/>
  <cols>
    <col min="1" max="1" width="6.85546875" bestFit="1" customWidth="1"/>
    <col min="2" max="2" width="13.85546875" bestFit="1" customWidth="1"/>
    <col min="3" max="3" width="14.28515625" bestFit="1" customWidth="1"/>
    <col min="4" max="4" width="11.28515625" bestFit="1" customWidth="1"/>
    <col min="258" max="258" width="11.85546875" bestFit="1" customWidth="1"/>
    <col min="259" max="259" width="10.5703125" bestFit="1" customWidth="1"/>
    <col min="514" max="514" width="11.85546875" bestFit="1" customWidth="1"/>
    <col min="515" max="515" width="10.5703125" bestFit="1" customWidth="1"/>
    <col min="770" max="770" width="11.85546875" bestFit="1" customWidth="1"/>
    <col min="771" max="771" width="10.5703125" bestFit="1" customWidth="1"/>
    <col min="1026" max="1026" width="11.85546875" bestFit="1" customWidth="1"/>
    <col min="1027" max="1027" width="10.5703125" bestFit="1" customWidth="1"/>
    <col min="1282" max="1282" width="11.85546875" bestFit="1" customWidth="1"/>
    <col min="1283" max="1283" width="10.5703125" bestFit="1" customWidth="1"/>
    <col min="1538" max="1538" width="11.85546875" bestFit="1" customWidth="1"/>
    <col min="1539" max="1539" width="10.5703125" bestFit="1" customWidth="1"/>
    <col min="1794" max="1794" width="11.85546875" bestFit="1" customWidth="1"/>
    <col min="1795" max="1795" width="10.5703125" bestFit="1" customWidth="1"/>
    <col min="2050" max="2050" width="11.85546875" bestFit="1" customWidth="1"/>
    <col min="2051" max="2051" width="10.5703125" bestFit="1" customWidth="1"/>
    <col min="2306" max="2306" width="11.85546875" bestFit="1" customWidth="1"/>
    <col min="2307" max="2307" width="10.5703125" bestFit="1" customWidth="1"/>
    <col min="2562" max="2562" width="11.85546875" bestFit="1" customWidth="1"/>
    <col min="2563" max="2563" width="10.5703125" bestFit="1" customWidth="1"/>
    <col min="2818" max="2818" width="11.85546875" bestFit="1" customWidth="1"/>
    <col min="2819" max="2819" width="10.5703125" bestFit="1" customWidth="1"/>
    <col min="3074" max="3074" width="11.85546875" bestFit="1" customWidth="1"/>
    <col min="3075" max="3075" width="10.5703125" bestFit="1" customWidth="1"/>
    <col min="3330" max="3330" width="11.85546875" bestFit="1" customWidth="1"/>
    <col min="3331" max="3331" width="10.5703125" bestFit="1" customWidth="1"/>
    <col min="3586" max="3586" width="11.85546875" bestFit="1" customWidth="1"/>
    <col min="3587" max="3587" width="10.5703125" bestFit="1" customWidth="1"/>
    <col min="3842" max="3842" width="11.85546875" bestFit="1" customWidth="1"/>
    <col min="3843" max="3843" width="10.5703125" bestFit="1" customWidth="1"/>
    <col min="4098" max="4098" width="11.85546875" bestFit="1" customWidth="1"/>
    <col min="4099" max="4099" width="10.5703125" bestFit="1" customWidth="1"/>
    <col min="4354" max="4354" width="11.85546875" bestFit="1" customWidth="1"/>
    <col min="4355" max="4355" width="10.5703125" bestFit="1" customWidth="1"/>
    <col min="4610" max="4610" width="11.85546875" bestFit="1" customWidth="1"/>
    <col min="4611" max="4611" width="10.5703125" bestFit="1" customWidth="1"/>
    <col min="4866" max="4866" width="11.85546875" bestFit="1" customWidth="1"/>
    <col min="4867" max="4867" width="10.5703125" bestFit="1" customWidth="1"/>
    <col min="5122" max="5122" width="11.85546875" bestFit="1" customWidth="1"/>
    <col min="5123" max="5123" width="10.5703125" bestFit="1" customWidth="1"/>
    <col min="5378" max="5378" width="11.85546875" bestFit="1" customWidth="1"/>
    <col min="5379" max="5379" width="10.5703125" bestFit="1" customWidth="1"/>
    <col min="5634" max="5634" width="11.85546875" bestFit="1" customWidth="1"/>
    <col min="5635" max="5635" width="10.5703125" bestFit="1" customWidth="1"/>
    <col min="5890" max="5890" width="11.85546875" bestFit="1" customWidth="1"/>
    <col min="5891" max="5891" width="10.5703125" bestFit="1" customWidth="1"/>
    <col min="6146" max="6146" width="11.85546875" bestFit="1" customWidth="1"/>
    <col min="6147" max="6147" width="10.5703125" bestFit="1" customWidth="1"/>
    <col min="6402" max="6402" width="11.85546875" bestFit="1" customWidth="1"/>
    <col min="6403" max="6403" width="10.5703125" bestFit="1" customWidth="1"/>
    <col min="6658" max="6658" width="11.85546875" bestFit="1" customWidth="1"/>
    <col min="6659" max="6659" width="10.5703125" bestFit="1" customWidth="1"/>
    <col min="6914" max="6914" width="11.85546875" bestFit="1" customWidth="1"/>
    <col min="6915" max="6915" width="10.5703125" bestFit="1" customWidth="1"/>
    <col min="7170" max="7170" width="11.85546875" bestFit="1" customWidth="1"/>
    <col min="7171" max="7171" width="10.5703125" bestFit="1" customWidth="1"/>
    <col min="7426" max="7426" width="11.85546875" bestFit="1" customWidth="1"/>
    <col min="7427" max="7427" width="10.5703125" bestFit="1" customWidth="1"/>
    <col min="7682" max="7682" width="11.85546875" bestFit="1" customWidth="1"/>
    <col min="7683" max="7683" width="10.5703125" bestFit="1" customWidth="1"/>
    <col min="7938" max="7938" width="11.85546875" bestFit="1" customWidth="1"/>
    <col min="7939" max="7939" width="10.5703125" bestFit="1" customWidth="1"/>
    <col min="8194" max="8194" width="11.85546875" bestFit="1" customWidth="1"/>
    <col min="8195" max="8195" width="10.5703125" bestFit="1" customWidth="1"/>
    <col min="8450" max="8450" width="11.85546875" bestFit="1" customWidth="1"/>
    <col min="8451" max="8451" width="10.5703125" bestFit="1" customWidth="1"/>
    <col min="8706" max="8706" width="11.85546875" bestFit="1" customWidth="1"/>
    <col min="8707" max="8707" width="10.5703125" bestFit="1" customWidth="1"/>
    <col min="8962" max="8962" width="11.85546875" bestFit="1" customWidth="1"/>
    <col min="8963" max="8963" width="10.5703125" bestFit="1" customWidth="1"/>
    <col min="9218" max="9218" width="11.85546875" bestFit="1" customWidth="1"/>
    <col min="9219" max="9219" width="10.5703125" bestFit="1" customWidth="1"/>
    <col min="9474" max="9474" width="11.85546875" bestFit="1" customWidth="1"/>
    <col min="9475" max="9475" width="10.5703125" bestFit="1" customWidth="1"/>
    <col min="9730" max="9730" width="11.85546875" bestFit="1" customWidth="1"/>
    <col min="9731" max="9731" width="10.5703125" bestFit="1" customWidth="1"/>
    <col min="9986" max="9986" width="11.85546875" bestFit="1" customWidth="1"/>
    <col min="9987" max="9987" width="10.5703125" bestFit="1" customWidth="1"/>
    <col min="10242" max="10242" width="11.85546875" bestFit="1" customWidth="1"/>
    <col min="10243" max="10243" width="10.5703125" bestFit="1" customWidth="1"/>
    <col min="10498" max="10498" width="11.85546875" bestFit="1" customWidth="1"/>
    <col min="10499" max="10499" width="10.5703125" bestFit="1" customWidth="1"/>
    <col min="10754" max="10754" width="11.85546875" bestFit="1" customWidth="1"/>
    <col min="10755" max="10755" width="10.5703125" bestFit="1" customWidth="1"/>
    <col min="11010" max="11010" width="11.85546875" bestFit="1" customWidth="1"/>
    <col min="11011" max="11011" width="10.5703125" bestFit="1" customWidth="1"/>
    <col min="11266" max="11266" width="11.85546875" bestFit="1" customWidth="1"/>
    <col min="11267" max="11267" width="10.5703125" bestFit="1" customWidth="1"/>
    <col min="11522" max="11522" width="11.85546875" bestFit="1" customWidth="1"/>
    <col min="11523" max="11523" width="10.5703125" bestFit="1" customWidth="1"/>
    <col min="11778" max="11778" width="11.85546875" bestFit="1" customWidth="1"/>
    <col min="11779" max="11779" width="10.5703125" bestFit="1" customWidth="1"/>
    <col min="12034" max="12034" width="11.85546875" bestFit="1" customWidth="1"/>
    <col min="12035" max="12035" width="10.5703125" bestFit="1" customWidth="1"/>
    <col min="12290" max="12290" width="11.85546875" bestFit="1" customWidth="1"/>
    <col min="12291" max="12291" width="10.5703125" bestFit="1" customWidth="1"/>
    <col min="12546" max="12546" width="11.85546875" bestFit="1" customWidth="1"/>
    <col min="12547" max="12547" width="10.5703125" bestFit="1" customWidth="1"/>
    <col min="12802" max="12802" width="11.85546875" bestFit="1" customWidth="1"/>
    <col min="12803" max="12803" width="10.5703125" bestFit="1" customWidth="1"/>
    <col min="13058" max="13058" width="11.85546875" bestFit="1" customWidth="1"/>
    <col min="13059" max="13059" width="10.5703125" bestFit="1" customWidth="1"/>
    <col min="13314" max="13314" width="11.85546875" bestFit="1" customWidth="1"/>
    <col min="13315" max="13315" width="10.5703125" bestFit="1" customWidth="1"/>
    <col min="13570" max="13570" width="11.85546875" bestFit="1" customWidth="1"/>
    <col min="13571" max="13571" width="10.5703125" bestFit="1" customWidth="1"/>
    <col min="13826" max="13826" width="11.85546875" bestFit="1" customWidth="1"/>
    <col min="13827" max="13827" width="10.5703125" bestFit="1" customWidth="1"/>
    <col min="14082" max="14082" width="11.85546875" bestFit="1" customWidth="1"/>
    <col min="14083" max="14083" width="10.5703125" bestFit="1" customWidth="1"/>
    <col min="14338" max="14338" width="11.85546875" bestFit="1" customWidth="1"/>
    <col min="14339" max="14339" width="10.5703125" bestFit="1" customWidth="1"/>
    <col min="14594" max="14594" width="11.85546875" bestFit="1" customWidth="1"/>
    <col min="14595" max="14595" width="10.5703125" bestFit="1" customWidth="1"/>
    <col min="14850" max="14850" width="11.85546875" bestFit="1" customWidth="1"/>
    <col min="14851" max="14851" width="10.5703125" bestFit="1" customWidth="1"/>
    <col min="15106" max="15106" width="11.85546875" bestFit="1" customWidth="1"/>
    <col min="15107" max="15107" width="10.5703125" bestFit="1" customWidth="1"/>
    <col min="15362" max="15362" width="11.85546875" bestFit="1" customWidth="1"/>
    <col min="15363" max="15363" width="10.5703125" bestFit="1" customWidth="1"/>
    <col min="15618" max="15618" width="11.85546875" bestFit="1" customWidth="1"/>
    <col min="15619" max="15619" width="10.5703125" bestFit="1" customWidth="1"/>
    <col min="15874" max="15874" width="11.85546875" bestFit="1" customWidth="1"/>
    <col min="15875" max="15875" width="10.5703125" bestFit="1" customWidth="1"/>
    <col min="16130" max="16130" width="11.85546875" bestFit="1" customWidth="1"/>
    <col min="16131" max="16131" width="10.5703125" bestFit="1" customWidth="1"/>
  </cols>
  <sheetData>
    <row r="1" spans="1:4" x14ac:dyDescent="0.25">
      <c r="A1" s="14" t="s">
        <v>221</v>
      </c>
      <c r="B1" s="14" t="s">
        <v>222</v>
      </c>
      <c r="C1" s="14" t="s">
        <v>223</v>
      </c>
      <c r="D1" s="14" t="s">
        <v>104</v>
      </c>
    </row>
    <row r="2" spans="1:4" x14ac:dyDescent="0.25">
      <c r="A2" s="8" t="s">
        <v>66</v>
      </c>
      <c r="B2" s="80">
        <v>20000</v>
      </c>
      <c r="C2" s="80">
        <v>13050</v>
      </c>
      <c r="D2" s="81"/>
    </row>
    <row r="3" spans="1:4" x14ac:dyDescent="0.25">
      <c r="A3" s="8" t="s">
        <v>67</v>
      </c>
      <c r="B3" s="80">
        <v>20300</v>
      </c>
      <c r="C3" s="80">
        <v>13245.75</v>
      </c>
      <c r="D3" s="81"/>
    </row>
    <row r="4" spans="1:4" x14ac:dyDescent="0.25">
      <c r="A4" s="8" t="s">
        <v>68</v>
      </c>
      <c r="B4" s="80">
        <v>20604.5</v>
      </c>
      <c r="C4" s="80">
        <v>13444.449999999999</v>
      </c>
      <c r="D4" s="81"/>
    </row>
    <row r="5" spans="1:4" x14ac:dyDescent="0.25">
      <c r="A5" s="8" t="s">
        <v>69</v>
      </c>
      <c r="B5" s="80">
        <v>20913.57</v>
      </c>
      <c r="C5" s="80">
        <v>13646.11</v>
      </c>
      <c r="D5" s="81"/>
    </row>
    <row r="6" spans="1:4" x14ac:dyDescent="0.25">
      <c r="A6" s="8" t="s">
        <v>70</v>
      </c>
      <c r="B6" s="80">
        <v>21227.27</v>
      </c>
      <c r="C6" s="80">
        <v>13850.809999999998</v>
      </c>
      <c r="D6" s="81"/>
    </row>
    <row r="7" spans="1:4" x14ac:dyDescent="0.25">
      <c r="A7" s="8" t="s">
        <v>71</v>
      </c>
      <c r="B7" s="80">
        <v>21545.68</v>
      </c>
      <c r="C7" s="80">
        <v>14058.539999999999</v>
      </c>
      <c r="D7" s="8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0000FF"/>
  </sheetPr>
  <dimension ref="A1:L19"/>
  <sheetViews>
    <sheetView workbookViewId="0">
      <selection activeCell="E3" sqref="E3"/>
    </sheetView>
  </sheetViews>
  <sheetFormatPr defaultRowHeight="12.75" x14ac:dyDescent="0.2"/>
  <cols>
    <col min="1" max="1" width="15.5703125" style="82" customWidth="1"/>
    <col min="2" max="7" width="9.7109375" style="82" customWidth="1"/>
    <col min="8" max="8" width="10.7109375" style="82" customWidth="1"/>
    <col min="9" max="256" width="8.85546875" style="82"/>
    <col min="257" max="257" width="12.7109375" style="82" customWidth="1"/>
    <col min="258" max="264" width="10.7109375" style="82" customWidth="1"/>
    <col min="265" max="512" width="8.85546875" style="82"/>
    <col min="513" max="513" width="12.7109375" style="82" customWidth="1"/>
    <col min="514" max="520" width="10.7109375" style="82" customWidth="1"/>
    <col min="521" max="768" width="8.85546875" style="82"/>
    <col min="769" max="769" width="12.7109375" style="82" customWidth="1"/>
    <col min="770" max="776" width="10.7109375" style="82" customWidth="1"/>
    <col min="777" max="1024" width="8.85546875" style="82"/>
    <col min="1025" max="1025" width="12.7109375" style="82" customWidth="1"/>
    <col min="1026" max="1032" width="10.7109375" style="82" customWidth="1"/>
    <col min="1033" max="1280" width="8.85546875" style="82"/>
    <col min="1281" max="1281" width="12.7109375" style="82" customWidth="1"/>
    <col min="1282" max="1288" width="10.7109375" style="82" customWidth="1"/>
    <col min="1289" max="1536" width="8.85546875" style="82"/>
    <col min="1537" max="1537" width="12.7109375" style="82" customWidth="1"/>
    <col min="1538" max="1544" width="10.7109375" style="82" customWidth="1"/>
    <col min="1545" max="1792" width="8.85546875" style="82"/>
    <col min="1793" max="1793" width="12.7109375" style="82" customWidth="1"/>
    <col min="1794" max="1800" width="10.7109375" style="82" customWidth="1"/>
    <col min="1801" max="2048" width="8.85546875" style="82"/>
    <col min="2049" max="2049" width="12.7109375" style="82" customWidth="1"/>
    <col min="2050" max="2056" width="10.7109375" style="82" customWidth="1"/>
    <col min="2057" max="2304" width="8.85546875" style="82"/>
    <col min="2305" max="2305" width="12.7109375" style="82" customWidth="1"/>
    <col min="2306" max="2312" width="10.7109375" style="82" customWidth="1"/>
    <col min="2313" max="2560" width="8.85546875" style="82"/>
    <col min="2561" max="2561" width="12.7109375" style="82" customWidth="1"/>
    <col min="2562" max="2568" width="10.7109375" style="82" customWidth="1"/>
    <col min="2569" max="2816" width="8.85546875" style="82"/>
    <col min="2817" max="2817" width="12.7109375" style="82" customWidth="1"/>
    <col min="2818" max="2824" width="10.7109375" style="82" customWidth="1"/>
    <col min="2825" max="3072" width="8.85546875" style="82"/>
    <col min="3073" max="3073" width="12.7109375" style="82" customWidth="1"/>
    <col min="3074" max="3080" width="10.7109375" style="82" customWidth="1"/>
    <col min="3081" max="3328" width="8.85546875" style="82"/>
    <col min="3329" max="3329" width="12.7109375" style="82" customWidth="1"/>
    <col min="3330" max="3336" width="10.7109375" style="82" customWidth="1"/>
    <col min="3337" max="3584" width="8.85546875" style="82"/>
    <col min="3585" max="3585" width="12.7109375" style="82" customWidth="1"/>
    <col min="3586" max="3592" width="10.7109375" style="82" customWidth="1"/>
    <col min="3593" max="3840" width="8.85546875" style="82"/>
    <col min="3841" max="3841" width="12.7109375" style="82" customWidth="1"/>
    <col min="3842" max="3848" width="10.7109375" style="82" customWidth="1"/>
    <col min="3849" max="4096" width="8.85546875" style="82"/>
    <col min="4097" max="4097" width="12.7109375" style="82" customWidth="1"/>
    <col min="4098" max="4104" width="10.7109375" style="82" customWidth="1"/>
    <col min="4105" max="4352" width="8.85546875" style="82"/>
    <col min="4353" max="4353" width="12.7109375" style="82" customWidth="1"/>
    <col min="4354" max="4360" width="10.7109375" style="82" customWidth="1"/>
    <col min="4361" max="4608" width="8.85546875" style="82"/>
    <col min="4609" max="4609" width="12.7109375" style="82" customWidth="1"/>
    <col min="4610" max="4616" width="10.7109375" style="82" customWidth="1"/>
    <col min="4617" max="4864" width="8.85546875" style="82"/>
    <col min="4865" max="4865" width="12.7109375" style="82" customWidth="1"/>
    <col min="4866" max="4872" width="10.7109375" style="82" customWidth="1"/>
    <col min="4873" max="5120" width="8.85546875" style="82"/>
    <col min="5121" max="5121" width="12.7109375" style="82" customWidth="1"/>
    <col min="5122" max="5128" width="10.7109375" style="82" customWidth="1"/>
    <col min="5129" max="5376" width="8.85546875" style="82"/>
    <col min="5377" max="5377" width="12.7109375" style="82" customWidth="1"/>
    <col min="5378" max="5384" width="10.7109375" style="82" customWidth="1"/>
    <col min="5385" max="5632" width="8.85546875" style="82"/>
    <col min="5633" max="5633" width="12.7109375" style="82" customWidth="1"/>
    <col min="5634" max="5640" width="10.7109375" style="82" customWidth="1"/>
    <col min="5641" max="5888" width="8.85546875" style="82"/>
    <col min="5889" max="5889" width="12.7109375" style="82" customWidth="1"/>
    <col min="5890" max="5896" width="10.7109375" style="82" customWidth="1"/>
    <col min="5897" max="6144" width="8.85546875" style="82"/>
    <col min="6145" max="6145" width="12.7109375" style="82" customWidth="1"/>
    <col min="6146" max="6152" width="10.7109375" style="82" customWidth="1"/>
    <col min="6153" max="6400" width="8.85546875" style="82"/>
    <col min="6401" max="6401" width="12.7109375" style="82" customWidth="1"/>
    <col min="6402" max="6408" width="10.7109375" style="82" customWidth="1"/>
    <col min="6409" max="6656" width="8.85546875" style="82"/>
    <col min="6657" max="6657" width="12.7109375" style="82" customWidth="1"/>
    <col min="6658" max="6664" width="10.7109375" style="82" customWidth="1"/>
    <col min="6665" max="6912" width="8.85546875" style="82"/>
    <col min="6913" max="6913" width="12.7109375" style="82" customWidth="1"/>
    <col min="6914" max="6920" width="10.7109375" style="82" customWidth="1"/>
    <col min="6921" max="7168" width="8.85546875" style="82"/>
    <col min="7169" max="7169" width="12.7109375" style="82" customWidth="1"/>
    <col min="7170" max="7176" width="10.7109375" style="82" customWidth="1"/>
    <col min="7177" max="7424" width="8.85546875" style="82"/>
    <col min="7425" max="7425" width="12.7109375" style="82" customWidth="1"/>
    <col min="7426" max="7432" width="10.7109375" style="82" customWidth="1"/>
    <col min="7433" max="7680" width="8.85546875" style="82"/>
    <col min="7681" max="7681" width="12.7109375" style="82" customWidth="1"/>
    <col min="7682" max="7688" width="10.7109375" style="82" customWidth="1"/>
    <col min="7689" max="7936" width="8.85546875" style="82"/>
    <col min="7937" max="7937" width="12.7109375" style="82" customWidth="1"/>
    <col min="7938" max="7944" width="10.7109375" style="82" customWidth="1"/>
    <col min="7945" max="8192" width="8.85546875" style="82"/>
    <col min="8193" max="8193" width="12.7109375" style="82" customWidth="1"/>
    <col min="8194" max="8200" width="10.7109375" style="82" customWidth="1"/>
    <col min="8201" max="8448" width="8.85546875" style="82"/>
    <col min="8449" max="8449" width="12.7109375" style="82" customWidth="1"/>
    <col min="8450" max="8456" width="10.7109375" style="82" customWidth="1"/>
    <col min="8457" max="8704" width="8.85546875" style="82"/>
    <col min="8705" max="8705" width="12.7109375" style="82" customWidth="1"/>
    <col min="8706" max="8712" width="10.7109375" style="82" customWidth="1"/>
    <col min="8713" max="8960" width="8.85546875" style="82"/>
    <col min="8961" max="8961" width="12.7109375" style="82" customWidth="1"/>
    <col min="8962" max="8968" width="10.7109375" style="82" customWidth="1"/>
    <col min="8969" max="9216" width="8.85546875" style="82"/>
    <col min="9217" max="9217" width="12.7109375" style="82" customWidth="1"/>
    <col min="9218" max="9224" width="10.7109375" style="82" customWidth="1"/>
    <col min="9225" max="9472" width="8.85546875" style="82"/>
    <col min="9473" max="9473" width="12.7109375" style="82" customWidth="1"/>
    <col min="9474" max="9480" width="10.7109375" style="82" customWidth="1"/>
    <col min="9481" max="9728" width="8.85546875" style="82"/>
    <col min="9729" max="9729" width="12.7109375" style="82" customWidth="1"/>
    <col min="9730" max="9736" width="10.7109375" style="82" customWidth="1"/>
    <col min="9737" max="9984" width="8.85546875" style="82"/>
    <col min="9985" max="9985" width="12.7109375" style="82" customWidth="1"/>
    <col min="9986" max="9992" width="10.7109375" style="82" customWidth="1"/>
    <col min="9993" max="10240" width="8.85546875" style="82"/>
    <col min="10241" max="10241" width="12.7109375" style="82" customWidth="1"/>
    <col min="10242" max="10248" width="10.7109375" style="82" customWidth="1"/>
    <col min="10249" max="10496" width="8.85546875" style="82"/>
    <col min="10497" max="10497" width="12.7109375" style="82" customWidth="1"/>
    <col min="10498" max="10504" width="10.7109375" style="82" customWidth="1"/>
    <col min="10505" max="10752" width="8.85546875" style="82"/>
    <col min="10753" max="10753" width="12.7109375" style="82" customWidth="1"/>
    <col min="10754" max="10760" width="10.7109375" style="82" customWidth="1"/>
    <col min="10761" max="11008" width="8.85546875" style="82"/>
    <col min="11009" max="11009" width="12.7109375" style="82" customWidth="1"/>
    <col min="11010" max="11016" width="10.7109375" style="82" customWidth="1"/>
    <col min="11017" max="11264" width="8.85546875" style="82"/>
    <col min="11265" max="11265" width="12.7109375" style="82" customWidth="1"/>
    <col min="11266" max="11272" width="10.7109375" style="82" customWidth="1"/>
    <col min="11273" max="11520" width="8.85546875" style="82"/>
    <col min="11521" max="11521" width="12.7109375" style="82" customWidth="1"/>
    <col min="11522" max="11528" width="10.7109375" style="82" customWidth="1"/>
    <col min="11529" max="11776" width="8.85546875" style="82"/>
    <col min="11777" max="11777" width="12.7109375" style="82" customWidth="1"/>
    <col min="11778" max="11784" width="10.7109375" style="82" customWidth="1"/>
    <col min="11785" max="12032" width="8.85546875" style="82"/>
    <col min="12033" max="12033" width="12.7109375" style="82" customWidth="1"/>
    <col min="12034" max="12040" width="10.7109375" style="82" customWidth="1"/>
    <col min="12041" max="12288" width="8.85546875" style="82"/>
    <col min="12289" max="12289" width="12.7109375" style="82" customWidth="1"/>
    <col min="12290" max="12296" width="10.7109375" style="82" customWidth="1"/>
    <col min="12297" max="12544" width="8.85546875" style="82"/>
    <col min="12545" max="12545" width="12.7109375" style="82" customWidth="1"/>
    <col min="12546" max="12552" width="10.7109375" style="82" customWidth="1"/>
    <col min="12553" max="12800" width="8.85546875" style="82"/>
    <col min="12801" max="12801" width="12.7109375" style="82" customWidth="1"/>
    <col min="12802" max="12808" width="10.7109375" style="82" customWidth="1"/>
    <col min="12809" max="13056" width="8.85546875" style="82"/>
    <col min="13057" max="13057" width="12.7109375" style="82" customWidth="1"/>
    <col min="13058" max="13064" width="10.7109375" style="82" customWidth="1"/>
    <col min="13065" max="13312" width="8.85546875" style="82"/>
    <col min="13313" max="13313" width="12.7109375" style="82" customWidth="1"/>
    <col min="13314" max="13320" width="10.7109375" style="82" customWidth="1"/>
    <col min="13321" max="13568" width="8.85546875" style="82"/>
    <col min="13569" max="13569" width="12.7109375" style="82" customWidth="1"/>
    <col min="13570" max="13576" width="10.7109375" style="82" customWidth="1"/>
    <col min="13577" max="13824" width="8.85546875" style="82"/>
    <col min="13825" max="13825" width="12.7109375" style="82" customWidth="1"/>
    <col min="13826" max="13832" width="10.7109375" style="82" customWidth="1"/>
    <col min="13833" max="14080" width="8.85546875" style="82"/>
    <col min="14081" max="14081" width="12.7109375" style="82" customWidth="1"/>
    <col min="14082" max="14088" width="10.7109375" style="82" customWidth="1"/>
    <col min="14089" max="14336" width="8.85546875" style="82"/>
    <col min="14337" max="14337" width="12.7109375" style="82" customWidth="1"/>
    <col min="14338" max="14344" width="10.7109375" style="82" customWidth="1"/>
    <col min="14345" max="14592" width="8.85546875" style="82"/>
    <col min="14593" max="14593" width="12.7109375" style="82" customWidth="1"/>
    <col min="14594" max="14600" width="10.7109375" style="82" customWidth="1"/>
    <col min="14601" max="14848" width="8.85546875" style="82"/>
    <col min="14849" max="14849" width="12.7109375" style="82" customWidth="1"/>
    <col min="14850" max="14856" width="10.7109375" style="82" customWidth="1"/>
    <col min="14857" max="15104" width="8.85546875" style="82"/>
    <col min="15105" max="15105" width="12.7109375" style="82" customWidth="1"/>
    <col min="15106" max="15112" width="10.7109375" style="82" customWidth="1"/>
    <col min="15113" max="15360" width="8.85546875" style="82"/>
    <col min="15361" max="15361" width="12.7109375" style="82" customWidth="1"/>
    <col min="15362" max="15368" width="10.7109375" style="82" customWidth="1"/>
    <col min="15369" max="15616" width="8.85546875" style="82"/>
    <col min="15617" max="15617" width="12.7109375" style="82" customWidth="1"/>
    <col min="15618" max="15624" width="10.7109375" style="82" customWidth="1"/>
    <col min="15625" max="15872" width="8.85546875" style="82"/>
    <col min="15873" max="15873" width="12.7109375" style="82" customWidth="1"/>
    <col min="15874" max="15880" width="10.7109375" style="82" customWidth="1"/>
    <col min="15881" max="16128" width="8.85546875" style="82"/>
    <col min="16129" max="16129" width="12.7109375" style="82" customWidth="1"/>
    <col min="16130" max="16136" width="10.7109375" style="82" customWidth="1"/>
    <col min="16137" max="16384" width="8.85546875" style="82"/>
  </cols>
  <sheetData>
    <row r="1" spans="1:12" x14ac:dyDescent="0.2">
      <c r="B1" s="83" t="s">
        <v>224</v>
      </c>
      <c r="C1" s="83"/>
      <c r="D1" s="83"/>
    </row>
    <row r="2" spans="1:12" x14ac:dyDescent="0.2">
      <c r="A2" s="84" t="s">
        <v>225</v>
      </c>
      <c r="B2" s="85">
        <f>B18</f>
        <v>0.45</v>
      </c>
      <c r="C2" s="85">
        <f>B2+$B19</f>
        <v>0.5</v>
      </c>
      <c r="D2" s="85">
        <f>C2+$B19</f>
        <v>0.55000000000000004</v>
      </c>
      <c r="E2" s="86" t="s">
        <v>226</v>
      </c>
      <c r="F2" s="86" t="s">
        <v>226</v>
      </c>
      <c r="G2" s="86" t="s">
        <v>226</v>
      </c>
    </row>
    <row r="3" spans="1:12" ht="16.5" customHeight="1" x14ac:dyDescent="0.25">
      <c r="A3" s="87" t="str">
        <f t="shared" ref="A3:A8" si="0">A12</f>
        <v>Sofa</v>
      </c>
      <c r="B3" s="88">
        <f>$B12/(1-B$2)</f>
        <v>1087.2727272727273</v>
      </c>
      <c r="C3" s="88">
        <f t="shared" ref="C3:D3" si="1">$B12/(1-C$2)</f>
        <v>1196</v>
      </c>
      <c r="D3" s="88">
        <f t="shared" si="1"/>
        <v>1328.8888888888889</v>
      </c>
      <c r="E3" s="89"/>
      <c r="F3" s="89"/>
      <c r="G3" s="89"/>
      <c r="H3"/>
      <c r="I3"/>
      <c r="J3"/>
      <c r="K3"/>
      <c r="L3"/>
    </row>
    <row r="4" spans="1:12" ht="16.5" customHeight="1" x14ac:dyDescent="0.25">
      <c r="A4" s="87" t="str">
        <f t="shared" si="0"/>
        <v>Head Lamp</v>
      </c>
      <c r="B4" s="90">
        <f t="shared" ref="B4:D8" si="2">$B13/(1-B$2)</f>
        <v>154.54545454545453</v>
      </c>
      <c r="C4" s="90">
        <f t="shared" si="2"/>
        <v>170</v>
      </c>
      <c r="D4" s="90">
        <f t="shared" si="2"/>
        <v>188.88888888888891</v>
      </c>
      <c r="E4" s="89"/>
      <c r="F4" s="89"/>
      <c r="G4" s="89"/>
      <c r="H4"/>
      <c r="I4"/>
      <c r="J4"/>
      <c r="K4"/>
      <c r="L4"/>
    </row>
    <row r="5" spans="1:12" ht="16.5" customHeight="1" x14ac:dyDescent="0.25">
      <c r="A5" s="87" t="str">
        <f t="shared" si="0"/>
        <v>Table</v>
      </c>
      <c r="B5" s="90">
        <f t="shared" si="2"/>
        <v>276.36363636363632</v>
      </c>
      <c r="C5" s="90">
        <f t="shared" si="2"/>
        <v>304</v>
      </c>
      <c r="D5" s="90">
        <f t="shared" si="2"/>
        <v>337.77777777777783</v>
      </c>
      <c r="E5" s="89"/>
      <c r="F5" s="89"/>
      <c r="G5" s="89"/>
      <c r="H5"/>
      <c r="I5"/>
      <c r="J5"/>
      <c r="K5"/>
      <c r="L5"/>
    </row>
    <row r="6" spans="1:12" ht="16.5" customHeight="1" x14ac:dyDescent="0.25">
      <c r="A6" s="87" t="str">
        <f t="shared" si="0"/>
        <v>Chair</v>
      </c>
      <c r="B6" s="90">
        <f t="shared" si="2"/>
        <v>179.99999999999997</v>
      </c>
      <c r="C6" s="90">
        <f t="shared" si="2"/>
        <v>198</v>
      </c>
      <c r="D6" s="90">
        <f t="shared" si="2"/>
        <v>220.00000000000003</v>
      </c>
      <c r="E6" s="89"/>
      <c r="F6" s="89"/>
      <c r="G6" s="89"/>
      <c r="H6"/>
      <c r="I6"/>
      <c r="J6"/>
      <c r="K6"/>
      <c r="L6"/>
    </row>
    <row r="7" spans="1:12" ht="16.5" customHeight="1" x14ac:dyDescent="0.25">
      <c r="A7" s="87" t="str">
        <f t="shared" si="0"/>
        <v>Dining Set</v>
      </c>
      <c r="B7" s="90">
        <f t="shared" si="2"/>
        <v>1045.4545454545453</v>
      </c>
      <c r="C7" s="90">
        <f t="shared" si="2"/>
        <v>1150</v>
      </c>
      <c r="D7" s="90">
        <f t="shared" si="2"/>
        <v>1277.7777777777778</v>
      </c>
      <c r="E7" s="89"/>
      <c r="F7" s="89"/>
      <c r="G7" s="89"/>
      <c r="H7"/>
      <c r="I7"/>
      <c r="J7"/>
      <c r="K7"/>
      <c r="L7"/>
    </row>
    <row r="8" spans="1:12" ht="16.5" customHeight="1" x14ac:dyDescent="0.25">
      <c r="A8" s="87" t="str">
        <f t="shared" si="0"/>
        <v>Picture</v>
      </c>
      <c r="B8" s="90">
        <f t="shared" si="2"/>
        <v>45.454545454545453</v>
      </c>
      <c r="C8" s="90">
        <f t="shared" si="2"/>
        <v>50</v>
      </c>
      <c r="D8" s="90">
        <f t="shared" si="2"/>
        <v>55.555555555555564</v>
      </c>
      <c r="E8" s="89"/>
      <c r="F8" s="89"/>
      <c r="G8" s="89"/>
      <c r="H8"/>
      <c r="I8"/>
      <c r="J8"/>
      <c r="K8"/>
      <c r="L8"/>
    </row>
    <row r="9" spans="1:12" ht="15" x14ac:dyDescent="0.25">
      <c r="D9"/>
      <c r="E9"/>
      <c r="F9"/>
      <c r="G9"/>
      <c r="H9"/>
      <c r="I9"/>
      <c r="J9"/>
      <c r="K9"/>
      <c r="L9"/>
    </row>
    <row r="10" spans="1:12" ht="15" x14ac:dyDescent="0.25">
      <c r="A10" s="91" t="s">
        <v>227</v>
      </c>
      <c r="B10" s="91"/>
      <c r="C10" s="92"/>
      <c r="D10"/>
      <c r="E10"/>
      <c r="F10"/>
      <c r="G10"/>
      <c r="H10"/>
      <c r="I10"/>
      <c r="J10"/>
      <c r="K10"/>
      <c r="L10"/>
    </row>
    <row r="11" spans="1:12" ht="15" x14ac:dyDescent="0.25">
      <c r="A11" s="87" t="s">
        <v>228</v>
      </c>
      <c r="B11" s="8">
        <v>1.05</v>
      </c>
      <c r="D11"/>
      <c r="E11"/>
      <c r="F11"/>
      <c r="G11"/>
      <c r="H11"/>
      <c r="I11"/>
      <c r="J11"/>
      <c r="K11"/>
      <c r="L11"/>
    </row>
    <row r="12" spans="1:12" ht="15" x14ac:dyDescent="0.25">
      <c r="A12" s="87" t="s">
        <v>229</v>
      </c>
      <c r="B12" s="8">
        <v>598</v>
      </c>
      <c r="D12"/>
      <c r="E12"/>
      <c r="F12"/>
      <c r="G12"/>
      <c r="H12"/>
      <c r="I12"/>
      <c r="J12"/>
      <c r="K12"/>
      <c r="L12"/>
    </row>
    <row r="13" spans="1:12" ht="15" x14ac:dyDescent="0.25">
      <c r="A13" s="87" t="s">
        <v>230</v>
      </c>
      <c r="B13" s="8">
        <v>85</v>
      </c>
      <c r="D13"/>
      <c r="E13"/>
      <c r="F13"/>
      <c r="G13"/>
      <c r="H13"/>
      <c r="I13"/>
      <c r="J13"/>
      <c r="K13"/>
      <c r="L13"/>
    </row>
    <row r="14" spans="1:12" ht="15" x14ac:dyDescent="0.25">
      <c r="A14" s="87" t="s">
        <v>231</v>
      </c>
      <c r="B14" s="8">
        <v>152</v>
      </c>
      <c r="D14"/>
      <c r="E14"/>
      <c r="F14"/>
      <c r="G14"/>
      <c r="H14"/>
    </row>
    <row r="15" spans="1:12" ht="15" x14ac:dyDescent="0.25">
      <c r="A15" s="87" t="s">
        <v>232</v>
      </c>
      <c r="B15" s="8">
        <v>99</v>
      </c>
      <c r="D15"/>
      <c r="E15"/>
      <c r="F15"/>
      <c r="G15"/>
      <c r="H15"/>
    </row>
    <row r="16" spans="1:12" ht="15" x14ac:dyDescent="0.25">
      <c r="A16" s="87" t="s">
        <v>233</v>
      </c>
      <c r="B16" s="8">
        <v>575</v>
      </c>
      <c r="D16"/>
      <c r="E16"/>
      <c r="F16"/>
      <c r="G16"/>
      <c r="H16"/>
    </row>
    <row r="17" spans="1:8" ht="15" x14ac:dyDescent="0.25">
      <c r="A17" s="87" t="s">
        <v>234</v>
      </c>
      <c r="B17" s="8">
        <v>25</v>
      </c>
      <c r="D17"/>
      <c r="E17"/>
      <c r="F17"/>
      <c r="G17"/>
      <c r="H17"/>
    </row>
    <row r="18" spans="1:8" ht="39" x14ac:dyDescent="0.25">
      <c r="A18" s="93" t="str">
        <f>B1&amp;" Starting Point"</f>
        <v>Retail Selling Price by Margin Starting Point</v>
      </c>
      <c r="B18" s="94">
        <v>0.45</v>
      </c>
      <c r="C18" s="95"/>
      <c r="D18"/>
      <c r="E18"/>
      <c r="F18"/>
      <c r="G18"/>
      <c r="H18"/>
    </row>
    <row r="19" spans="1:8" x14ac:dyDescent="0.2">
      <c r="A19" s="87" t="s">
        <v>235</v>
      </c>
      <c r="B19" s="96">
        <v>0.05</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rgb="FF0000FF"/>
  </sheetPr>
  <dimension ref="A1:C52"/>
  <sheetViews>
    <sheetView workbookViewId="0">
      <selection activeCell="C8" sqref="C8"/>
    </sheetView>
  </sheetViews>
  <sheetFormatPr defaultColWidth="17.140625" defaultRowHeight="15" x14ac:dyDescent="0.25"/>
  <cols>
    <col min="1" max="1" width="11.85546875" bestFit="1" customWidth="1"/>
    <col min="2" max="2" width="9.85546875" bestFit="1" customWidth="1"/>
    <col min="3" max="3" width="11" bestFit="1" customWidth="1"/>
    <col min="257" max="257" width="11.85546875" bestFit="1" customWidth="1"/>
    <col min="258" max="258" width="10.5703125" bestFit="1" customWidth="1"/>
    <col min="513" max="513" width="11.85546875" bestFit="1" customWidth="1"/>
    <col min="514" max="514" width="10.5703125" bestFit="1" customWidth="1"/>
    <col min="769" max="769" width="11.85546875" bestFit="1" customWidth="1"/>
    <col min="770" max="770" width="10.5703125" bestFit="1" customWidth="1"/>
    <col min="1025" max="1025" width="11.85546875" bestFit="1" customWidth="1"/>
    <col min="1026" max="1026" width="10.5703125" bestFit="1" customWidth="1"/>
    <col min="1281" max="1281" width="11.85546875" bestFit="1" customWidth="1"/>
    <col min="1282" max="1282" width="10.5703125" bestFit="1" customWidth="1"/>
    <col min="1537" max="1537" width="11.85546875" bestFit="1" customWidth="1"/>
    <col min="1538" max="1538" width="10.5703125" bestFit="1" customWidth="1"/>
    <col min="1793" max="1793" width="11.85546875" bestFit="1" customWidth="1"/>
    <col min="1794" max="1794" width="10.5703125" bestFit="1" customWidth="1"/>
    <col min="2049" max="2049" width="11.85546875" bestFit="1" customWidth="1"/>
    <col min="2050" max="2050" width="10.5703125" bestFit="1" customWidth="1"/>
    <col min="2305" max="2305" width="11.85546875" bestFit="1" customWidth="1"/>
    <col min="2306" max="2306" width="10.5703125" bestFit="1" customWidth="1"/>
    <col min="2561" max="2561" width="11.85546875" bestFit="1" customWidth="1"/>
    <col min="2562" max="2562" width="10.5703125" bestFit="1" customWidth="1"/>
    <col min="2817" max="2817" width="11.85546875" bestFit="1" customWidth="1"/>
    <col min="2818" max="2818" width="10.5703125" bestFit="1" customWidth="1"/>
    <col min="3073" max="3073" width="11.85546875" bestFit="1" customWidth="1"/>
    <col min="3074" max="3074" width="10.5703125" bestFit="1" customWidth="1"/>
    <col min="3329" max="3329" width="11.85546875" bestFit="1" customWidth="1"/>
    <col min="3330" max="3330" width="10.5703125" bestFit="1" customWidth="1"/>
    <col min="3585" max="3585" width="11.85546875" bestFit="1" customWidth="1"/>
    <col min="3586" max="3586" width="10.5703125" bestFit="1" customWidth="1"/>
    <col min="3841" max="3841" width="11.85546875" bestFit="1" customWidth="1"/>
    <col min="3842" max="3842" width="10.5703125" bestFit="1" customWidth="1"/>
    <col min="4097" max="4097" width="11.85546875" bestFit="1" customWidth="1"/>
    <col min="4098" max="4098" width="10.5703125" bestFit="1" customWidth="1"/>
    <col min="4353" max="4353" width="11.85546875" bestFit="1" customWidth="1"/>
    <col min="4354" max="4354" width="10.5703125" bestFit="1" customWidth="1"/>
    <col min="4609" max="4609" width="11.85546875" bestFit="1" customWidth="1"/>
    <col min="4610" max="4610" width="10.5703125" bestFit="1" customWidth="1"/>
    <col min="4865" max="4865" width="11.85546875" bestFit="1" customWidth="1"/>
    <col min="4866" max="4866" width="10.5703125" bestFit="1" customWidth="1"/>
    <col min="5121" max="5121" width="11.85546875" bestFit="1" customWidth="1"/>
    <col min="5122" max="5122" width="10.5703125" bestFit="1" customWidth="1"/>
    <col min="5377" max="5377" width="11.85546875" bestFit="1" customWidth="1"/>
    <col min="5378" max="5378" width="10.5703125" bestFit="1" customWidth="1"/>
    <col min="5633" max="5633" width="11.85546875" bestFit="1" customWidth="1"/>
    <col min="5634" max="5634" width="10.5703125" bestFit="1" customWidth="1"/>
    <col min="5889" max="5889" width="11.85546875" bestFit="1" customWidth="1"/>
    <col min="5890" max="5890" width="10.5703125" bestFit="1" customWidth="1"/>
    <col min="6145" max="6145" width="11.85546875" bestFit="1" customWidth="1"/>
    <col min="6146" max="6146" width="10.5703125" bestFit="1" customWidth="1"/>
    <col min="6401" max="6401" width="11.85546875" bestFit="1" customWidth="1"/>
    <col min="6402" max="6402" width="10.5703125" bestFit="1" customWidth="1"/>
    <col min="6657" max="6657" width="11.85546875" bestFit="1" customWidth="1"/>
    <col min="6658" max="6658" width="10.5703125" bestFit="1" customWidth="1"/>
    <col min="6913" max="6913" width="11.85546875" bestFit="1" customWidth="1"/>
    <col min="6914" max="6914" width="10.5703125" bestFit="1" customWidth="1"/>
    <col min="7169" max="7169" width="11.85546875" bestFit="1" customWidth="1"/>
    <col min="7170" max="7170" width="10.5703125" bestFit="1" customWidth="1"/>
    <col min="7425" max="7425" width="11.85546875" bestFit="1" customWidth="1"/>
    <col min="7426" max="7426" width="10.5703125" bestFit="1" customWidth="1"/>
    <col min="7681" max="7681" width="11.85546875" bestFit="1" customWidth="1"/>
    <col min="7682" max="7682" width="10.5703125" bestFit="1" customWidth="1"/>
    <col min="7937" max="7937" width="11.85546875" bestFit="1" customWidth="1"/>
    <col min="7938" max="7938" width="10.5703125" bestFit="1" customWidth="1"/>
    <col min="8193" max="8193" width="11.85546875" bestFit="1" customWidth="1"/>
    <col min="8194" max="8194" width="10.5703125" bestFit="1" customWidth="1"/>
    <col min="8449" max="8449" width="11.85546875" bestFit="1" customWidth="1"/>
    <col min="8450" max="8450" width="10.5703125" bestFit="1" customWidth="1"/>
    <col min="8705" max="8705" width="11.85546875" bestFit="1" customWidth="1"/>
    <col min="8706" max="8706" width="10.5703125" bestFit="1" customWidth="1"/>
    <col min="8961" max="8961" width="11.85546875" bestFit="1" customWidth="1"/>
    <col min="8962" max="8962" width="10.5703125" bestFit="1" customWidth="1"/>
    <col min="9217" max="9217" width="11.85546875" bestFit="1" customWidth="1"/>
    <col min="9218" max="9218" width="10.5703125" bestFit="1" customWidth="1"/>
    <col min="9473" max="9473" width="11.85546875" bestFit="1" customWidth="1"/>
    <col min="9474" max="9474" width="10.5703125" bestFit="1" customWidth="1"/>
    <col min="9729" max="9729" width="11.85546875" bestFit="1" customWidth="1"/>
    <col min="9730" max="9730" width="10.5703125" bestFit="1" customWidth="1"/>
    <col min="9985" max="9985" width="11.85546875" bestFit="1" customWidth="1"/>
    <col min="9986" max="9986" width="10.5703125" bestFit="1" customWidth="1"/>
    <col min="10241" max="10241" width="11.85546875" bestFit="1" customWidth="1"/>
    <col min="10242" max="10242" width="10.5703125" bestFit="1" customWidth="1"/>
    <col min="10497" max="10497" width="11.85546875" bestFit="1" customWidth="1"/>
    <col min="10498" max="10498" width="10.5703125" bestFit="1" customWidth="1"/>
    <col min="10753" max="10753" width="11.85546875" bestFit="1" customWidth="1"/>
    <col min="10754" max="10754" width="10.5703125" bestFit="1" customWidth="1"/>
    <col min="11009" max="11009" width="11.85546875" bestFit="1" customWidth="1"/>
    <col min="11010" max="11010" width="10.5703125" bestFit="1" customWidth="1"/>
    <col min="11265" max="11265" width="11.85546875" bestFit="1" customWidth="1"/>
    <col min="11266" max="11266" width="10.5703125" bestFit="1" customWidth="1"/>
    <col min="11521" max="11521" width="11.85546875" bestFit="1" customWidth="1"/>
    <col min="11522" max="11522" width="10.5703125" bestFit="1" customWidth="1"/>
    <col min="11777" max="11777" width="11.85546875" bestFit="1" customWidth="1"/>
    <col min="11778" max="11778" width="10.5703125" bestFit="1" customWidth="1"/>
    <col min="12033" max="12033" width="11.85546875" bestFit="1" customWidth="1"/>
    <col min="12034" max="12034" width="10.5703125" bestFit="1" customWidth="1"/>
    <col min="12289" max="12289" width="11.85546875" bestFit="1" customWidth="1"/>
    <col min="12290" max="12290" width="10.5703125" bestFit="1" customWidth="1"/>
    <col min="12545" max="12545" width="11.85546875" bestFit="1" customWidth="1"/>
    <col min="12546" max="12546" width="10.5703125" bestFit="1" customWidth="1"/>
    <col min="12801" max="12801" width="11.85546875" bestFit="1" customWidth="1"/>
    <col min="12802" max="12802" width="10.5703125" bestFit="1" customWidth="1"/>
    <col min="13057" max="13057" width="11.85546875" bestFit="1" customWidth="1"/>
    <col min="13058" max="13058" width="10.5703125" bestFit="1" customWidth="1"/>
    <col min="13313" max="13313" width="11.85546875" bestFit="1" customWidth="1"/>
    <col min="13314" max="13314" width="10.5703125" bestFit="1" customWidth="1"/>
    <col min="13569" max="13569" width="11.85546875" bestFit="1" customWidth="1"/>
    <col min="13570" max="13570" width="10.5703125" bestFit="1" customWidth="1"/>
    <col min="13825" max="13825" width="11.85546875" bestFit="1" customWidth="1"/>
    <col min="13826" max="13826" width="10.5703125" bestFit="1" customWidth="1"/>
    <col min="14081" max="14081" width="11.85546875" bestFit="1" customWidth="1"/>
    <col min="14082" max="14082" width="10.5703125" bestFit="1" customWidth="1"/>
    <col min="14337" max="14337" width="11.85546875" bestFit="1" customWidth="1"/>
    <col min="14338" max="14338" width="10.5703125" bestFit="1" customWidth="1"/>
    <col min="14593" max="14593" width="11.85546875" bestFit="1" customWidth="1"/>
    <col min="14594" max="14594" width="10.5703125" bestFit="1" customWidth="1"/>
    <col min="14849" max="14849" width="11.85546875" bestFit="1" customWidth="1"/>
    <col min="14850" max="14850" width="10.5703125" bestFit="1" customWidth="1"/>
    <col min="15105" max="15105" width="11.85546875" bestFit="1" customWidth="1"/>
    <col min="15106" max="15106" width="10.5703125" bestFit="1" customWidth="1"/>
    <col min="15361" max="15361" width="11.85546875" bestFit="1" customWidth="1"/>
    <col min="15362" max="15362" width="10.5703125" bestFit="1" customWidth="1"/>
    <col min="15617" max="15617" width="11.85546875" bestFit="1" customWidth="1"/>
    <col min="15618" max="15618" width="10.5703125" bestFit="1" customWidth="1"/>
    <col min="15873" max="15873" width="11.85546875" bestFit="1" customWidth="1"/>
    <col min="15874" max="15874" width="10.5703125" bestFit="1" customWidth="1"/>
    <col min="16129" max="16129" width="11.85546875" bestFit="1" customWidth="1"/>
    <col min="16130" max="16130" width="10.5703125" bestFit="1" customWidth="1"/>
  </cols>
  <sheetData>
    <row r="1" spans="1:3" ht="45" x14ac:dyDescent="0.25">
      <c r="A1" s="97" t="s">
        <v>236</v>
      </c>
      <c r="B1" s="97"/>
    </row>
    <row r="2" spans="1:3" ht="30" x14ac:dyDescent="0.25">
      <c r="A2" s="72" t="s">
        <v>237</v>
      </c>
      <c r="B2" s="8">
        <v>0.04</v>
      </c>
    </row>
    <row r="4" spans="1:3" ht="30" x14ac:dyDescent="0.25">
      <c r="A4" s="5" t="s">
        <v>1</v>
      </c>
      <c r="B4" s="5" t="s">
        <v>37</v>
      </c>
      <c r="C4" s="6" t="s">
        <v>238</v>
      </c>
    </row>
    <row r="5" spans="1:3" x14ac:dyDescent="0.25">
      <c r="A5" s="8" t="s">
        <v>239</v>
      </c>
      <c r="B5" s="22">
        <v>1161</v>
      </c>
      <c r="C5" s="98"/>
    </row>
    <row r="6" spans="1:3" x14ac:dyDescent="0.25">
      <c r="A6" s="8" t="s">
        <v>240</v>
      </c>
      <c r="B6" s="22">
        <v>1321</v>
      </c>
      <c r="C6" s="98"/>
    </row>
    <row r="7" spans="1:3" x14ac:dyDescent="0.25">
      <c r="A7" s="8" t="s">
        <v>147</v>
      </c>
      <c r="B7" s="22">
        <v>1039</v>
      </c>
      <c r="C7" s="98"/>
    </row>
    <row r="8" spans="1:3" x14ac:dyDescent="0.25">
      <c r="A8" s="8" t="s">
        <v>241</v>
      </c>
      <c r="B8" s="22">
        <v>1761</v>
      </c>
      <c r="C8" s="98"/>
    </row>
    <row r="9" spans="1:3" x14ac:dyDescent="0.25">
      <c r="A9" s="8" t="s">
        <v>242</v>
      </c>
      <c r="B9" s="22">
        <v>1561</v>
      </c>
      <c r="C9" s="98"/>
    </row>
    <row r="10" spans="1:3" x14ac:dyDescent="0.25">
      <c r="A10" s="8" t="s">
        <v>243</v>
      </c>
      <c r="B10" s="22">
        <v>1868</v>
      </c>
      <c r="C10" s="98"/>
    </row>
    <row r="11" spans="1:3" x14ac:dyDescent="0.25">
      <c r="A11" s="8" t="s">
        <v>244</v>
      </c>
      <c r="B11" s="22">
        <v>2787</v>
      </c>
      <c r="C11" s="98"/>
    </row>
    <row r="12" spans="1:3" x14ac:dyDescent="0.25">
      <c r="A12" s="8" t="s">
        <v>245</v>
      </c>
      <c r="B12" s="22">
        <v>1849</v>
      </c>
      <c r="C12" s="98"/>
    </row>
    <row r="13" spans="1:3" x14ac:dyDescent="0.25">
      <c r="A13" s="8" t="s">
        <v>246</v>
      </c>
      <c r="B13" s="22">
        <v>2627</v>
      </c>
      <c r="C13" s="98"/>
    </row>
    <row r="14" spans="1:3" x14ac:dyDescent="0.25">
      <c r="A14" s="8" t="s">
        <v>247</v>
      </c>
      <c r="B14" s="22">
        <v>2165</v>
      </c>
      <c r="C14" s="98"/>
    </row>
    <row r="15" spans="1:3" x14ac:dyDescent="0.25">
      <c r="A15" s="8" t="s">
        <v>248</v>
      </c>
      <c r="B15" s="22">
        <v>1589</v>
      </c>
      <c r="C15" s="98"/>
    </row>
    <row r="16" spans="1:3" x14ac:dyDescent="0.25">
      <c r="A16" s="8" t="s">
        <v>249</v>
      </c>
      <c r="B16" s="22">
        <v>2603</v>
      </c>
      <c r="C16" s="98"/>
    </row>
    <row r="17" spans="1:3" x14ac:dyDescent="0.25">
      <c r="A17" s="8" t="s">
        <v>250</v>
      </c>
      <c r="B17" s="22">
        <v>2366</v>
      </c>
      <c r="C17" s="98"/>
    </row>
    <row r="18" spans="1:3" x14ac:dyDescent="0.25">
      <c r="A18" s="8" t="s">
        <v>251</v>
      </c>
      <c r="B18" s="22">
        <v>2107</v>
      </c>
      <c r="C18" s="98"/>
    </row>
    <row r="19" spans="1:3" x14ac:dyDescent="0.25">
      <c r="A19" s="8" t="s">
        <v>252</v>
      </c>
      <c r="B19" s="22">
        <v>2886</v>
      </c>
      <c r="C19" s="98"/>
    </row>
    <row r="20" spans="1:3" x14ac:dyDescent="0.25">
      <c r="A20" s="8" t="s">
        <v>253</v>
      </c>
      <c r="B20" s="22">
        <v>1886</v>
      </c>
      <c r="C20" s="98"/>
    </row>
    <row r="21" spans="1:3" x14ac:dyDescent="0.25">
      <c r="A21" s="8" t="s">
        <v>254</v>
      </c>
      <c r="B21" s="22">
        <v>2177</v>
      </c>
      <c r="C21" s="98"/>
    </row>
    <row r="22" spans="1:3" x14ac:dyDescent="0.25">
      <c r="A22" s="8" t="s">
        <v>255</v>
      </c>
      <c r="B22" s="22">
        <v>1873</v>
      </c>
      <c r="C22" s="98"/>
    </row>
    <row r="23" spans="1:3" x14ac:dyDescent="0.25">
      <c r="A23" s="8" t="s">
        <v>256</v>
      </c>
      <c r="B23" s="22">
        <v>2164</v>
      </c>
      <c r="C23" s="98"/>
    </row>
    <row r="24" spans="1:3" x14ac:dyDescent="0.25">
      <c r="A24" s="8" t="s">
        <v>257</v>
      </c>
      <c r="B24" s="22">
        <v>1394</v>
      </c>
      <c r="C24" s="98"/>
    </row>
    <row r="25" spans="1:3" x14ac:dyDescent="0.25">
      <c r="A25" s="8" t="s">
        <v>258</v>
      </c>
      <c r="B25" s="22">
        <v>2263</v>
      </c>
      <c r="C25" s="98"/>
    </row>
    <row r="26" spans="1:3" x14ac:dyDescent="0.25">
      <c r="A26" s="8" t="s">
        <v>259</v>
      </c>
      <c r="B26" s="22">
        <v>2242</v>
      </c>
      <c r="C26" s="98"/>
    </row>
    <row r="27" spans="1:3" x14ac:dyDescent="0.25">
      <c r="A27" s="8" t="s">
        <v>260</v>
      </c>
      <c r="B27" s="22">
        <v>1474</v>
      </c>
      <c r="C27" s="98"/>
    </row>
    <row r="28" spans="1:3" x14ac:dyDescent="0.25">
      <c r="A28" s="8" t="s">
        <v>261</v>
      </c>
      <c r="B28" s="22">
        <v>1998</v>
      </c>
      <c r="C28" s="98"/>
    </row>
    <row r="29" spans="1:3" x14ac:dyDescent="0.25">
      <c r="A29" s="8" t="s">
        <v>262</v>
      </c>
      <c r="B29" s="22">
        <v>2892</v>
      </c>
      <c r="C29" s="98"/>
    </row>
    <row r="30" spans="1:3" x14ac:dyDescent="0.25">
      <c r="A30" s="8" t="s">
        <v>263</v>
      </c>
      <c r="B30" s="22">
        <v>1873</v>
      </c>
      <c r="C30" s="98"/>
    </row>
    <row r="31" spans="1:3" x14ac:dyDescent="0.25">
      <c r="A31" s="8" t="s">
        <v>264</v>
      </c>
      <c r="B31" s="22">
        <v>1954</v>
      </c>
      <c r="C31" s="98"/>
    </row>
    <row r="32" spans="1:3" x14ac:dyDescent="0.25">
      <c r="A32" s="8" t="s">
        <v>265</v>
      </c>
      <c r="B32" s="22">
        <v>1729</v>
      </c>
      <c r="C32" s="98"/>
    </row>
    <row r="33" spans="1:3" x14ac:dyDescent="0.25">
      <c r="A33" s="8" t="s">
        <v>266</v>
      </c>
      <c r="B33" s="22">
        <v>1140</v>
      </c>
      <c r="C33" s="98"/>
    </row>
    <row r="34" spans="1:3" x14ac:dyDescent="0.25">
      <c r="A34" s="8" t="s">
        <v>267</v>
      </c>
      <c r="B34" s="22">
        <v>1528</v>
      </c>
      <c r="C34" s="98"/>
    </row>
    <row r="35" spans="1:3" x14ac:dyDescent="0.25">
      <c r="A35" s="8" t="s">
        <v>268</v>
      </c>
      <c r="B35" s="22">
        <v>1659</v>
      </c>
      <c r="C35" s="98"/>
    </row>
    <row r="36" spans="1:3" x14ac:dyDescent="0.25">
      <c r="A36" s="8" t="s">
        <v>269</v>
      </c>
      <c r="B36" s="22">
        <v>2119</v>
      </c>
      <c r="C36" s="98"/>
    </row>
    <row r="37" spans="1:3" x14ac:dyDescent="0.25">
      <c r="A37" s="8" t="s">
        <v>270</v>
      </c>
      <c r="B37" s="22">
        <v>1854</v>
      </c>
      <c r="C37" s="98"/>
    </row>
    <row r="38" spans="1:3" x14ac:dyDescent="0.25">
      <c r="A38" s="8" t="s">
        <v>271</v>
      </c>
      <c r="B38" s="22">
        <v>2759</v>
      </c>
      <c r="C38" s="98"/>
    </row>
    <row r="39" spans="1:3" x14ac:dyDescent="0.25">
      <c r="A39" s="8" t="s">
        <v>272</v>
      </c>
      <c r="B39" s="22">
        <v>1237</v>
      </c>
      <c r="C39" s="98"/>
    </row>
    <row r="40" spans="1:3" x14ac:dyDescent="0.25">
      <c r="A40" s="8" t="s">
        <v>273</v>
      </c>
      <c r="B40" s="22">
        <v>1653</v>
      </c>
      <c r="C40" s="98"/>
    </row>
    <row r="41" spans="1:3" x14ac:dyDescent="0.25">
      <c r="A41" s="8" t="s">
        <v>274</v>
      </c>
      <c r="B41" s="22">
        <v>2604</v>
      </c>
      <c r="C41" s="98"/>
    </row>
    <row r="42" spans="1:3" x14ac:dyDescent="0.25">
      <c r="A42" s="8" t="s">
        <v>275</v>
      </c>
      <c r="B42" s="22">
        <v>1479</v>
      </c>
      <c r="C42" s="98"/>
    </row>
    <row r="43" spans="1:3" x14ac:dyDescent="0.25">
      <c r="A43" s="8" t="s">
        <v>276</v>
      </c>
      <c r="B43" s="22">
        <v>2569</v>
      </c>
      <c r="C43" s="98"/>
    </row>
    <row r="44" spans="1:3" x14ac:dyDescent="0.25">
      <c r="A44" s="8" t="s">
        <v>277</v>
      </c>
      <c r="B44" s="22">
        <v>1941</v>
      </c>
      <c r="C44" s="98"/>
    </row>
    <row r="45" spans="1:3" x14ac:dyDescent="0.25">
      <c r="A45" s="8" t="s">
        <v>278</v>
      </c>
      <c r="B45" s="22">
        <v>2793</v>
      </c>
      <c r="C45" s="98"/>
    </row>
    <row r="46" spans="1:3" x14ac:dyDescent="0.25">
      <c r="A46" s="8" t="s">
        <v>279</v>
      </c>
      <c r="B46" s="22">
        <v>2614</v>
      </c>
      <c r="C46" s="98"/>
    </row>
    <row r="47" spans="1:3" x14ac:dyDescent="0.25">
      <c r="A47" s="8" t="s">
        <v>280</v>
      </c>
      <c r="B47" s="22">
        <v>1645</v>
      </c>
      <c r="C47" s="98"/>
    </row>
    <row r="48" spans="1:3" x14ac:dyDescent="0.25">
      <c r="A48" s="8" t="s">
        <v>281</v>
      </c>
      <c r="B48" s="22">
        <v>1733</v>
      </c>
      <c r="C48" s="98"/>
    </row>
    <row r="49" spans="1:3" x14ac:dyDescent="0.25">
      <c r="A49" s="8" t="s">
        <v>282</v>
      </c>
      <c r="B49" s="22">
        <v>2466</v>
      </c>
      <c r="C49" s="98"/>
    </row>
    <row r="50" spans="1:3" x14ac:dyDescent="0.25">
      <c r="A50" s="8" t="s">
        <v>283</v>
      </c>
      <c r="B50" s="22">
        <v>2833</v>
      </c>
      <c r="C50" s="98"/>
    </row>
    <row r="51" spans="1:3" x14ac:dyDescent="0.25">
      <c r="A51" s="8" t="s">
        <v>284</v>
      </c>
      <c r="B51" s="22">
        <v>1604</v>
      </c>
      <c r="C51" s="98"/>
    </row>
    <row r="52" spans="1:3" x14ac:dyDescent="0.25">
      <c r="A52" s="8" t="s">
        <v>285</v>
      </c>
      <c r="B52" s="22">
        <v>2588</v>
      </c>
      <c r="C52" s="98"/>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rgb="FF0000FF"/>
  </sheetPr>
  <dimension ref="A1:G12"/>
  <sheetViews>
    <sheetView workbookViewId="0">
      <selection activeCell="C2" sqref="C2"/>
    </sheetView>
  </sheetViews>
  <sheetFormatPr defaultColWidth="9.140625" defaultRowHeight="15" x14ac:dyDescent="0.25"/>
  <cols>
    <col min="1" max="1" width="11.28515625" customWidth="1"/>
    <col min="2" max="7" width="10.5703125" bestFit="1" customWidth="1"/>
  </cols>
  <sheetData>
    <row r="1" spans="1:7" x14ac:dyDescent="0.25">
      <c r="B1" s="99" t="s">
        <v>286</v>
      </c>
      <c r="C1" s="99" t="s">
        <v>287</v>
      </c>
      <c r="D1" s="99" t="s">
        <v>288</v>
      </c>
      <c r="E1" s="99" t="s">
        <v>289</v>
      </c>
      <c r="F1" s="99" t="s">
        <v>70</v>
      </c>
      <c r="G1" s="99" t="s">
        <v>290</v>
      </c>
    </row>
    <row r="2" spans="1:7" x14ac:dyDescent="0.25">
      <c r="A2" s="27" t="s">
        <v>122</v>
      </c>
      <c r="B2" s="100">
        <v>20000</v>
      </c>
      <c r="C2" s="81"/>
      <c r="D2" s="81"/>
      <c r="E2" s="81"/>
      <c r="F2" s="81"/>
      <c r="G2" s="81"/>
    </row>
    <row r="4" spans="1:7" ht="45" x14ac:dyDescent="0.25">
      <c r="A4" s="101" t="s">
        <v>291</v>
      </c>
      <c r="B4" s="102">
        <v>1.0149999999999999</v>
      </c>
    </row>
    <row r="8" spans="1:7" x14ac:dyDescent="0.25">
      <c r="A8" s="18" t="s">
        <v>1192</v>
      </c>
      <c r="B8" s="18" t="s">
        <v>1388</v>
      </c>
      <c r="C8" s="18" t="s">
        <v>1389</v>
      </c>
    </row>
    <row r="9" spans="1:7" x14ac:dyDescent="0.25">
      <c r="A9" s="22">
        <v>1000</v>
      </c>
      <c r="B9" s="130">
        <v>0.1</v>
      </c>
      <c r="C9" s="10"/>
    </row>
    <row r="10" spans="1:7" x14ac:dyDescent="0.25">
      <c r="A10" s="22">
        <v>1000</v>
      </c>
      <c r="B10" s="130">
        <v>-0.1</v>
      </c>
      <c r="C10" s="10"/>
    </row>
    <row r="12" spans="1:7" x14ac:dyDescent="0.25">
      <c r="A12" t="s">
        <v>1390</v>
      </c>
    </row>
  </sheetData>
  <pageMargins left="0.7" right="0.7" top="0.75" bottom="0.75" header="0.3" footer="0.3"/>
  <drawing r:id="rId1"/>
  <legacyDrawing r:id="rId2"/>
  <oleObjects>
    <mc:AlternateContent xmlns:mc="http://schemas.openxmlformats.org/markup-compatibility/2006">
      <mc:Choice Requires="x14">
        <oleObject progId="Word.Document.12" shapeId="6145" r:id="rId3">
          <objectPr defaultSize="0" r:id="rId4">
            <anchor moveWithCells="1">
              <from>
                <xdr:col>8</xdr:col>
                <xdr:colOff>247650</xdr:colOff>
                <xdr:row>0</xdr:row>
                <xdr:rowOff>133350</xdr:rowOff>
              </from>
              <to>
                <xdr:col>17</xdr:col>
                <xdr:colOff>571500</xdr:colOff>
                <xdr:row>34</xdr:row>
                <xdr:rowOff>104775</xdr:rowOff>
              </to>
            </anchor>
          </objectPr>
        </oleObject>
      </mc:Choice>
      <mc:Fallback>
        <oleObject progId="Word.Document.12" shapeId="6145" r:id="rId3"/>
      </mc:Fallback>
    </mc:AlternateContent>
  </oleObjec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tabColor rgb="FF0000FF"/>
  </sheetPr>
  <dimension ref="A1:G20"/>
  <sheetViews>
    <sheetView workbookViewId="0">
      <selection activeCell="C8" sqref="C8"/>
    </sheetView>
  </sheetViews>
  <sheetFormatPr defaultColWidth="9.140625" defaultRowHeight="15" x14ac:dyDescent="0.25"/>
  <cols>
    <col min="1" max="1" width="11.42578125" bestFit="1" customWidth="1"/>
    <col min="2" max="3" width="14.28515625" bestFit="1" customWidth="1"/>
    <col min="4" max="4" width="14.42578125" bestFit="1" customWidth="1"/>
    <col min="5" max="7" width="15.28515625" bestFit="1" customWidth="1"/>
  </cols>
  <sheetData>
    <row r="1" spans="1:7" x14ac:dyDescent="0.25">
      <c r="A1" s="18" t="s">
        <v>292</v>
      </c>
      <c r="B1" s="22">
        <v>3000</v>
      </c>
    </row>
    <row r="3" spans="1:7" x14ac:dyDescent="0.25">
      <c r="A3" s="103" t="s">
        <v>293</v>
      </c>
      <c r="B3" s="103"/>
      <c r="C3" s="103"/>
      <c r="D3" s="103"/>
      <c r="E3" s="103"/>
      <c r="F3" s="103"/>
      <c r="G3" s="103"/>
    </row>
    <row r="4" spans="1:7" x14ac:dyDescent="0.25">
      <c r="A4" s="8" t="s">
        <v>294</v>
      </c>
      <c r="B4" s="104">
        <f>B17</f>
        <v>0.06</v>
      </c>
      <c r="C4" s="104">
        <f>B4+$B18</f>
        <v>6.9999999999999993E-2</v>
      </c>
      <c r="D4" s="104">
        <f>C4+$B18</f>
        <v>7.9999999999999988E-2</v>
      </c>
      <c r="E4" s="104">
        <f>D4+$B18</f>
        <v>8.9999999999999983E-2</v>
      </c>
      <c r="F4" s="104">
        <f>E4+$B18</f>
        <v>9.9999999999999978E-2</v>
      </c>
      <c r="G4" s="104">
        <f>F4+$B18</f>
        <v>0.10999999999999997</v>
      </c>
    </row>
    <row r="5" spans="1:7" x14ac:dyDescent="0.25">
      <c r="A5" s="18">
        <f>B19</f>
        <v>5</v>
      </c>
      <c r="B5" s="23"/>
      <c r="C5" s="23"/>
      <c r="D5" s="23"/>
      <c r="E5" s="23"/>
      <c r="F5" s="23"/>
      <c r="G5" s="23"/>
    </row>
    <row r="6" spans="1:7" x14ac:dyDescent="0.25">
      <c r="A6" s="18">
        <f t="shared" ref="A6:A13" si="0">A5+B$20</f>
        <v>10</v>
      </c>
      <c r="B6" s="23"/>
      <c r="C6" s="23"/>
      <c r="D6" s="23"/>
      <c r="E6" s="23"/>
      <c r="F6" s="23"/>
      <c r="G6" s="23"/>
    </row>
    <row r="7" spans="1:7" x14ac:dyDescent="0.25">
      <c r="A7" s="18">
        <f t="shared" si="0"/>
        <v>15</v>
      </c>
      <c r="B7" s="23"/>
      <c r="C7" s="23"/>
      <c r="D7" s="23"/>
      <c r="E7" s="23"/>
      <c r="F7" s="23"/>
      <c r="G7" s="23"/>
    </row>
    <row r="8" spans="1:7" x14ac:dyDescent="0.25">
      <c r="A8" s="18">
        <f t="shared" si="0"/>
        <v>20</v>
      </c>
      <c r="B8" s="23"/>
      <c r="C8" s="23"/>
      <c r="D8" s="23"/>
      <c r="E8" s="23"/>
      <c r="F8" s="23"/>
      <c r="G8" s="23"/>
    </row>
    <row r="9" spans="1:7" x14ac:dyDescent="0.25">
      <c r="A9" s="18">
        <f t="shared" si="0"/>
        <v>25</v>
      </c>
      <c r="B9" s="23"/>
      <c r="C9" s="23"/>
      <c r="D9" s="23"/>
      <c r="E9" s="23"/>
      <c r="F9" s="23"/>
      <c r="G9" s="23"/>
    </row>
    <row r="10" spans="1:7" x14ac:dyDescent="0.25">
      <c r="A10" s="18">
        <f t="shared" si="0"/>
        <v>30</v>
      </c>
      <c r="B10" s="23"/>
      <c r="C10" s="23"/>
      <c r="D10" s="23"/>
      <c r="E10" s="23"/>
      <c r="F10" s="23"/>
      <c r="G10" s="23"/>
    </row>
    <row r="11" spans="1:7" x14ac:dyDescent="0.25">
      <c r="A11" s="18">
        <f t="shared" si="0"/>
        <v>35</v>
      </c>
      <c r="B11" s="23"/>
      <c r="C11" s="23"/>
      <c r="D11" s="23"/>
      <c r="E11" s="23"/>
      <c r="F11" s="23"/>
      <c r="G11" s="23"/>
    </row>
    <row r="12" spans="1:7" x14ac:dyDescent="0.25">
      <c r="A12" s="18">
        <f t="shared" si="0"/>
        <v>40</v>
      </c>
      <c r="B12" s="23"/>
      <c r="C12" s="23"/>
      <c r="D12" s="23"/>
      <c r="E12" s="23"/>
      <c r="F12" s="23"/>
      <c r="G12" s="23"/>
    </row>
    <row r="13" spans="1:7" x14ac:dyDescent="0.25">
      <c r="A13" s="18">
        <f t="shared" si="0"/>
        <v>45</v>
      </c>
      <c r="B13" s="23"/>
      <c r="C13" s="23"/>
      <c r="D13" s="23"/>
      <c r="E13" s="23"/>
      <c r="F13" s="23"/>
      <c r="G13" s="23"/>
    </row>
    <row r="16" spans="1:7" x14ac:dyDescent="0.25">
      <c r="A16" s="97" t="s">
        <v>227</v>
      </c>
      <c r="B16" s="97"/>
    </row>
    <row r="17" spans="1:2" x14ac:dyDescent="0.25">
      <c r="A17" s="8" t="s">
        <v>295</v>
      </c>
      <c r="B17" s="105">
        <v>0.06</v>
      </c>
    </row>
    <row r="18" spans="1:2" x14ac:dyDescent="0.25">
      <c r="A18" s="8" t="s">
        <v>296</v>
      </c>
      <c r="B18" s="105">
        <v>0.01</v>
      </c>
    </row>
    <row r="19" spans="1:2" x14ac:dyDescent="0.25">
      <c r="A19" s="8" t="s">
        <v>297</v>
      </c>
      <c r="B19" s="8">
        <v>5</v>
      </c>
    </row>
    <row r="20" spans="1:2" x14ac:dyDescent="0.25">
      <c r="A20" s="8" t="s">
        <v>235</v>
      </c>
      <c r="B20" s="8">
        <v>5</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tabColor rgb="FF0000FF"/>
  </sheetPr>
  <dimension ref="A1:N15"/>
  <sheetViews>
    <sheetView workbookViewId="0">
      <selection activeCell="C8" sqref="C8"/>
    </sheetView>
  </sheetViews>
  <sheetFormatPr defaultColWidth="9.85546875" defaultRowHeight="15" x14ac:dyDescent="0.25"/>
  <cols>
    <col min="1" max="1" width="4.7109375" customWidth="1"/>
  </cols>
  <sheetData>
    <row r="1" spans="1:14" ht="26.25" x14ac:dyDescent="0.4">
      <c r="B1" s="106" t="s">
        <v>298</v>
      </c>
      <c r="C1" s="107"/>
      <c r="D1" s="106"/>
      <c r="E1" s="106"/>
      <c r="F1" s="106"/>
      <c r="G1" s="106"/>
      <c r="H1" s="106"/>
      <c r="I1" s="106"/>
      <c r="J1" s="106"/>
      <c r="K1" s="106"/>
      <c r="L1" s="106"/>
      <c r="M1" s="106"/>
      <c r="N1" s="106"/>
    </row>
    <row r="2" spans="1:14" ht="18.75" x14ac:dyDescent="0.3">
      <c r="B2" s="108" t="s">
        <v>299</v>
      </c>
      <c r="C2" s="109"/>
      <c r="D2" s="109"/>
      <c r="E2" s="109"/>
      <c r="F2" s="109"/>
      <c r="G2" s="109"/>
      <c r="H2" s="109"/>
      <c r="I2" s="109"/>
      <c r="J2" s="109"/>
      <c r="K2" s="109"/>
      <c r="L2" s="109"/>
      <c r="M2" s="109"/>
      <c r="N2" s="110"/>
    </row>
    <row r="3" spans="1:14" x14ac:dyDescent="0.25">
      <c r="A3" s="430" t="s">
        <v>300</v>
      </c>
      <c r="B3" s="111"/>
      <c r="C3" s="112">
        <f>COLUMNS($C3:C3)</f>
        <v>1</v>
      </c>
      <c r="D3" s="112">
        <f>COLUMNS($C3:D3)</f>
        <v>2</v>
      </c>
      <c r="E3" s="112">
        <f>COLUMNS($C3:E3)</f>
        <v>3</v>
      </c>
      <c r="F3" s="112">
        <f>COLUMNS($C3:F3)</f>
        <v>4</v>
      </c>
      <c r="G3" s="112">
        <f>COLUMNS($C3:G3)</f>
        <v>5</v>
      </c>
      <c r="H3" s="112">
        <f>COLUMNS($C3:H3)</f>
        <v>6</v>
      </c>
      <c r="I3" s="112">
        <f>COLUMNS($C3:I3)</f>
        <v>7</v>
      </c>
      <c r="J3" s="112">
        <f>COLUMNS($C3:J3)</f>
        <v>8</v>
      </c>
      <c r="K3" s="112">
        <f>COLUMNS($C3:K3)</f>
        <v>9</v>
      </c>
      <c r="L3" s="112">
        <f>COLUMNS($C3:L3)</f>
        <v>10</v>
      </c>
      <c r="M3" s="112">
        <f>COLUMNS($C3:M3)</f>
        <v>11</v>
      </c>
      <c r="N3" s="112">
        <f>COLUMNS($C3:N3)</f>
        <v>12</v>
      </c>
    </row>
    <row r="4" spans="1:14" x14ac:dyDescent="0.25">
      <c r="A4" s="431"/>
      <c r="B4" s="112">
        <f>ROWS(B$4:B4)</f>
        <v>1</v>
      </c>
      <c r="C4" s="113"/>
      <c r="D4" s="113"/>
      <c r="E4" s="114"/>
      <c r="F4" s="114"/>
      <c r="G4" s="114"/>
      <c r="H4" s="114"/>
      <c r="I4" s="114"/>
      <c r="J4" s="114"/>
      <c r="K4" s="114"/>
      <c r="L4" s="114"/>
      <c r="M4" s="114"/>
      <c r="N4" s="114"/>
    </row>
    <row r="5" spans="1:14" x14ac:dyDescent="0.25">
      <c r="A5" s="431"/>
      <c r="B5" s="112">
        <f>ROWS(B$4:B5)</f>
        <v>2</v>
      </c>
      <c r="C5" s="113"/>
      <c r="D5" s="10"/>
      <c r="E5" s="10"/>
      <c r="F5" s="10"/>
      <c r="G5" s="10"/>
      <c r="H5" s="10"/>
      <c r="I5" s="10"/>
      <c r="J5" s="10"/>
      <c r="K5" s="10"/>
      <c r="L5" s="10"/>
      <c r="M5" s="10"/>
      <c r="N5" s="10"/>
    </row>
    <row r="6" spans="1:14" x14ac:dyDescent="0.25">
      <c r="A6" s="431"/>
      <c r="B6" s="112">
        <f>ROWS(B$4:B6)</f>
        <v>3</v>
      </c>
      <c r="C6" s="115"/>
      <c r="D6" s="10"/>
      <c r="E6" s="10"/>
      <c r="F6" s="10"/>
      <c r="G6" s="10"/>
      <c r="H6" s="10"/>
      <c r="I6" s="10"/>
      <c r="J6" s="10"/>
      <c r="K6" s="10"/>
      <c r="L6" s="10"/>
      <c r="M6" s="10"/>
      <c r="N6" s="10"/>
    </row>
    <row r="7" spans="1:14" x14ac:dyDescent="0.25">
      <c r="A7" s="431"/>
      <c r="B7" s="112">
        <f>ROWS(B$4:B7)</f>
        <v>4</v>
      </c>
      <c r="C7" s="115"/>
      <c r="D7" s="10"/>
      <c r="E7" s="10"/>
      <c r="F7" s="10"/>
      <c r="G7" s="10"/>
      <c r="H7" s="10"/>
      <c r="I7" s="10"/>
      <c r="J7" s="10"/>
      <c r="K7" s="10"/>
      <c r="L7" s="10"/>
      <c r="M7" s="10"/>
      <c r="N7" s="10"/>
    </row>
    <row r="8" spans="1:14" x14ac:dyDescent="0.25">
      <c r="A8" s="431"/>
      <c r="B8" s="112">
        <f>ROWS(B$4:B8)</f>
        <v>5</v>
      </c>
      <c r="C8" s="115"/>
      <c r="D8" s="10"/>
      <c r="E8" s="10"/>
      <c r="F8" s="10"/>
      <c r="G8" s="10"/>
      <c r="H8" s="10"/>
      <c r="I8" s="10"/>
      <c r="J8" s="10"/>
      <c r="K8" s="10"/>
      <c r="L8" s="10"/>
      <c r="M8" s="10"/>
      <c r="N8" s="10"/>
    </row>
    <row r="9" spans="1:14" x14ac:dyDescent="0.25">
      <c r="A9" s="431"/>
      <c r="B9" s="112">
        <f>ROWS(B$4:B9)</f>
        <v>6</v>
      </c>
      <c r="C9" s="115"/>
      <c r="D9" s="10"/>
      <c r="E9" s="10"/>
      <c r="F9" s="10"/>
      <c r="G9" s="10"/>
      <c r="H9" s="10"/>
      <c r="I9" s="10"/>
      <c r="J9" s="10"/>
      <c r="K9" s="10"/>
      <c r="L9" s="10"/>
      <c r="M9" s="10"/>
      <c r="N9" s="10"/>
    </row>
    <row r="10" spans="1:14" x14ac:dyDescent="0.25">
      <c r="A10" s="431"/>
      <c r="B10" s="112">
        <f>ROWS(B$4:B10)</f>
        <v>7</v>
      </c>
      <c r="C10" s="115"/>
      <c r="D10" s="10"/>
      <c r="E10" s="10"/>
      <c r="F10" s="10"/>
      <c r="G10" s="10"/>
      <c r="H10" s="10"/>
      <c r="I10" s="10"/>
      <c r="J10" s="10"/>
      <c r="K10" s="10"/>
      <c r="L10" s="10"/>
      <c r="M10" s="10"/>
      <c r="N10" s="10"/>
    </row>
    <row r="11" spans="1:14" x14ac:dyDescent="0.25">
      <c r="A11" s="431"/>
      <c r="B11" s="112">
        <f>ROWS(B$4:B11)</f>
        <v>8</v>
      </c>
      <c r="C11" s="115"/>
      <c r="D11" s="10"/>
      <c r="E11" s="10"/>
      <c r="F11" s="10"/>
      <c r="G11" s="10"/>
      <c r="H11" s="10"/>
      <c r="I11" s="10"/>
      <c r="J11" s="10"/>
      <c r="K11" s="10"/>
      <c r="L11" s="10"/>
      <c r="M11" s="10"/>
      <c r="N11" s="10"/>
    </row>
    <row r="12" spans="1:14" x14ac:dyDescent="0.25">
      <c r="A12" s="431"/>
      <c r="B12" s="112">
        <f>ROWS(B$4:B12)</f>
        <v>9</v>
      </c>
      <c r="C12" s="115"/>
      <c r="D12" s="10"/>
      <c r="E12" s="10"/>
      <c r="F12" s="10"/>
      <c r="G12" s="10"/>
      <c r="H12" s="10"/>
      <c r="I12" s="10"/>
      <c r="J12" s="10"/>
      <c r="K12" s="10"/>
      <c r="L12" s="10"/>
      <c r="M12" s="10"/>
      <c r="N12" s="10"/>
    </row>
    <row r="13" spans="1:14" x14ac:dyDescent="0.25">
      <c r="A13" s="431"/>
      <c r="B13" s="112">
        <f>ROWS(B$4:B13)</f>
        <v>10</v>
      </c>
      <c r="C13" s="115"/>
      <c r="D13" s="10"/>
      <c r="E13" s="10"/>
      <c r="F13" s="10"/>
      <c r="G13" s="10"/>
      <c r="H13" s="10"/>
      <c r="I13" s="10"/>
      <c r="J13" s="10"/>
      <c r="K13" s="10"/>
      <c r="L13" s="10"/>
      <c r="M13" s="10"/>
      <c r="N13" s="10"/>
    </row>
    <row r="14" spans="1:14" x14ac:dyDescent="0.25">
      <c r="A14" s="431"/>
      <c r="B14" s="112">
        <f>ROWS(B$4:B14)</f>
        <v>11</v>
      </c>
      <c r="C14" s="115"/>
      <c r="D14" s="10"/>
      <c r="E14" s="10"/>
      <c r="F14" s="10"/>
      <c r="G14" s="10"/>
      <c r="H14" s="10"/>
      <c r="I14" s="10"/>
      <c r="J14" s="10"/>
      <c r="K14" s="10"/>
      <c r="L14" s="10"/>
      <c r="M14" s="10"/>
      <c r="N14" s="10"/>
    </row>
    <row r="15" spans="1:14" x14ac:dyDescent="0.25">
      <c r="A15" s="430"/>
      <c r="B15" s="112">
        <f>ROWS(B$4:B15)</f>
        <v>12</v>
      </c>
      <c r="C15" s="10"/>
      <c r="D15" s="10"/>
      <c r="E15" s="10"/>
      <c r="F15" s="10"/>
      <c r="G15" s="10"/>
      <c r="H15" s="10"/>
      <c r="I15" s="10"/>
      <c r="J15" s="10"/>
      <c r="K15" s="10"/>
      <c r="L15" s="10"/>
      <c r="M15" s="10"/>
      <c r="N15" s="10"/>
    </row>
  </sheetData>
  <mergeCells count="1">
    <mergeCell ref="A3:A15"/>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2">
    <tabColor rgb="FF0000FF"/>
  </sheetPr>
  <dimension ref="A1:N127"/>
  <sheetViews>
    <sheetView workbookViewId="0">
      <selection activeCell="H2" sqref="H2"/>
    </sheetView>
  </sheetViews>
  <sheetFormatPr defaultRowHeight="15" x14ac:dyDescent="0.25"/>
  <cols>
    <col min="1" max="1" width="10.7109375" bestFit="1" customWidth="1"/>
    <col min="2" max="2" width="9" bestFit="1" customWidth="1"/>
    <col min="3" max="3" width="11.7109375" bestFit="1" customWidth="1"/>
    <col min="4" max="4" width="9.5703125" bestFit="1" customWidth="1"/>
    <col min="5" max="5" width="10.42578125" bestFit="1" customWidth="1"/>
    <col min="6" max="6" width="5.7109375" customWidth="1"/>
    <col min="7" max="7" width="9.7109375" bestFit="1" customWidth="1"/>
    <col min="8" max="8" width="11.42578125" bestFit="1" customWidth="1"/>
    <col min="9" max="9" width="5.28515625" customWidth="1"/>
    <col min="10" max="10" width="15.42578125" customWidth="1"/>
    <col min="11" max="11" width="7.28515625" bestFit="1" customWidth="1"/>
    <col min="12" max="12" width="9.5703125" bestFit="1" customWidth="1"/>
    <col min="13" max="14" width="7.28515625" bestFit="1" customWidth="1"/>
  </cols>
  <sheetData>
    <row r="1" spans="1:12" x14ac:dyDescent="0.25">
      <c r="A1" s="5" t="s">
        <v>0</v>
      </c>
      <c r="B1" s="5" t="s">
        <v>1</v>
      </c>
      <c r="C1" s="5" t="s">
        <v>8</v>
      </c>
      <c r="D1" s="6" t="s">
        <v>2</v>
      </c>
      <c r="E1" s="6" t="s">
        <v>37</v>
      </c>
      <c r="G1" s="18" t="s">
        <v>1</v>
      </c>
      <c r="H1" s="18" t="s">
        <v>9</v>
      </c>
      <c r="J1" t="s">
        <v>301</v>
      </c>
    </row>
    <row r="2" spans="1:12" x14ac:dyDescent="0.25">
      <c r="A2" s="116">
        <v>40186</v>
      </c>
      <c r="B2" s="117" t="s">
        <v>4</v>
      </c>
      <c r="C2" s="117" t="s">
        <v>14</v>
      </c>
      <c r="D2" s="117">
        <v>27</v>
      </c>
      <c r="E2" s="118">
        <v>1179.6299999999999</v>
      </c>
      <c r="G2" s="117" t="s">
        <v>4</v>
      </c>
      <c r="H2" s="23"/>
      <c r="J2" s="23">
        <f>SUMIF(B$2:B$19,G2,E$2:E$19)</f>
        <v>2641.48</v>
      </c>
      <c r="L2" s="23">
        <f ca="1">SUMIF(B$2:B$19,G2,E$2)</f>
        <v>2641.48</v>
      </c>
    </row>
    <row r="3" spans="1:12" x14ac:dyDescent="0.25">
      <c r="A3" s="116">
        <v>40181</v>
      </c>
      <c r="B3" s="117" t="s">
        <v>13</v>
      </c>
      <c r="C3" s="117" t="s">
        <v>14</v>
      </c>
      <c r="D3" s="117">
        <v>20</v>
      </c>
      <c r="E3" s="118">
        <v>873.8</v>
      </c>
      <c r="G3" s="117" t="s">
        <v>13</v>
      </c>
      <c r="H3" s="23"/>
      <c r="J3" s="23">
        <f t="shared" ref="J3:J8" si="0">SUMIF(B$2:B$19,G3,E$2:E$19)</f>
        <v>1314.1999999999998</v>
      </c>
      <c r="L3" s="23">
        <f t="shared" ref="L3:L8" ca="1" si="1">SUMIF(B$2:B$19,G3,E$2)</f>
        <v>1314.1999999999998</v>
      </c>
    </row>
    <row r="4" spans="1:12" x14ac:dyDescent="0.25">
      <c r="A4" s="116">
        <v>40184</v>
      </c>
      <c r="B4" s="117" t="s">
        <v>4</v>
      </c>
      <c r="C4" s="117" t="s">
        <v>18</v>
      </c>
      <c r="D4" s="117">
        <v>23</v>
      </c>
      <c r="E4" s="118">
        <v>757.85</v>
      </c>
      <c r="G4" s="117" t="s">
        <v>10</v>
      </c>
      <c r="H4" s="23"/>
      <c r="J4" s="23">
        <f t="shared" si="0"/>
        <v>1080.7</v>
      </c>
      <c r="K4" t="s">
        <v>1318</v>
      </c>
      <c r="L4" s="23">
        <f t="shared" ca="1" si="1"/>
        <v>1080.7</v>
      </c>
    </row>
    <row r="5" spans="1:12" x14ac:dyDescent="0.25">
      <c r="A5" s="116">
        <v>40179</v>
      </c>
      <c r="B5" s="117" t="s">
        <v>10</v>
      </c>
      <c r="C5" s="117" t="s">
        <v>11</v>
      </c>
      <c r="D5" s="117">
        <v>26</v>
      </c>
      <c r="E5" s="118">
        <v>492.7</v>
      </c>
      <c r="G5" s="117" t="s">
        <v>3</v>
      </c>
      <c r="H5" s="23"/>
      <c r="J5" s="23">
        <f t="shared" si="0"/>
        <v>343.84999999999997</v>
      </c>
      <c r="L5" s="23">
        <f t="shared" ca="1" si="1"/>
        <v>343.84999999999997</v>
      </c>
    </row>
    <row r="6" spans="1:12" x14ac:dyDescent="0.25">
      <c r="A6" s="116">
        <v>40184</v>
      </c>
      <c r="B6" s="117" t="s">
        <v>4</v>
      </c>
      <c r="C6" s="117" t="s">
        <v>12</v>
      </c>
      <c r="D6" s="117">
        <v>25</v>
      </c>
      <c r="E6" s="118">
        <v>350</v>
      </c>
      <c r="G6" s="117" t="s">
        <v>16</v>
      </c>
      <c r="H6" s="23"/>
      <c r="J6" s="23">
        <f t="shared" si="0"/>
        <v>534.4</v>
      </c>
      <c r="L6" s="23">
        <f t="shared" ca="1" si="1"/>
        <v>534.4</v>
      </c>
    </row>
    <row r="7" spans="1:12" x14ac:dyDescent="0.25">
      <c r="A7" s="116">
        <v>40186</v>
      </c>
      <c r="B7" s="117" t="s">
        <v>3</v>
      </c>
      <c r="C7" s="117" t="s">
        <v>17</v>
      </c>
      <c r="D7" s="117">
        <v>23</v>
      </c>
      <c r="E7" s="118">
        <v>343.84999999999997</v>
      </c>
      <c r="G7" s="117" t="s">
        <v>7</v>
      </c>
      <c r="H7" s="23"/>
      <c r="J7" s="23">
        <f t="shared" si="0"/>
        <v>302</v>
      </c>
      <c r="L7" s="23">
        <f t="shared" ca="1" si="1"/>
        <v>302</v>
      </c>
    </row>
    <row r="8" spans="1:12" x14ac:dyDescent="0.25">
      <c r="A8" s="116">
        <v>40180</v>
      </c>
      <c r="B8" s="117" t="s">
        <v>10</v>
      </c>
      <c r="C8" s="117" t="s">
        <v>12</v>
      </c>
      <c r="D8" s="117">
        <v>24</v>
      </c>
      <c r="E8" s="118">
        <v>336</v>
      </c>
      <c r="G8" s="117" t="s">
        <v>23</v>
      </c>
      <c r="H8" s="23"/>
      <c r="J8" s="23">
        <f t="shared" si="0"/>
        <v>29</v>
      </c>
      <c r="L8" s="23">
        <f t="shared" ca="1" si="1"/>
        <v>29</v>
      </c>
    </row>
    <row r="9" spans="1:12" x14ac:dyDescent="0.25">
      <c r="A9" s="116">
        <v>40183</v>
      </c>
      <c r="B9" s="117" t="s">
        <v>16</v>
      </c>
      <c r="C9" s="117" t="s">
        <v>17</v>
      </c>
      <c r="D9" s="117">
        <v>18</v>
      </c>
      <c r="E9" s="118">
        <v>269.09999999999997</v>
      </c>
    </row>
    <row r="10" spans="1:12" x14ac:dyDescent="0.25">
      <c r="A10" s="116">
        <v>40185</v>
      </c>
      <c r="B10" s="117" t="s">
        <v>16</v>
      </c>
      <c r="C10" s="117" t="s">
        <v>11</v>
      </c>
      <c r="D10" s="117">
        <v>14</v>
      </c>
      <c r="E10" s="118">
        <v>265.3</v>
      </c>
    </row>
    <row r="11" spans="1:12" x14ac:dyDescent="0.25">
      <c r="A11" s="116">
        <v>40186</v>
      </c>
      <c r="B11" s="117" t="s">
        <v>10</v>
      </c>
      <c r="C11" s="117" t="s">
        <v>20</v>
      </c>
      <c r="D11" s="117">
        <v>14</v>
      </c>
      <c r="E11" s="118">
        <v>252</v>
      </c>
    </row>
    <row r="12" spans="1:12" x14ac:dyDescent="0.25">
      <c r="A12" s="116">
        <v>40185</v>
      </c>
      <c r="B12" s="117" t="s">
        <v>4</v>
      </c>
      <c r="C12" s="117" t="s">
        <v>20</v>
      </c>
      <c r="D12" s="117">
        <v>13</v>
      </c>
      <c r="E12" s="118">
        <v>234</v>
      </c>
    </row>
    <row r="13" spans="1:12" x14ac:dyDescent="0.25">
      <c r="A13" s="116">
        <v>40184</v>
      </c>
      <c r="B13" s="117" t="s">
        <v>7</v>
      </c>
      <c r="C13" s="117" t="s">
        <v>12</v>
      </c>
      <c r="D13" s="117">
        <v>13</v>
      </c>
      <c r="E13" s="118">
        <v>182</v>
      </c>
    </row>
    <row r="14" spans="1:12" x14ac:dyDescent="0.25">
      <c r="A14" s="116">
        <v>40181</v>
      </c>
      <c r="B14" s="117" t="s">
        <v>13</v>
      </c>
      <c r="C14" s="117" t="s">
        <v>15</v>
      </c>
      <c r="D14" s="117">
        <v>10</v>
      </c>
      <c r="E14" s="118">
        <v>159.5</v>
      </c>
    </row>
    <row r="15" spans="1:12" x14ac:dyDescent="0.25">
      <c r="A15" s="116">
        <v>40185</v>
      </c>
      <c r="B15" s="117" t="s">
        <v>13</v>
      </c>
      <c r="C15" s="117" t="s">
        <v>21</v>
      </c>
      <c r="D15" s="117">
        <v>6</v>
      </c>
      <c r="E15" s="118">
        <v>153.30000000000001</v>
      </c>
    </row>
    <row r="16" spans="1:12" x14ac:dyDescent="0.25">
      <c r="A16" s="116">
        <v>40184</v>
      </c>
      <c r="B16" s="117" t="s">
        <v>13</v>
      </c>
      <c r="C16" s="117" t="s">
        <v>15</v>
      </c>
      <c r="D16" s="117">
        <v>8</v>
      </c>
      <c r="E16" s="118">
        <v>127.6</v>
      </c>
    </row>
    <row r="17" spans="1:14" x14ac:dyDescent="0.25">
      <c r="A17" s="116">
        <v>40184</v>
      </c>
      <c r="B17" s="117" t="s">
        <v>7</v>
      </c>
      <c r="C17" s="117" t="s">
        <v>19</v>
      </c>
      <c r="D17" s="117">
        <v>10</v>
      </c>
      <c r="E17" s="118">
        <v>120</v>
      </c>
    </row>
    <row r="18" spans="1:14" x14ac:dyDescent="0.25">
      <c r="A18" s="116">
        <v>40186</v>
      </c>
      <c r="B18" s="117" t="s">
        <v>4</v>
      </c>
      <c r="C18" s="117" t="s">
        <v>22</v>
      </c>
      <c r="D18" s="117">
        <v>12</v>
      </c>
      <c r="E18" s="118">
        <v>120</v>
      </c>
    </row>
    <row r="19" spans="1:14" x14ac:dyDescent="0.25">
      <c r="A19" s="116">
        <v>40187</v>
      </c>
      <c r="B19" s="117" t="s">
        <v>23</v>
      </c>
      <c r="C19" s="117" t="s">
        <v>20</v>
      </c>
      <c r="D19" s="117">
        <v>1</v>
      </c>
      <c r="E19" s="118">
        <v>29</v>
      </c>
    </row>
    <row r="22" spans="1:14" x14ac:dyDescent="0.25">
      <c r="A22" s="5" t="s">
        <v>0</v>
      </c>
      <c r="B22" s="5" t="s">
        <v>302</v>
      </c>
      <c r="C22" s="5" t="s">
        <v>303</v>
      </c>
      <c r="D22" s="5" t="s">
        <v>1</v>
      </c>
      <c r="E22" s="5" t="s">
        <v>304</v>
      </c>
      <c r="F22" s="5" t="s">
        <v>305</v>
      </c>
      <c r="G22" s="5" t="s">
        <v>37</v>
      </c>
      <c r="H22" s="5" t="s">
        <v>175</v>
      </c>
      <c r="J22" s="14" t="s">
        <v>306</v>
      </c>
      <c r="K22" s="14" t="s">
        <v>307</v>
      </c>
      <c r="L22" s="14" t="s">
        <v>308</v>
      </c>
      <c r="M22" s="14" t="s">
        <v>309</v>
      </c>
      <c r="N22" s="14" t="s">
        <v>310</v>
      </c>
    </row>
    <row r="23" spans="1:14" x14ac:dyDescent="0.25">
      <c r="A23" s="75">
        <v>40556</v>
      </c>
      <c r="B23" s="8" t="s">
        <v>311</v>
      </c>
      <c r="C23" s="8" t="s">
        <v>307</v>
      </c>
      <c r="D23" s="8" t="s">
        <v>312</v>
      </c>
      <c r="E23" s="8" t="s">
        <v>313</v>
      </c>
      <c r="F23" s="8">
        <v>58</v>
      </c>
      <c r="G23" s="22">
        <v>1102</v>
      </c>
      <c r="H23" s="22">
        <v>464</v>
      </c>
      <c r="J23" s="14" t="s">
        <v>311</v>
      </c>
      <c r="K23" s="76"/>
      <c r="L23" s="76"/>
      <c r="M23" s="76"/>
      <c r="N23" s="76"/>
    </row>
    <row r="24" spans="1:14" x14ac:dyDescent="0.25">
      <c r="A24" s="75">
        <v>40558</v>
      </c>
      <c r="B24" s="8" t="s">
        <v>311</v>
      </c>
      <c r="C24" s="8" t="s">
        <v>308</v>
      </c>
      <c r="D24" s="8" t="s">
        <v>3</v>
      </c>
      <c r="E24" s="8" t="s">
        <v>314</v>
      </c>
      <c r="F24" s="8">
        <v>17</v>
      </c>
      <c r="G24" s="22">
        <v>323</v>
      </c>
      <c r="H24" s="22">
        <v>136</v>
      </c>
      <c r="J24" s="14" t="s">
        <v>315</v>
      </c>
      <c r="K24" s="76"/>
      <c r="L24" s="76"/>
      <c r="M24" s="76"/>
      <c r="N24" s="76"/>
    </row>
    <row r="25" spans="1:14" x14ac:dyDescent="0.25">
      <c r="A25" s="75">
        <v>40568</v>
      </c>
      <c r="B25" s="8" t="s">
        <v>311</v>
      </c>
      <c r="C25" s="8" t="s">
        <v>309</v>
      </c>
      <c r="D25" s="8" t="s">
        <v>312</v>
      </c>
      <c r="E25" s="8" t="s">
        <v>316</v>
      </c>
      <c r="F25" s="8">
        <v>59</v>
      </c>
      <c r="G25" s="22">
        <v>1121</v>
      </c>
      <c r="H25" s="22">
        <v>472</v>
      </c>
      <c r="J25" s="14" t="s">
        <v>317</v>
      </c>
      <c r="K25" s="76"/>
      <c r="L25" s="76"/>
      <c r="M25" s="76"/>
      <c r="N25" s="76"/>
    </row>
    <row r="26" spans="1:14" x14ac:dyDescent="0.25">
      <c r="A26" s="75">
        <v>40546</v>
      </c>
      <c r="B26" s="8" t="s">
        <v>315</v>
      </c>
      <c r="C26" s="8" t="s">
        <v>308</v>
      </c>
      <c r="D26" s="8" t="s">
        <v>7</v>
      </c>
      <c r="E26" s="8" t="s">
        <v>318</v>
      </c>
      <c r="F26" s="8">
        <v>55</v>
      </c>
      <c r="G26" s="22">
        <v>1265</v>
      </c>
      <c r="H26" s="22">
        <v>605</v>
      </c>
      <c r="J26" s="14" t="s">
        <v>319</v>
      </c>
      <c r="K26" s="76"/>
      <c r="L26" s="76"/>
      <c r="M26" s="76"/>
      <c r="N26" s="76"/>
    </row>
    <row r="27" spans="1:14" x14ac:dyDescent="0.25">
      <c r="A27" s="75">
        <v>40570</v>
      </c>
      <c r="B27" s="8" t="s">
        <v>317</v>
      </c>
      <c r="C27" s="8" t="s">
        <v>308</v>
      </c>
      <c r="D27" s="8" t="s">
        <v>312</v>
      </c>
      <c r="E27" s="8" t="s">
        <v>320</v>
      </c>
      <c r="F27" s="8">
        <v>44</v>
      </c>
      <c r="G27" s="22">
        <v>924</v>
      </c>
      <c r="H27" s="22">
        <v>407</v>
      </c>
      <c r="J27" s="14" t="s">
        <v>321</v>
      </c>
      <c r="K27" s="76"/>
      <c r="L27" s="76"/>
      <c r="M27" s="76"/>
      <c r="N27" s="76"/>
    </row>
    <row r="28" spans="1:14" x14ac:dyDescent="0.25">
      <c r="A28" s="75">
        <v>40557</v>
      </c>
      <c r="B28" s="8" t="s">
        <v>319</v>
      </c>
      <c r="C28" s="8" t="s">
        <v>308</v>
      </c>
      <c r="D28" s="8" t="s">
        <v>132</v>
      </c>
      <c r="E28" s="8" t="s">
        <v>322</v>
      </c>
      <c r="F28" s="8">
        <v>61</v>
      </c>
      <c r="G28" s="22">
        <v>1647</v>
      </c>
      <c r="H28" s="22">
        <v>884.5</v>
      </c>
    </row>
    <row r="29" spans="1:14" x14ac:dyDescent="0.25">
      <c r="A29" s="75">
        <v>40551</v>
      </c>
      <c r="B29" s="8" t="s">
        <v>319</v>
      </c>
      <c r="C29" s="8" t="s">
        <v>308</v>
      </c>
      <c r="D29" s="8" t="s">
        <v>312</v>
      </c>
      <c r="E29" s="8" t="s">
        <v>323</v>
      </c>
      <c r="F29" s="8">
        <v>50</v>
      </c>
      <c r="G29" s="22">
        <v>1350</v>
      </c>
      <c r="H29" s="22">
        <v>725</v>
      </c>
    </row>
    <row r="30" spans="1:14" x14ac:dyDescent="0.25">
      <c r="A30" s="75">
        <v>40559</v>
      </c>
      <c r="B30" s="8" t="s">
        <v>319</v>
      </c>
      <c r="C30" s="8" t="s">
        <v>307</v>
      </c>
      <c r="D30" s="8" t="s">
        <v>136</v>
      </c>
      <c r="E30" s="8" t="s">
        <v>324</v>
      </c>
      <c r="F30" s="8">
        <v>59</v>
      </c>
      <c r="G30" s="22">
        <v>1593</v>
      </c>
      <c r="H30" s="22">
        <v>855.5</v>
      </c>
    </row>
    <row r="31" spans="1:14" x14ac:dyDescent="0.25">
      <c r="A31" s="75">
        <v>40550</v>
      </c>
      <c r="B31" s="8" t="s">
        <v>319</v>
      </c>
      <c r="C31" s="8" t="s">
        <v>307</v>
      </c>
      <c r="D31" s="8" t="s">
        <v>3</v>
      </c>
      <c r="E31" s="8" t="s">
        <v>325</v>
      </c>
      <c r="F31" s="8">
        <v>36</v>
      </c>
      <c r="G31" s="22">
        <v>972</v>
      </c>
      <c r="H31" s="22">
        <v>522</v>
      </c>
    </row>
    <row r="32" spans="1:14" x14ac:dyDescent="0.25">
      <c r="A32" s="75">
        <v>40558</v>
      </c>
      <c r="B32" s="8" t="s">
        <v>317</v>
      </c>
      <c r="C32" s="8" t="s">
        <v>307</v>
      </c>
      <c r="D32" s="8" t="s">
        <v>7</v>
      </c>
      <c r="E32" s="8" t="s">
        <v>318</v>
      </c>
      <c r="F32" s="8">
        <v>14</v>
      </c>
      <c r="G32" s="22">
        <v>294</v>
      </c>
      <c r="H32" s="22">
        <v>129.5</v>
      </c>
    </row>
    <row r="33" spans="1:14" x14ac:dyDescent="0.25">
      <c r="A33" s="75">
        <v>40563</v>
      </c>
      <c r="B33" s="8" t="s">
        <v>319</v>
      </c>
      <c r="C33" s="8" t="s">
        <v>310</v>
      </c>
      <c r="D33" s="8" t="s">
        <v>136</v>
      </c>
      <c r="E33" s="8" t="s">
        <v>326</v>
      </c>
      <c r="F33" s="8">
        <v>38</v>
      </c>
      <c r="G33" s="22">
        <v>1026</v>
      </c>
      <c r="H33" s="22">
        <v>551</v>
      </c>
      <c r="J33" t="s">
        <v>301</v>
      </c>
    </row>
    <row r="34" spans="1:14" x14ac:dyDescent="0.25">
      <c r="A34" s="75">
        <v>40570</v>
      </c>
      <c r="B34" s="8" t="s">
        <v>315</v>
      </c>
      <c r="C34" s="8" t="s">
        <v>308</v>
      </c>
      <c r="D34" s="8" t="s">
        <v>3</v>
      </c>
      <c r="E34" s="8" t="s">
        <v>327</v>
      </c>
      <c r="F34" s="8">
        <v>63</v>
      </c>
      <c r="G34" s="22">
        <v>1449</v>
      </c>
      <c r="H34" s="22">
        <v>693</v>
      </c>
      <c r="J34" s="14" t="s">
        <v>306</v>
      </c>
      <c r="K34" s="14" t="s">
        <v>307</v>
      </c>
      <c r="L34" s="14" t="s">
        <v>308</v>
      </c>
      <c r="M34" s="14" t="s">
        <v>309</v>
      </c>
      <c r="N34" s="14" t="s">
        <v>310</v>
      </c>
    </row>
    <row r="35" spans="1:14" x14ac:dyDescent="0.25">
      <c r="A35" s="75">
        <v>40551</v>
      </c>
      <c r="B35" s="8" t="s">
        <v>311</v>
      </c>
      <c r="C35" s="8" t="s">
        <v>307</v>
      </c>
      <c r="D35" s="8" t="s">
        <v>328</v>
      </c>
      <c r="E35" s="8" t="s">
        <v>329</v>
      </c>
      <c r="F35" s="8">
        <v>9</v>
      </c>
      <c r="G35" s="22">
        <v>171</v>
      </c>
      <c r="H35" s="22">
        <v>72</v>
      </c>
      <c r="J35" s="14" t="s">
        <v>311</v>
      </c>
      <c r="K35" s="76">
        <f t="shared" ref="K35:N39" si="2">SUMPRODUCT($G$23:$G$127,--($B$23:$B$127=$J35),--($C$23:$C$127=K$34))</f>
        <v>4313</v>
      </c>
      <c r="L35" s="76">
        <f t="shared" si="2"/>
        <v>3933</v>
      </c>
      <c r="M35" s="76">
        <f t="shared" si="2"/>
        <v>5415</v>
      </c>
      <c r="N35" s="76">
        <f t="shared" si="2"/>
        <v>2812</v>
      </c>
    </row>
    <row r="36" spans="1:14" x14ac:dyDescent="0.25">
      <c r="A36" s="75">
        <v>40563</v>
      </c>
      <c r="B36" s="8" t="s">
        <v>315</v>
      </c>
      <c r="C36" s="8" t="s">
        <v>308</v>
      </c>
      <c r="D36" s="8" t="s">
        <v>7</v>
      </c>
      <c r="E36" s="8" t="s">
        <v>326</v>
      </c>
      <c r="F36" s="8">
        <v>65</v>
      </c>
      <c r="G36" s="22">
        <v>1495</v>
      </c>
      <c r="H36" s="22">
        <v>715</v>
      </c>
      <c r="J36" s="14" t="s">
        <v>315</v>
      </c>
      <c r="K36" s="76">
        <f t="shared" si="2"/>
        <v>2530</v>
      </c>
      <c r="L36" s="76">
        <f t="shared" si="2"/>
        <v>7981</v>
      </c>
      <c r="M36" s="76">
        <f t="shared" si="2"/>
        <v>4485</v>
      </c>
      <c r="N36" s="76">
        <f t="shared" si="2"/>
        <v>4876</v>
      </c>
    </row>
    <row r="37" spans="1:14" x14ac:dyDescent="0.25">
      <c r="A37" s="75">
        <v>40548</v>
      </c>
      <c r="B37" s="8" t="s">
        <v>319</v>
      </c>
      <c r="C37" s="8" t="s">
        <v>307</v>
      </c>
      <c r="D37" s="8" t="s">
        <v>136</v>
      </c>
      <c r="E37" s="8" t="s">
        <v>330</v>
      </c>
      <c r="F37" s="8">
        <v>35</v>
      </c>
      <c r="G37" s="22">
        <v>945</v>
      </c>
      <c r="H37" s="22">
        <v>507.5</v>
      </c>
      <c r="J37" s="14" t="s">
        <v>317</v>
      </c>
      <c r="K37" s="76">
        <f t="shared" si="2"/>
        <v>420</v>
      </c>
      <c r="L37" s="76">
        <f t="shared" si="2"/>
        <v>6216</v>
      </c>
      <c r="M37" s="76">
        <f t="shared" si="2"/>
        <v>2058</v>
      </c>
      <c r="N37" s="76">
        <f t="shared" si="2"/>
        <v>3486</v>
      </c>
    </row>
    <row r="38" spans="1:14" x14ac:dyDescent="0.25">
      <c r="A38" s="75">
        <v>40555</v>
      </c>
      <c r="B38" s="8" t="s">
        <v>311</v>
      </c>
      <c r="C38" s="8" t="s">
        <v>309</v>
      </c>
      <c r="D38" s="8" t="s">
        <v>7</v>
      </c>
      <c r="E38" s="8" t="s">
        <v>325</v>
      </c>
      <c r="F38" s="8">
        <v>37</v>
      </c>
      <c r="G38" s="22">
        <v>703</v>
      </c>
      <c r="H38" s="22">
        <v>296</v>
      </c>
      <c r="J38" s="14" t="s">
        <v>319</v>
      </c>
      <c r="K38" s="76">
        <f t="shared" si="2"/>
        <v>5805</v>
      </c>
      <c r="L38" s="76">
        <f t="shared" si="2"/>
        <v>7749</v>
      </c>
      <c r="M38" s="76">
        <f t="shared" si="2"/>
        <v>5454</v>
      </c>
      <c r="N38" s="76">
        <f t="shared" si="2"/>
        <v>3078</v>
      </c>
    </row>
    <row r="39" spans="1:14" x14ac:dyDescent="0.25">
      <c r="A39" s="75">
        <v>40547</v>
      </c>
      <c r="B39" s="8" t="s">
        <v>311</v>
      </c>
      <c r="C39" s="8" t="s">
        <v>307</v>
      </c>
      <c r="D39" s="8" t="s">
        <v>136</v>
      </c>
      <c r="E39" s="8" t="s">
        <v>331</v>
      </c>
      <c r="F39" s="8">
        <v>55</v>
      </c>
      <c r="G39" s="22">
        <v>1045</v>
      </c>
      <c r="H39" s="22">
        <v>440</v>
      </c>
      <c r="J39" s="14" t="s">
        <v>321</v>
      </c>
      <c r="K39" s="76">
        <f t="shared" si="2"/>
        <v>3586</v>
      </c>
      <c r="L39" s="76">
        <f t="shared" si="2"/>
        <v>1276</v>
      </c>
      <c r="M39" s="76">
        <f t="shared" si="2"/>
        <v>4400</v>
      </c>
      <c r="N39" s="76">
        <f t="shared" si="2"/>
        <v>2090</v>
      </c>
    </row>
    <row r="40" spans="1:14" x14ac:dyDescent="0.25">
      <c r="A40" s="75">
        <v>40571</v>
      </c>
      <c r="B40" s="8" t="s">
        <v>311</v>
      </c>
      <c r="C40" s="8" t="s">
        <v>310</v>
      </c>
      <c r="D40" s="8" t="s">
        <v>132</v>
      </c>
      <c r="E40" s="8" t="s">
        <v>313</v>
      </c>
      <c r="F40" s="8">
        <v>33</v>
      </c>
      <c r="G40" s="22">
        <v>627</v>
      </c>
      <c r="H40" s="22">
        <v>264</v>
      </c>
    </row>
    <row r="41" spans="1:14" x14ac:dyDescent="0.25">
      <c r="A41" s="75">
        <v>40547</v>
      </c>
      <c r="B41" s="8" t="s">
        <v>315</v>
      </c>
      <c r="C41" s="8" t="s">
        <v>307</v>
      </c>
      <c r="D41" s="8" t="s">
        <v>7</v>
      </c>
      <c r="E41" s="8" t="s">
        <v>332</v>
      </c>
      <c r="F41" s="8">
        <v>28</v>
      </c>
      <c r="G41" s="22">
        <v>644</v>
      </c>
      <c r="H41" s="22">
        <v>308</v>
      </c>
    </row>
    <row r="42" spans="1:14" x14ac:dyDescent="0.25">
      <c r="A42" s="75">
        <v>40561</v>
      </c>
      <c r="B42" s="8" t="s">
        <v>319</v>
      </c>
      <c r="C42" s="8" t="s">
        <v>307</v>
      </c>
      <c r="D42" s="8" t="s">
        <v>3</v>
      </c>
      <c r="E42" s="8" t="s">
        <v>320</v>
      </c>
      <c r="F42" s="8">
        <v>10</v>
      </c>
      <c r="G42" s="22">
        <v>270</v>
      </c>
      <c r="H42" s="22">
        <v>145</v>
      </c>
    </row>
    <row r="43" spans="1:14" x14ac:dyDescent="0.25">
      <c r="A43" s="75">
        <v>40564</v>
      </c>
      <c r="B43" s="8" t="s">
        <v>321</v>
      </c>
      <c r="C43" s="8" t="s">
        <v>307</v>
      </c>
      <c r="D43" s="8" t="s">
        <v>7</v>
      </c>
      <c r="E43" s="8" t="s">
        <v>333</v>
      </c>
      <c r="F43" s="8">
        <v>30</v>
      </c>
      <c r="G43" s="22">
        <v>660</v>
      </c>
      <c r="H43" s="22">
        <v>300</v>
      </c>
    </row>
    <row r="44" spans="1:14" x14ac:dyDescent="0.25">
      <c r="A44" s="75">
        <v>40544</v>
      </c>
      <c r="B44" s="8" t="s">
        <v>311</v>
      </c>
      <c r="C44" s="8" t="s">
        <v>309</v>
      </c>
      <c r="D44" s="8" t="s">
        <v>136</v>
      </c>
      <c r="E44" s="8" t="s">
        <v>322</v>
      </c>
      <c r="F44" s="8">
        <v>26</v>
      </c>
      <c r="G44" s="22">
        <v>494</v>
      </c>
      <c r="H44" s="22">
        <v>208</v>
      </c>
    </row>
    <row r="45" spans="1:14" x14ac:dyDescent="0.25">
      <c r="A45" s="75">
        <v>40566</v>
      </c>
      <c r="B45" s="8" t="s">
        <v>317</v>
      </c>
      <c r="C45" s="8" t="s">
        <v>307</v>
      </c>
      <c r="D45" s="8" t="s">
        <v>7</v>
      </c>
      <c r="E45" s="8" t="s">
        <v>334</v>
      </c>
      <c r="F45" s="8">
        <v>6</v>
      </c>
      <c r="G45" s="22">
        <v>126</v>
      </c>
      <c r="H45" s="22">
        <v>55.5</v>
      </c>
    </row>
    <row r="46" spans="1:14" x14ac:dyDescent="0.25">
      <c r="A46" s="75">
        <v>40568</v>
      </c>
      <c r="B46" s="8" t="s">
        <v>319</v>
      </c>
      <c r="C46" s="8" t="s">
        <v>308</v>
      </c>
      <c r="D46" s="8" t="s">
        <v>312</v>
      </c>
      <c r="E46" s="8" t="s">
        <v>325</v>
      </c>
      <c r="F46" s="8">
        <v>41</v>
      </c>
      <c r="G46" s="22">
        <v>1107</v>
      </c>
      <c r="H46" s="22">
        <v>594.5</v>
      </c>
    </row>
    <row r="47" spans="1:14" x14ac:dyDescent="0.25">
      <c r="A47" s="75">
        <v>40562</v>
      </c>
      <c r="B47" s="8" t="s">
        <v>319</v>
      </c>
      <c r="C47" s="8" t="s">
        <v>309</v>
      </c>
      <c r="D47" s="8" t="s">
        <v>132</v>
      </c>
      <c r="E47" s="8" t="s">
        <v>335</v>
      </c>
      <c r="F47" s="8">
        <v>26</v>
      </c>
      <c r="G47" s="22">
        <v>702</v>
      </c>
      <c r="H47" s="22">
        <v>377</v>
      </c>
    </row>
    <row r="48" spans="1:14" x14ac:dyDescent="0.25">
      <c r="A48" s="75">
        <v>40572</v>
      </c>
      <c r="B48" s="8" t="s">
        <v>311</v>
      </c>
      <c r="C48" s="8" t="s">
        <v>308</v>
      </c>
      <c r="D48" s="8" t="s">
        <v>328</v>
      </c>
      <c r="E48" s="8" t="s">
        <v>331</v>
      </c>
      <c r="F48" s="8">
        <v>45</v>
      </c>
      <c r="G48" s="22">
        <v>855</v>
      </c>
      <c r="H48" s="22">
        <v>360</v>
      </c>
    </row>
    <row r="49" spans="1:8" x14ac:dyDescent="0.25">
      <c r="A49" s="75">
        <v>40572</v>
      </c>
      <c r="B49" s="8" t="s">
        <v>317</v>
      </c>
      <c r="C49" s="8" t="s">
        <v>310</v>
      </c>
      <c r="D49" s="8" t="s">
        <v>328</v>
      </c>
      <c r="E49" s="8" t="s">
        <v>336</v>
      </c>
      <c r="F49" s="8">
        <v>15</v>
      </c>
      <c r="G49" s="22">
        <v>315</v>
      </c>
      <c r="H49" s="22">
        <v>138.75</v>
      </c>
    </row>
    <row r="50" spans="1:8" x14ac:dyDescent="0.25">
      <c r="A50" s="75">
        <v>40565</v>
      </c>
      <c r="B50" s="8" t="s">
        <v>315</v>
      </c>
      <c r="C50" s="8" t="s">
        <v>309</v>
      </c>
      <c r="D50" s="8" t="s">
        <v>7</v>
      </c>
      <c r="E50" s="8" t="s">
        <v>313</v>
      </c>
      <c r="F50" s="8">
        <v>65</v>
      </c>
      <c r="G50" s="22">
        <v>1495</v>
      </c>
      <c r="H50" s="22">
        <v>715</v>
      </c>
    </row>
    <row r="51" spans="1:8" x14ac:dyDescent="0.25">
      <c r="A51" s="75">
        <v>40573</v>
      </c>
      <c r="B51" s="8" t="s">
        <v>319</v>
      </c>
      <c r="C51" s="8" t="s">
        <v>307</v>
      </c>
      <c r="D51" s="8" t="s">
        <v>312</v>
      </c>
      <c r="E51" s="8" t="s">
        <v>335</v>
      </c>
      <c r="F51" s="8">
        <v>14</v>
      </c>
      <c r="G51" s="22">
        <v>378</v>
      </c>
      <c r="H51" s="22">
        <v>203</v>
      </c>
    </row>
    <row r="52" spans="1:8" x14ac:dyDescent="0.25">
      <c r="A52" s="75">
        <v>40561</v>
      </c>
      <c r="B52" s="8" t="s">
        <v>321</v>
      </c>
      <c r="C52" s="8" t="s">
        <v>309</v>
      </c>
      <c r="D52" s="8" t="s">
        <v>7</v>
      </c>
      <c r="E52" s="8" t="s">
        <v>314</v>
      </c>
      <c r="F52" s="8">
        <v>56</v>
      </c>
      <c r="G52" s="22">
        <v>1232</v>
      </c>
      <c r="H52" s="22">
        <v>560</v>
      </c>
    </row>
    <row r="53" spans="1:8" x14ac:dyDescent="0.25">
      <c r="A53" s="75">
        <v>40544</v>
      </c>
      <c r="B53" s="8" t="s">
        <v>311</v>
      </c>
      <c r="C53" s="8" t="s">
        <v>309</v>
      </c>
      <c r="D53" s="8" t="s">
        <v>312</v>
      </c>
      <c r="E53" s="8" t="s">
        <v>324</v>
      </c>
      <c r="F53" s="8">
        <v>11</v>
      </c>
      <c r="G53" s="22">
        <v>209</v>
      </c>
      <c r="H53" s="22">
        <v>88</v>
      </c>
    </row>
    <row r="54" spans="1:8" x14ac:dyDescent="0.25">
      <c r="A54" s="75">
        <v>40561</v>
      </c>
      <c r="B54" s="8" t="s">
        <v>319</v>
      </c>
      <c r="C54" s="8" t="s">
        <v>309</v>
      </c>
      <c r="D54" s="8" t="s">
        <v>132</v>
      </c>
      <c r="E54" s="8" t="s">
        <v>337</v>
      </c>
      <c r="F54" s="8">
        <v>40</v>
      </c>
      <c r="G54" s="22">
        <v>1080</v>
      </c>
      <c r="H54" s="22">
        <v>580</v>
      </c>
    </row>
    <row r="55" spans="1:8" x14ac:dyDescent="0.25">
      <c r="A55" s="75">
        <v>40564</v>
      </c>
      <c r="B55" s="8" t="s">
        <v>319</v>
      </c>
      <c r="C55" s="8" t="s">
        <v>308</v>
      </c>
      <c r="D55" s="8" t="s">
        <v>3</v>
      </c>
      <c r="E55" s="8" t="s">
        <v>313</v>
      </c>
      <c r="F55" s="8">
        <v>58</v>
      </c>
      <c r="G55" s="22">
        <v>1566</v>
      </c>
      <c r="H55" s="22">
        <v>841</v>
      </c>
    </row>
    <row r="56" spans="1:8" x14ac:dyDescent="0.25">
      <c r="A56" s="75">
        <v>40555</v>
      </c>
      <c r="B56" s="8" t="s">
        <v>315</v>
      </c>
      <c r="C56" s="8" t="s">
        <v>308</v>
      </c>
      <c r="D56" s="8" t="s">
        <v>7</v>
      </c>
      <c r="E56" s="8" t="s">
        <v>338</v>
      </c>
      <c r="F56" s="8">
        <v>40</v>
      </c>
      <c r="G56" s="22">
        <v>920</v>
      </c>
      <c r="H56" s="22">
        <v>440</v>
      </c>
    </row>
    <row r="57" spans="1:8" x14ac:dyDescent="0.25">
      <c r="A57" s="75">
        <v>40559</v>
      </c>
      <c r="B57" s="8" t="s">
        <v>319</v>
      </c>
      <c r="C57" s="8" t="s">
        <v>309</v>
      </c>
      <c r="D57" s="8" t="s">
        <v>7</v>
      </c>
      <c r="E57" s="8" t="s">
        <v>339</v>
      </c>
      <c r="F57" s="8">
        <v>40</v>
      </c>
      <c r="G57" s="22">
        <v>1080</v>
      </c>
      <c r="H57" s="22">
        <v>580</v>
      </c>
    </row>
    <row r="58" spans="1:8" x14ac:dyDescent="0.25">
      <c r="A58" s="75">
        <v>40548</v>
      </c>
      <c r="B58" s="8" t="s">
        <v>315</v>
      </c>
      <c r="C58" s="8" t="s">
        <v>310</v>
      </c>
      <c r="D58" s="8" t="s">
        <v>312</v>
      </c>
      <c r="E58" s="8" t="s">
        <v>324</v>
      </c>
      <c r="F58" s="8">
        <v>11</v>
      </c>
      <c r="G58" s="22">
        <v>253</v>
      </c>
      <c r="H58" s="22">
        <v>121</v>
      </c>
    </row>
    <row r="59" spans="1:8" x14ac:dyDescent="0.25">
      <c r="A59" s="75">
        <v>40573</v>
      </c>
      <c r="B59" s="8" t="s">
        <v>321</v>
      </c>
      <c r="C59" s="8" t="s">
        <v>309</v>
      </c>
      <c r="D59" s="8" t="s">
        <v>312</v>
      </c>
      <c r="E59" s="8" t="s">
        <v>340</v>
      </c>
      <c r="F59" s="8">
        <v>17</v>
      </c>
      <c r="G59" s="22">
        <v>374</v>
      </c>
      <c r="H59" s="22">
        <v>170</v>
      </c>
    </row>
    <row r="60" spans="1:8" x14ac:dyDescent="0.25">
      <c r="A60" s="75">
        <v>40558</v>
      </c>
      <c r="B60" s="8" t="s">
        <v>319</v>
      </c>
      <c r="C60" s="8" t="s">
        <v>307</v>
      </c>
      <c r="D60" s="8" t="s">
        <v>328</v>
      </c>
      <c r="E60" s="8" t="s">
        <v>338</v>
      </c>
      <c r="F60" s="8">
        <v>19</v>
      </c>
      <c r="G60" s="22">
        <v>513</v>
      </c>
      <c r="H60" s="22">
        <v>275.5</v>
      </c>
    </row>
    <row r="61" spans="1:8" x14ac:dyDescent="0.25">
      <c r="A61" s="75">
        <v>40573</v>
      </c>
      <c r="B61" s="8" t="s">
        <v>319</v>
      </c>
      <c r="C61" s="8" t="s">
        <v>308</v>
      </c>
      <c r="D61" s="8" t="s">
        <v>328</v>
      </c>
      <c r="E61" s="8" t="s">
        <v>325</v>
      </c>
      <c r="F61" s="8">
        <v>15</v>
      </c>
      <c r="G61" s="22">
        <v>405</v>
      </c>
      <c r="H61" s="22">
        <v>217.5</v>
      </c>
    </row>
    <row r="62" spans="1:8" x14ac:dyDescent="0.25">
      <c r="A62" s="75">
        <v>40559</v>
      </c>
      <c r="B62" s="8" t="s">
        <v>311</v>
      </c>
      <c r="C62" s="8" t="s">
        <v>307</v>
      </c>
      <c r="D62" s="8" t="s">
        <v>328</v>
      </c>
      <c r="E62" s="8" t="s">
        <v>332</v>
      </c>
      <c r="F62" s="8">
        <v>57</v>
      </c>
      <c r="G62" s="22">
        <v>1083</v>
      </c>
      <c r="H62" s="22">
        <v>456</v>
      </c>
    </row>
    <row r="63" spans="1:8" x14ac:dyDescent="0.25">
      <c r="A63" s="75">
        <v>40567</v>
      </c>
      <c r="B63" s="8" t="s">
        <v>317</v>
      </c>
      <c r="C63" s="8" t="s">
        <v>308</v>
      </c>
      <c r="D63" s="8" t="s">
        <v>312</v>
      </c>
      <c r="E63" s="8" t="s">
        <v>332</v>
      </c>
      <c r="F63" s="8">
        <v>17</v>
      </c>
      <c r="G63" s="22">
        <v>357</v>
      </c>
      <c r="H63" s="22">
        <v>157.25</v>
      </c>
    </row>
    <row r="64" spans="1:8" x14ac:dyDescent="0.25">
      <c r="A64" s="75">
        <v>40569</v>
      </c>
      <c r="B64" s="8" t="s">
        <v>315</v>
      </c>
      <c r="C64" s="8" t="s">
        <v>310</v>
      </c>
      <c r="D64" s="8" t="s">
        <v>132</v>
      </c>
      <c r="E64" s="8" t="s">
        <v>322</v>
      </c>
      <c r="F64" s="8">
        <v>31</v>
      </c>
      <c r="G64" s="22">
        <v>713</v>
      </c>
      <c r="H64" s="22">
        <v>341</v>
      </c>
    </row>
    <row r="65" spans="1:8" x14ac:dyDescent="0.25">
      <c r="A65" s="75">
        <v>40554</v>
      </c>
      <c r="B65" s="8" t="s">
        <v>317</v>
      </c>
      <c r="C65" s="8" t="s">
        <v>310</v>
      </c>
      <c r="D65" s="8" t="s">
        <v>328</v>
      </c>
      <c r="E65" s="8" t="s">
        <v>341</v>
      </c>
      <c r="F65" s="8">
        <v>28</v>
      </c>
      <c r="G65" s="22">
        <v>588</v>
      </c>
      <c r="H65" s="22">
        <v>259</v>
      </c>
    </row>
    <row r="66" spans="1:8" x14ac:dyDescent="0.25">
      <c r="A66" s="75">
        <v>40549</v>
      </c>
      <c r="B66" s="8" t="s">
        <v>321</v>
      </c>
      <c r="C66" s="8" t="s">
        <v>308</v>
      </c>
      <c r="D66" s="8" t="s">
        <v>132</v>
      </c>
      <c r="E66" s="8" t="s">
        <v>342</v>
      </c>
      <c r="F66" s="8">
        <v>11</v>
      </c>
      <c r="G66" s="22">
        <v>242</v>
      </c>
      <c r="H66" s="22">
        <v>110</v>
      </c>
    </row>
    <row r="67" spans="1:8" x14ac:dyDescent="0.25">
      <c r="A67" s="75">
        <v>40552</v>
      </c>
      <c r="B67" s="8" t="s">
        <v>321</v>
      </c>
      <c r="C67" s="8" t="s">
        <v>307</v>
      </c>
      <c r="D67" s="8" t="s">
        <v>132</v>
      </c>
      <c r="E67" s="8" t="s">
        <v>325</v>
      </c>
      <c r="F67" s="8">
        <v>20</v>
      </c>
      <c r="G67" s="22">
        <v>440</v>
      </c>
      <c r="H67" s="22">
        <v>200</v>
      </c>
    </row>
    <row r="68" spans="1:8" x14ac:dyDescent="0.25">
      <c r="A68" s="75">
        <v>40559</v>
      </c>
      <c r="B68" s="8" t="s">
        <v>319</v>
      </c>
      <c r="C68" s="8" t="s">
        <v>307</v>
      </c>
      <c r="D68" s="8" t="s">
        <v>3</v>
      </c>
      <c r="E68" s="8" t="s">
        <v>343</v>
      </c>
      <c r="F68" s="8">
        <v>8</v>
      </c>
      <c r="G68" s="22">
        <v>216</v>
      </c>
      <c r="H68" s="22">
        <v>116</v>
      </c>
    </row>
    <row r="69" spans="1:8" x14ac:dyDescent="0.25">
      <c r="A69" s="75">
        <v>40555</v>
      </c>
      <c r="B69" s="8" t="s">
        <v>319</v>
      </c>
      <c r="C69" s="8" t="s">
        <v>309</v>
      </c>
      <c r="D69" s="8" t="s">
        <v>312</v>
      </c>
      <c r="E69" s="8" t="s">
        <v>325</v>
      </c>
      <c r="F69" s="8">
        <v>34</v>
      </c>
      <c r="G69" s="22">
        <v>918</v>
      </c>
      <c r="H69" s="22">
        <v>493</v>
      </c>
    </row>
    <row r="70" spans="1:8" x14ac:dyDescent="0.25">
      <c r="A70" s="75">
        <v>40557</v>
      </c>
      <c r="B70" s="8" t="s">
        <v>315</v>
      </c>
      <c r="C70" s="8" t="s">
        <v>308</v>
      </c>
      <c r="D70" s="8" t="s">
        <v>3</v>
      </c>
      <c r="E70" s="8" t="s">
        <v>342</v>
      </c>
      <c r="F70" s="8">
        <v>34</v>
      </c>
      <c r="G70" s="22">
        <v>782</v>
      </c>
      <c r="H70" s="22">
        <v>374</v>
      </c>
    </row>
    <row r="71" spans="1:8" x14ac:dyDescent="0.25">
      <c r="A71" s="75">
        <v>40545</v>
      </c>
      <c r="B71" s="8" t="s">
        <v>311</v>
      </c>
      <c r="C71" s="8" t="s">
        <v>309</v>
      </c>
      <c r="D71" s="8" t="s">
        <v>312</v>
      </c>
      <c r="E71" s="8" t="s">
        <v>344</v>
      </c>
      <c r="F71" s="8">
        <v>16</v>
      </c>
      <c r="G71" s="22">
        <v>304</v>
      </c>
      <c r="H71" s="22">
        <v>128</v>
      </c>
    </row>
    <row r="72" spans="1:8" x14ac:dyDescent="0.25">
      <c r="A72" s="75">
        <v>40553</v>
      </c>
      <c r="B72" s="8" t="s">
        <v>315</v>
      </c>
      <c r="C72" s="8" t="s">
        <v>307</v>
      </c>
      <c r="D72" s="8" t="s">
        <v>7</v>
      </c>
      <c r="E72" s="8" t="s">
        <v>322</v>
      </c>
      <c r="F72" s="8">
        <v>32</v>
      </c>
      <c r="G72" s="22">
        <v>736</v>
      </c>
      <c r="H72" s="22">
        <v>352</v>
      </c>
    </row>
    <row r="73" spans="1:8" x14ac:dyDescent="0.25">
      <c r="A73" s="75">
        <v>40571</v>
      </c>
      <c r="B73" s="8" t="s">
        <v>317</v>
      </c>
      <c r="C73" s="8" t="s">
        <v>308</v>
      </c>
      <c r="D73" s="8" t="s">
        <v>3</v>
      </c>
      <c r="E73" s="8" t="s">
        <v>333</v>
      </c>
      <c r="F73" s="8">
        <v>61</v>
      </c>
      <c r="G73" s="22">
        <v>1281</v>
      </c>
      <c r="H73" s="22">
        <v>564.25</v>
      </c>
    </row>
    <row r="74" spans="1:8" x14ac:dyDescent="0.25">
      <c r="A74" s="75">
        <v>40554</v>
      </c>
      <c r="B74" s="8" t="s">
        <v>317</v>
      </c>
      <c r="C74" s="8" t="s">
        <v>310</v>
      </c>
      <c r="D74" s="8" t="s">
        <v>312</v>
      </c>
      <c r="E74" s="8" t="s">
        <v>322</v>
      </c>
      <c r="F74" s="8">
        <v>59</v>
      </c>
      <c r="G74" s="22">
        <v>1239</v>
      </c>
      <c r="H74" s="22">
        <v>545.75</v>
      </c>
    </row>
    <row r="75" spans="1:8" x14ac:dyDescent="0.25">
      <c r="A75" s="75">
        <v>40546</v>
      </c>
      <c r="B75" s="8" t="s">
        <v>321</v>
      </c>
      <c r="C75" s="8" t="s">
        <v>310</v>
      </c>
      <c r="D75" s="8" t="s">
        <v>7</v>
      </c>
      <c r="E75" s="8" t="s">
        <v>322</v>
      </c>
      <c r="F75" s="8">
        <v>30</v>
      </c>
      <c r="G75" s="22">
        <v>660</v>
      </c>
      <c r="H75" s="22">
        <v>300</v>
      </c>
    </row>
    <row r="76" spans="1:8" x14ac:dyDescent="0.25">
      <c r="A76" s="75">
        <v>40558</v>
      </c>
      <c r="B76" s="8" t="s">
        <v>321</v>
      </c>
      <c r="C76" s="8" t="s">
        <v>308</v>
      </c>
      <c r="D76" s="8" t="s">
        <v>136</v>
      </c>
      <c r="E76" s="8" t="s">
        <v>327</v>
      </c>
      <c r="F76" s="8">
        <v>22</v>
      </c>
      <c r="G76" s="22">
        <v>484</v>
      </c>
      <c r="H76" s="22">
        <v>220</v>
      </c>
    </row>
    <row r="77" spans="1:8" x14ac:dyDescent="0.25">
      <c r="A77" s="75">
        <v>40557</v>
      </c>
      <c r="B77" s="8" t="s">
        <v>315</v>
      </c>
      <c r="C77" s="8" t="s">
        <v>309</v>
      </c>
      <c r="D77" s="8" t="s">
        <v>312</v>
      </c>
      <c r="E77" s="8" t="s">
        <v>323</v>
      </c>
      <c r="F77" s="8">
        <v>6</v>
      </c>
      <c r="G77" s="22">
        <v>138</v>
      </c>
      <c r="H77" s="22">
        <v>66</v>
      </c>
    </row>
    <row r="78" spans="1:8" x14ac:dyDescent="0.25">
      <c r="A78" s="75">
        <v>40571</v>
      </c>
      <c r="B78" s="8" t="s">
        <v>319</v>
      </c>
      <c r="C78" s="8" t="s">
        <v>308</v>
      </c>
      <c r="D78" s="8" t="s">
        <v>132</v>
      </c>
      <c r="E78" s="8" t="s">
        <v>345</v>
      </c>
      <c r="F78" s="8">
        <v>16</v>
      </c>
      <c r="G78" s="22">
        <v>432</v>
      </c>
      <c r="H78" s="22">
        <v>232</v>
      </c>
    </row>
    <row r="79" spans="1:8" x14ac:dyDescent="0.25">
      <c r="A79" s="75">
        <v>40547</v>
      </c>
      <c r="B79" s="8" t="s">
        <v>319</v>
      </c>
      <c r="C79" s="8" t="s">
        <v>307</v>
      </c>
      <c r="D79" s="8" t="s">
        <v>3</v>
      </c>
      <c r="E79" s="8" t="s">
        <v>341</v>
      </c>
      <c r="F79" s="8">
        <v>19</v>
      </c>
      <c r="G79" s="22">
        <v>513</v>
      </c>
      <c r="H79" s="22">
        <v>275.5</v>
      </c>
    </row>
    <row r="80" spans="1:8" x14ac:dyDescent="0.25">
      <c r="A80" s="75">
        <v>40556</v>
      </c>
      <c r="B80" s="8" t="s">
        <v>315</v>
      </c>
      <c r="C80" s="8" t="s">
        <v>310</v>
      </c>
      <c r="D80" s="8" t="s">
        <v>7</v>
      </c>
      <c r="E80" s="8" t="s">
        <v>337</v>
      </c>
      <c r="F80" s="8">
        <v>30</v>
      </c>
      <c r="G80" s="22">
        <v>690</v>
      </c>
      <c r="H80" s="22">
        <v>330</v>
      </c>
    </row>
    <row r="81" spans="1:8" x14ac:dyDescent="0.25">
      <c r="A81" s="75">
        <v>40555</v>
      </c>
      <c r="B81" s="8" t="s">
        <v>311</v>
      </c>
      <c r="C81" s="8" t="s">
        <v>309</v>
      </c>
      <c r="D81" s="8" t="s">
        <v>136</v>
      </c>
      <c r="E81" s="8" t="s">
        <v>320</v>
      </c>
      <c r="F81" s="8">
        <v>62</v>
      </c>
      <c r="G81" s="22">
        <v>1178</v>
      </c>
      <c r="H81" s="22">
        <v>496</v>
      </c>
    </row>
    <row r="82" spans="1:8" x14ac:dyDescent="0.25">
      <c r="A82" s="75">
        <v>40567</v>
      </c>
      <c r="B82" s="8" t="s">
        <v>321</v>
      </c>
      <c r="C82" s="8" t="s">
        <v>308</v>
      </c>
      <c r="D82" s="8" t="s">
        <v>312</v>
      </c>
      <c r="E82" s="8" t="s">
        <v>325</v>
      </c>
      <c r="F82" s="8">
        <v>25</v>
      </c>
      <c r="G82" s="22">
        <v>550</v>
      </c>
      <c r="H82" s="22">
        <v>250</v>
      </c>
    </row>
    <row r="83" spans="1:8" x14ac:dyDescent="0.25">
      <c r="A83" s="75">
        <v>40557</v>
      </c>
      <c r="B83" s="8" t="s">
        <v>311</v>
      </c>
      <c r="C83" s="8" t="s">
        <v>309</v>
      </c>
      <c r="D83" s="8" t="s">
        <v>3</v>
      </c>
      <c r="E83" s="8" t="s">
        <v>324</v>
      </c>
      <c r="F83" s="8">
        <v>13</v>
      </c>
      <c r="G83" s="22">
        <v>247</v>
      </c>
      <c r="H83" s="22">
        <v>104</v>
      </c>
    </row>
    <row r="84" spans="1:8" x14ac:dyDescent="0.25">
      <c r="A84" s="75">
        <v>40549</v>
      </c>
      <c r="B84" s="8" t="s">
        <v>317</v>
      </c>
      <c r="C84" s="8" t="s">
        <v>308</v>
      </c>
      <c r="D84" s="8" t="s">
        <v>7</v>
      </c>
      <c r="E84" s="8" t="s">
        <v>334</v>
      </c>
      <c r="F84" s="8">
        <v>24</v>
      </c>
      <c r="G84" s="22">
        <v>504</v>
      </c>
      <c r="H84" s="22">
        <v>222</v>
      </c>
    </row>
    <row r="85" spans="1:8" x14ac:dyDescent="0.25">
      <c r="A85" s="75">
        <v>40562</v>
      </c>
      <c r="B85" s="8" t="s">
        <v>315</v>
      </c>
      <c r="C85" s="8" t="s">
        <v>310</v>
      </c>
      <c r="D85" s="8" t="s">
        <v>136</v>
      </c>
      <c r="E85" s="8" t="s">
        <v>346</v>
      </c>
      <c r="F85" s="8">
        <v>51</v>
      </c>
      <c r="G85" s="22">
        <v>1173</v>
      </c>
      <c r="H85" s="22">
        <v>561</v>
      </c>
    </row>
    <row r="86" spans="1:8" x14ac:dyDescent="0.25">
      <c r="A86" s="75">
        <v>40570</v>
      </c>
      <c r="B86" s="8" t="s">
        <v>311</v>
      </c>
      <c r="C86" s="8" t="s">
        <v>307</v>
      </c>
      <c r="D86" s="8" t="s">
        <v>312</v>
      </c>
      <c r="E86" s="8" t="s">
        <v>336</v>
      </c>
      <c r="F86" s="8">
        <v>23</v>
      </c>
      <c r="G86" s="22">
        <v>437</v>
      </c>
      <c r="H86" s="22">
        <v>184</v>
      </c>
    </row>
    <row r="87" spans="1:8" x14ac:dyDescent="0.25">
      <c r="A87" s="75">
        <v>40564</v>
      </c>
      <c r="B87" s="8" t="s">
        <v>315</v>
      </c>
      <c r="C87" s="8" t="s">
        <v>309</v>
      </c>
      <c r="D87" s="8" t="s">
        <v>136</v>
      </c>
      <c r="E87" s="8" t="s">
        <v>332</v>
      </c>
      <c r="F87" s="8">
        <v>41</v>
      </c>
      <c r="G87" s="22">
        <v>943</v>
      </c>
      <c r="H87" s="22">
        <v>451</v>
      </c>
    </row>
    <row r="88" spans="1:8" x14ac:dyDescent="0.25">
      <c r="A88" s="75">
        <v>40547</v>
      </c>
      <c r="B88" s="8" t="s">
        <v>311</v>
      </c>
      <c r="C88" s="8" t="s">
        <v>309</v>
      </c>
      <c r="D88" s="8" t="s">
        <v>136</v>
      </c>
      <c r="E88" s="8" t="s">
        <v>324</v>
      </c>
      <c r="F88" s="8">
        <v>11</v>
      </c>
      <c r="G88" s="22">
        <v>209</v>
      </c>
      <c r="H88" s="22">
        <v>88</v>
      </c>
    </row>
    <row r="89" spans="1:8" x14ac:dyDescent="0.25">
      <c r="A89" s="75">
        <v>40547</v>
      </c>
      <c r="B89" s="8" t="s">
        <v>319</v>
      </c>
      <c r="C89" s="8" t="s">
        <v>308</v>
      </c>
      <c r="D89" s="8" t="s">
        <v>312</v>
      </c>
      <c r="E89" s="8" t="s">
        <v>342</v>
      </c>
      <c r="F89" s="8">
        <v>19</v>
      </c>
      <c r="G89" s="22">
        <v>513</v>
      </c>
      <c r="H89" s="22">
        <v>275.5</v>
      </c>
    </row>
    <row r="90" spans="1:8" x14ac:dyDescent="0.25">
      <c r="A90" s="75">
        <v>40570</v>
      </c>
      <c r="B90" s="8" t="s">
        <v>321</v>
      </c>
      <c r="C90" s="8" t="s">
        <v>309</v>
      </c>
      <c r="D90" s="8" t="s">
        <v>132</v>
      </c>
      <c r="E90" s="8" t="s">
        <v>342</v>
      </c>
      <c r="F90" s="8">
        <v>62</v>
      </c>
      <c r="G90" s="22">
        <v>1364</v>
      </c>
      <c r="H90" s="22">
        <v>620</v>
      </c>
    </row>
    <row r="91" spans="1:8" x14ac:dyDescent="0.25">
      <c r="A91" s="75">
        <v>40562</v>
      </c>
      <c r="B91" s="8" t="s">
        <v>311</v>
      </c>
      <c r="C91" s="8" t="s">
        <v>310</v>
      </c>
      <c r="D91" s="8" t="s">
        <v>136</v>
      </c>
      <c r="E91" s="8" t="s">
        <v>336</v>
      </c>
      <c r="F91" s="8">
        <v>48</v>
      </c>
      <c r="G91" s="22">
        <v>912</v>
      </c>
      <c r="H91" s="22">
        <v>384</v>
      </c>
    </row>
    <row r="92" spans="1:8" x14ac:dyDescent="0.25">
      <c r="A92" s="75">
        <v>40554</v>
      </c>
      <c r="B92" s="8" t="s">
        <v>321</v>
      </c>
      <c r="C92" s="8" t="s">
        <v>307</v>
      </c>
      <c r="D92" s="8" t="s">
        <v>312</v>
      </c>
      <c r="E92" s="8" t="s">
        <v>314</v>
      </c>
      <c r="F92" s="8">
        <v>34</v>
      </c>
      <c r="G92" s="22">
        <v>748</v>
      </c>
      <c r="H92" s="22">
        <v>340</v>
      </c>
    </row>
    <row r="93" spans="1:8" x14ac:dyDescent="0.25">
      <c r="A93" s="75">
        <v>40544</v>
      </c>
      <c r="B93" s="8" t="s">
        <v>315</v>
      </c>
      <c r="C93" s="8" t="s">
        <v>308</v>
      </c>
      <c r="D93" s="8" t="s">
        <v>312</v>
      </c>
      <c r="E93" s="8" t="s">
        <v>316</v>
      </c>
      <c r="F93" s="8">
        <v>37</v>
      </c>
      <c r="G93" s="22">
        <v>851</v>
      </c>
      <c r="H93" s="22">
        <v>407</v>
      </c>
    </row>
    <row r="94" spans="1:8" x14ac:dyDescent="0.25">
      <c r="A94" s="75">
        <v>40548</v>
      </c>
      <c r="B94" s="8" t="s">
        <v>311</v>
      </c>
      <c r="C94" s="8" t="s">
        <v>309</v>
      </c>
      <c r="D94" s="8" t="s">
        <v>3</v>
      </c>
      <c r="E94" s="8" t="s">
        <v>338</v>
      </c>
      <c r="F94" s="8">
        <v>50</v>
      </c>
      <c r="G94" s="22">
        <v>950</v>
      </c>
      <c r="H94" s="22">
        <v>400</v>
      </c>
    </row>
    <row r="95" spans="1:8" x14ac:dyDescent="0.25">
      <c r="A95" s="75">
        <v>40558</v>
      </c>
      <c r="B95" s="8" t="s">
        <v>315</v>
      </c>
      <c r="C95" s="8" t="s">
        <v>309</v>
      </c>
      <c r="D95" s="8" t="s">
        <v>132</v>
      </c>
      <c r="E95" s="8" t="s">
        <v>322</v>
      </c>
      <c r="F95" s="8">
        <v>51</v>
      </c>
      <c r="G95" s="22">
        <v>1173</v>
      </c>
      <c r="H95" s="22">
        <v>561</v>
      </c>
    </row>
    <row r="96" spans="1:8" x14ac:dyDescent="0.25">
      <c r="A96" s="75">
        <v>40566</v>
      </c>
      <c r="B96" s="8" t="s">
        <v>315</v>
      </c>
      <c r="C96" s="8" t="s">
        <v>309</v>
      </c>
      <c r="D96" s="8" t="s">
        <v>136</v>
      </c>
      <c r="E96" s="8" t="s">
        <v>323</v>
      </c>
      <c r="F96" s="8">
        <v>32</v>
      </c>
      <c r="G96" s="22">
        <v>736</v>
      </c>
      <c r="H96" s="22">
        <v>352</v>
      </c>
    </row>
    <row r="97" spans="1:8" x14ac:dyDescent="0.25">
      <c r="A97" s="75">
        <v>40550</v>
      </c>
      <c r="B97" s="8" t="s">
        <v>315</v>
      </c>
      <c r="C97" s="8" t="s">
        <v>310</v>
      </c>
      <c r="D97" s="8" t="s">
        <v>7</v>
      </c>
      <c r="E97" s="8" t="s">
        <v>316</v>
      </c>
      <c r="F97" s="8">
        <v>22</v>
      </c>
      <c r="G97" s="22">
        <v>506</v>
      </c>
      <c r="H97" s="22">
        <v>242</v>
      </c>
    </row>
    <row r="98" spans="1:8" x14ac:dyDescent="0.25">
      <c r="A98" s="75">
        <v>40559</v>
      </c>
      <c r="B98" s="8" t="s">
        <v>315</v>
      </c>
      <c r="C98" s="8" t="s">
        <v>310</v>
      </c>
      <c r="D98" s="8" t="s">
        <v>3</v>
      </c>
      <c r="E98" s="8" t="s">
        <v>340</v>
      </c>
      <c r="F98" s="8">
        <v>33</v>
      </c>
      <c r="G98" s="22">
        <v>759</v>
      </c>
      <c r="H98" s="22">
        <v>363</v>
      </c>
    </row>
    <row r="99" spans="1:8" x14ac:dyDescent="0.25">
      <c r="A99" s="75">
        <v>40562</v>
      </c>
      <c r="B99" s="8" t="s">
        <v>321</v>
      </c>
      <c r="C99" s="8" t="s">
        <v>310</v>
      </c>
      <c r="D99" s="8" t="s">
        <v>136</v>
      </c>
      <c r="E99" s="8" t="s">
        <v>322</v>
      </c>
      <c r="F99" s="8">
        <v>18</v>
      </c>
      <c r="G99" s="22">
        <v>396</v>
      </c>
      <c r="H99" s="22">
        <v>180</v>
      </c>
    </row>
    <row r="100" spans="1:8" x14ac:dyDescent="0.25">
      <c r="A100" s="75">
        <v>40571</v>
      </c>
      <c r="B100" s="8" t="s">
        <v>311</v>
      </c>
      <c r="C100" s="8" t="s">
        <v>307</v>
      </c>
      <c r="D100" s="8" t="s">
        <v>3</v>
      </c>
      <c r="E100" s="8" t="s">
        <v>333</v>
      </c>
      <c r="F100" s="8">
        <v>17</v>
      </c>
      <c r="G100" s="22">
        <v>323</v>
      </c>
      <c r="H100" s="22">
        <v>136</v>
      </c>
    </row>
    <row r="101" spans="1:8" x14ac:dyDescent="0.25">
      <c r="A101" s="75">
        <v>40559</v>
      </c>
      <c r="B101" s="8" t="s">
        <v>311</v>
      </c>
      <c r="C101" s="8" t="s">
        <v>310</v>
      </c>
      <c r="D101" s="8" t="s">
        <v>7</v>
      </c>
      <c r="E101" s="8" t="s">
        <v>326</v>
      </c>
      <c r="F101" s="8">
        <v>14</v>
      </c>
      <c r="G101" s="22">
        <v>266</v>
      </c>
      <c r="H101" s="22">
        <v>112</v>
      </c>
    </row>
    <row r="102" spans="1:8" x14ac:dyDescent="0.25">
      <c r="A102" s="75">
        <v>40558</v>
      </c>
      <c r="B102" s="8" t="s">
        <v>311</v>
      </c>
      <c r="C102" s="8" t="s">
        <v>308</v>
      </c>
      <c r="D102" s="8" t="s">
        <v>136</v>
      </c>
      <c r="E102" s="8" t="s">
        <v>345</v>
      </c>
      <c r="F102" s="8">
        <v>54</v>
      </c>
      <c r="G102" s="22">
        <v>1026</v>
      </c>
      <c r="H102" s="22">
        <v>432</v>
      </c>
    </row>
    <row r="103" spans="1:8" x14ac:dyDescent="0.25">
      <c r="A103" s="75">
        <v>40570</v>
      </c>
      <c r="B103" s="8" t="s">
        <v>321</v>
      </c>
      <c r="C103" s="8" t="s">
        <v>307</v>
      </c>
      <c r="D103" s="8" t="s">
        <v>312</v>
      </c>
      <c r="E103" s="8" t="s">
        <v>322</v>
      </c>
      <c r="F103" s="8">
        <v>56</v>
      </c>
      <c r="G103" s="22">
        <v>1232</v>
      </c>
      <c r="H103" s="22">
        <v>560</v>
      </c>
    </row>
    <row r="104" spans="1:8" x14ac:dyDescent="0.25">
      <c r="A104" s="75">
        <v>40571</v>
      </c>
      <c r="B104" s="8" t="s">
        <v>321</v>
      </c>
      <c r="C104" s="8" t="s">
        <v>310</v>
      </c>
      <c r="D104" s="8" t="s">
        <v>3</v>
      </c>
      <c r="E104" s="8" t="s">
        <v>338</v>
      </c>
      <c r="F104" s="8">
        <v>47</v>
      </c>
      <c r="G104" s="22">
        <v>1034</v>
      </c>
      <c r="H104" s="22">
        <v>470</v>
      </c>
    </row>
    <row r="105" spans="1:8" x14ac:dyDescent="0.25">
      <c r="A105" s="75">
        <v>40571</v>
      </c>
      <c r="B105" s="8" t="s">
        <v>321</v>
      </c>
      <c r="C105" s="8" t="s">
        <v>309</v>
      </c>
      <c r="D105" s="8" t="s">
        <v>7</v>
      </c>
      <c r="E105" s="8" t="s">
        <v>347</v>
      </c>
      <c r="F105" s="8">
        <v>65</v>
      </c>
      <c r="G105" s="22">
        <v>1430</v>
      </c>
      <c r="H105" s="22">
        <v>650</v>
      </c>
    </row>
    <row r="106" spans="1:8" x14ac:dyDescent="0.25">
      <c r="A106" s="75">
        <v>40558</v>
      </c>
      <c r="B106" s="8" t="s">
        <v>317</v>
      </c>
      <c r="C106" s="8" t="s">
        <v>308</v>
      </c>
      <c r="D106" s="8" t="s">
        <v>312</v>
      </c>
      <c r="E106" s="8" t="s">
        <v>324</v>
      </c>
      <c r="F106" s="8">
        <v>56</v>
      </c>
      <c r="G106" s="22">
        <v>1176</v>
      </c>
      <c r="H106" s="22">
        <v>518</v>
      </c>
    </row>
    <row r="107" spans="1:8" x14ac:dyDescent="0.25">
      <c r="A107" s="75">
        <v>40557</v>
      </c>
      <c r="B107" s="8" t="s">
        <v>319</v>
      </c>
      <c r="C107" s="8" t="s">
        <v>310</v>
      </c>
      <c r="D107" s="8" t="s">
        <v>136</v>
      </c>
      <c r="E107" s="8" t="s">
        <v>337</v>
      </c>
      <c r="F107" s="8">
        <v>64</v>
      </c>
      <c r="G107" s="22">
        <v>1728</v>
      </c>
      <c r="H107" s="22">
        <v>928</v>
      </c>
    </row>
    <row r="108" spans="1:8" x14ac:dyDescent="0.25">
      <c r="A108" s="75">
        <v>40562</v>
      </c>
      <c r="B108" s="8" t="s">
        <v>317</v>
      </c>
      <c r="C108" s="8" t="s">
        <v>308</v>
      </c>
      <c r="D108" s="8" t="s">
        <v>132</v>
      </c>
      <c r="E108" s="8" t="s">
        <v>348</v>
      </c>
      <c r="F108" s="8">
        <v>63</v>
      </c>
      <c r="G108" s="22">
        <v>1323</v>
      </c>
      <c r="H108" s="22">
        <v>582.75</v>
      </c>
    </row>
    <row r="109" spans="1:8" x14ac:dyDescent="0.25">
      <c r="A109" s="75">
        <v>40572</v>
      </c>
      <c r="B109" s="8" t="s">
        <v>317</v>
      </c>
      <c r="C109" s="8" t="s">
        <v>309</v>
      </c>
      <c r="D109" s="8" t="s">
        <v>132</v>
      </c>
      <c r="E109" s="8" t="s">
        <v>322</v>
      </c>
      <c r="F109" s="8">
        <v>25</v>
      </c>
      <c r="G109" s="22">
        <v>525</v>
      </c>
      <c r="H109" s="22">
        <v>231.25</v>
      </c>
    </row>
    <row r="110" spans="1:8" x14ac:dyDescent="0.25">
      <c r="A110" s="75">
        <v>40560</v>
      </c>
      <c r="B110" s="8" t="s">
        <v>319</v>
      </c>
      <c r="C110" s="8" t="s">
        <v>307</v>
      </c>
      <c r="D110" s="8" t="s">
        <v>312</v>
      </c>
      <c r="E110" s="8" t="s">
        <v>331</v>
      </c>
      <c r="F110" s="8">
        <v>15</v>
      </c>
      <c r="G110" s="22">
        <v>405</v>
      </c>
      <c r="H110" s="22">
        <v>217.5</v>
      </c>
    </row>
    <row r="111" spans="1:8" x14ac:dyDescent="0.25">
      <c r="A111" s="75">
        <v>40573</v>
      </c>
      <c r="B111" s="8" t="s">
        <v>311</v>
      </c>
      <c r="C111" s="8" t="s">
        <v>308</v>
      </c>
      <c r="D111" s="8" t="s">
        <v>312</v>
      </c>
      <c r="E111" s="8" t="s">
        <v>327</v>
      </c>
      <c r="F111" s="8">
        <v>42</v>
      </c>
      <c r="G111" s="22">
        <v>798</v>
      </c>
      <c r="H111" s="22">
        <v>336</v>
      </c>
    </row>
    <row r="112" spans="1:8" x14ac:dyDescent="0.25">
      <c r="A112" s="75">
        <v>40559</v>
      </c>
      <c r="B112" s="8" t="s">
        <v>317</v>
      </c>
      <c r="C112" s="8" t="s">
        <v>308</v>
      </c>
      <c r="D112" s="8" t="s">
        <v>136</v>
      </c>
      <c r="E112" s="8" t="s">
        <v>316</v>
      </c>
      <c r="F112" s="8">
        <v>31</v>
      </c>
      <c r="G112" s="22">
        <v>651</v>
      </c>
      <c r="H112" s="22">
        <v>286.75</v>
      </c>
    </row>
    <row r="113" spans="1:8" x14ac:dyDescent="0.25">
      <c r="A113" s="75">
        <v>40562</v>
      </c>
      <c r="B113" s="8" t="s">
        <v>317</v>
      </c>
      <c r="C113" s="8" t="s">
        <v>309</v>
      </c>
      <c r="D113" s="8" t="s">
        <v>328</v>
      </c>
      <c r="E113" s="8" t="s">
        <v>333</v>
      </c>
      <c r="F113" s="8">
        <v>32</v>
      </c>
      <c r="G113" s="22">
        <v>672</v>
      </c>
      <c r="H113" s="22">
        <v>296</v>
      </c>
    </row>
    <row r="114" spans="1:8" x14ac:dyDescent="0.25">
      <c r="A114" s="75">
        <v>40548</v>
      </c>
      <c r="B114" s="8" t="s">
        <v>315</v>
      </c>
      <c r="C114" s="8" t="s">
        <v>310</v>
      </c>
      <c r="D114" s="8" t="s">
        <v>3</v>
      </c>
      <c r="E114" s="8" t="s">
        <v>332</v>
      </c>
      <c r="F114" s="8">
        <v>34</v>
      </c>
      <c r="G114" s="22">
        <v>782</v>
      </c>
      <c r="H114" s="22">
        <v>374</v>
      </c>
    </row>
    <row r="115" spans="1:8" x14ac:dyDescent="0.25">
      <c r="A115" s="75">
        <v>40561</v>
      </c>
      <c r="B115" s="8" t="s">
        <v>315</v>
      </c>
      <c r="C115" s="8" t="s">
        <v>307</v>
      </c>
      <c r="D115" s="8" t="s">
        <v>7</v>
      </c>
      <c r="E115" s="8" t="s">
        <v>342</v>
      </c>
      <c r="F115" s="8">
        <v>50</v>
      </c>
      <c r="G115" s="22">
        <v>1150</v>
      </c>
      <c r="H115" s="22">
        <v>550</v>
      </c>
    </row>
    <row r="116" spans="1:8" x14ac:dyDescent="0.25">
      <c r="A116" s="75">
        <v>40551</v>
      </c>
      <c r="B116" s="8" t="s">
        <v>311</v>
      </c>
      <c r="C116" s="8" t="s">
        <v>310</v>
      </c>
      <c r="D116" s="8" t="s">
        <v>3</v>
      </c>
      <c r="E116" s="8" t="s">
        <v>340</v>
      </c>
      <c r="F116" s="8">
        <v>53</v>
      </c>
      <c r="G116" s="22">
        <v>1007</v>
      </c>
      <c r="H116" s="22">
        <v>424</v>
      </c>
    </row>
    <row r="117" spans="1:8" x14ac:dyDescent="0.25">
      <c r="A117" s="75">
        <v>40553</v>
      </c>
      <c r="B117" s="8" t="s">
        <v>319</v>
      </c>
      <c r="C117" s="8" t="s">
        <v>308</v>
      </c>
      <c r="D117" s="8" t="s">
        <v>3</v>
      </c>
      <c r="E117" s="8" t="s">
        <v>347</v>
      </c>
      <c r="F117" s="8">
        <v>27</v>
      </c>
      <c r="G117" s="22">
        <v>729</v>
      </c>
      <c r="H117" s="22">
        <v>391.5</v>
      </c>
    </row>
    <row r="118" spans="1:8" x14ac:dyDescent="0.25">
      <c r="A118" s="75">
        <v>40548</v>
      </c>
      <c r="B118" s="8" t="s">
        <v>321</v>
      </c>
      <c r="C118" s="8" t="s">
        <v>307</v>
      </c>
      <c r="D118" s="8" t="s">
        <v>328</v>
      </c>
      <c r="E118" s="8" t="s">
        <v>332</v>
      </c>
      <c r="F118" s="8">
        <v>23</v>
      </c>
      <c r="G118" s="22">
        <v>506</v>
      </c>
      <c r="H118" s="22">
        <v>230</v>
      </c>
    </row>
    <row r="119" spans="1:8" x14ac:dyDescent="0.25">
      <c r="A119" s="75">
        <v>40558</v>
      </c>
      <c r="B119" s="8" t="s">
        <v>319</v>
      </c>
      <c r="C119" s="8" t="s">
        <v>309</v>
      </c>
      <c r="D119" s="8" t="s">
        <v>7</v>
      </c>
      <c r="E119" s="8" t="s">
        <v>341</v>
      </c>
      <c r="F119" s="8">
        <v>12</v>
      </c>
      <c r="G119" s="22">
        <v>324</v>
      </c>
      <c r="H119" s="22">
        <v>174</v>
      </c>
    </row>
    <row r="120" spans="1:8" x14ac:dyDescent="0.25">
      <c r="A120" s="75">
        <v>40560</v>
      </c>
      <c r="B120" s="8" t="s">
        <v>319</v>
      </c>
      <c r="C120" s="8" t="s">
        <v>309</v>
      </c>
      <c r="D120" s="8" t="s">
        <v>7</v>
      </c>
      <c r="E120" s="8" t="s">
        <v>335</v>
      </c>
      <c r="F120" s="8">
        <v>50</v>
      </c>
      <c r="G120" s="22">
        <v>1350</v>
      </c>
      <c r="H120" s="22">
        <v>725</v>
      </c>
    </row>
    <row r="121" spans="1:8" x14ac:dyDescent="0.25">
      <c r="A121" s="75">
        <v>40569</v>
      </c>
      <c r="B121" s="8" t="s">
        <v>311</v>
      </c>
      <c r="C121" s="8" t="s">
        <v>308</v>
      </c>
      <c r="D121" s="8" t="s">
        <v>132</v>
      </c>
      <c r="E121" s="8" t="s">
        <v>342</v>
      </c>
      <c r="F121" s="8">
        <v>49</v>
      </c>
      <c r="G121" s="22">
        <v>931</v>
      </c>
      <c r="H121" s="22">
        <v>392</v>
      </c>
    </row>
    <row r="122" spans="1:8" x14ac:dyDescent="0.25">
      <c r="A122" s="75">
        <v>40554</v>
      </c>
      <c r="B122" s="8" t="s">
        <v>317</v>
      </c>
      <c r="C122" s="8" t="s">
        <v>310</v>
      </c>
      <c r="D122" s="8" t="s">
        <v>132</v>
      </c>
      <c r="E122" s="8" t="s">
        <v>335</v>
      </c>
      <c r="F122" s="8">
        <v>17</v>
      </c>
      <c r="G122" s="22">
        <v>357</v>
      </c>
      <c r="H122" s="22">
        <v>157.25</v>
      </c>
    </row>
    <row r="123" spans="1:8" x14ac:dyDescent="0.25">
      <c r="A123" s="75">
        <v>40547</v>
      </c>
      <c r="B123" s="8" t="s">
        <v>319</v>
      </c>
      <c r="C123" s="8" t="s">
        <v>310</v>
      </c>
      <c r="D123" s="8" t="s">
        <v>3</v>
      </c>
      <c r="E123" s="8" t="s">
        <v>323</v>
      </c>
      <c r="F123" s="8">
        <v>12</v>
      </c>
      <c r="G123" s="22">
        <v>324</v>
      </c>
      <c r="H123" s="22">
        <v>174</v>
      </c>
    </row>
    <row r="124" spans="1:8" x14ac:dyDescent="0.25">
      <c r="A124" s="75">
        <v>40564</v>
      </c>
      <c r="B124" s="8" t="s">
        <v>315</v>
      </c>
      <c r="C124" s="8" t="s">
        <v>308</v>
      </c>
      <c r="D124" s="8" t="s">
        <v>7</v>
      </c>
      <c r="E124" s="8" t="s">
        <v>344</v>
      </c>
      <c r="F124" s="8">
        <v>53</v>
      </c>
      <c r="G124" s="22">
        <v>1219</v>
      </c>
      <c r="H124" s="22">
        <v>583</v>
      </c>
    </row>
    <row r="125" spans="1:8" x14ac:dyDescent="0.25">
      <c r="A125" s="75">
        <v>40565</v>
      </c>
      <c r="B125" s="8" t="s">
        <v>317</v>
      </c>
      <c r="C125" s="8" t="s">
        <v>309</v>
      </c>
      <c r="D125" s="8" t="s">
        <v>312</v>
      </c>
      <c r="E125" s="8" t="s">
        <v>337</v>
      </c>
      <c r="F125" s="8">
        <v>41</v>
      </c>
      <c r="G125" s="22">
        <v>861</v>
      </c>
      <c r="H125" s="22">
        <v>379.25</v>
      </c>
    </row>
    <row r="126" spans="1:8" x14ac:dyDescent="0.25">
      <c r="A126" s="75">
        <v>40553</v>
      </c>
      <c r="B126" s="8" t="s">
        <v>311</v>
      </c>
      <c r="C126" s="8" t="s">
        <v>307</v>
      </c>
      <c r="D126" s="8" t="s">
        <v>312</v>
      </c>
      <c r="E126" s="8" t="s">
        <v>316</v>
      </c>
      <c r="F126" s="8">
        <v>8</v>
      </c>
      <c r="G126" s="22">
        <v>152</v>
      </c>
      <c r="H126" s="22">
        <v>64</v>
      </c>
    </row>
    <row r="127" spans="1:8" x14ac:dyDescent="0.25">
      <c r="A127" s="75">
        <v>40555</v>
      </c>
      <c r="B127" s="8" t="s">
        <v>317</v>
      </c>
      <c r="C127" s="8" t="s">
        <v>310</v>
      </c>
      <c r="D127" s="8" t="s">
        <v>312</v>
      </c>
      <c r="E127" s="8" t="s">
        <v>333</v>
      </c>
      <c r="F127" s="8">
        <v>47</v>
      </c>
      <c r="G127" s="22">
        <v>987</v>
      </c>
      <c r="H127" s="22">
        <v>434.75</v>
      </c>
    </row>
  </sheetData>
  <conditionalFormatting sqref="B23:H127">
    <cfRule type="expression" dxfId="28" priority="1">
      <formula>AND($B23=$J$24,$C23=$L$22)</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tabColor rgb="FF0000FF"/>
  </sheetPr>
  <dimension ref="A1:H23"/>
  <sheetViews>
    <sheetView workbookViewId="0">
      <selection activeCell="C8" sqref="C8"/>
    </sheetView>
  </sheetViews>
  <sheetFormatPr defaultRowHeight="15" x14ac:dyDescent="0.25"/>
  <cols>
    <col min="1" max="1" width="14.28515625" bestFit="1" customWidth="1"/>
    <col min="2" max="7" width="9.5703125" bestFit="1" customWidth="1"/>
    <col min="8" max="8" width="10.5703125" bestFit="1" customWidth="1"/>
  </cols>
  <sheetData>
    <row r="1" spans="1:8" x14ac:dyDescent="0.25">
      <c r="A1" s="119" t="s">
        <v>349</v>
      </c>
      <c r="B1" s="119"/>
      <c r="C1" s="119"/>
      <c r="D1" s="119"/>
      <c r="E1" s="119"/>
      <c r="F1" s="119"/>
      <c r="G1" s="119"/>
      <c r="H1" s="119"/>
    </row>
    <row r="2" spans="1:8" x14ac:dyDescent="0.25">
      <c r="A2" s="8"/>
      <c r="B2" s="14" t="s">
        <v>66</v>
      </c>
      <c r="C2" s="14" t="s">
        <v>67</v>
      </c>
      <c r="D2" s="14" t="s">
        <v>68</v>
      </c>
      <c r="E2" s="14" t="s">
        <v>69</v>
      </c>
      <c r="F2" s="14" t="s">
        <v>70</v>
      </c>
      <c r="G2" s="14" t="s">
        <v>71</v>
      </c>
      <c r="H2" s="120" t="s">
        <v>76</v>
      </c>
    </row>
    <row r="3" spans="1:8" x14ac:dyDescent="0.25">
      <c r="A3" s="14" t="s">
        <v>122</v>
      </c>
      <c r="B3" s="121">
        <v>1000</v>
      </c>
      <c r="C3" s="121">
        <v>1250</v>
      </c>
      <c r="D3" s="121">
        <v>1370</v>
      </c>
      <c r="E3" s="121">
        <v>1250</v>
      </c>
      <c r="F3" s="121">
        <v>2000</v>
      </c>
      <c r="G3" s="121">
        <v>2215</v>
      </c>
      <c r="H3" s="122">
        <f t="shared" ref="H3:H10" si="0">SUM(B3:G3)</f>
        <v>9085</v>
      </c>
    </row>
    <row r="4" spans="1:8" x14ac:dyDescent="0.25">
      <c r="A4" s="14" t="str">
        <f t="shared" ref="A4:A9" si="1">A14</f>
        <v>Expense1</v>
      </c>
      <c r="B4" s="123"/>
      <c r="C4" s="123"/>
      <c r="D4" s="123"/>
      <c r="E4" s="123"/>
      <c r="F4" s="123"/>
      <c r="G4" s="123"/>
      <c r="H4" s="122">
        <f t="shared" si="0"/>
        <v>0</v>
      </c>
    </row>
    <row r="5" spans="1:8" x14ac:dyDescent="0.25">
      <c r="A5" s="14" t="str">
        <f t="shared" si="1"/>
        <v>Expense2</v>
      </c>
      <c r="B5" s="123"/>
      <c r="C5" s="123"/>
      <c r="D5" s="123"/>
      <c r="E5" s="123"/>
      <c r="F5" s="123"/>
      <c r="G5" s="123"/>
      <c r="H5" s="122">
        <f t="shared" si="0"/>
        <v>0</v>
      </c>
    </row>
    <row r="6" spans="1:8" x14ac:dyDescent="0.25">
      <c r="A6" s="14" t="str">
        <f t="shared" si="1"/>
        <v>Expense3</v>
      </c>
      <c r="B6" s="123"/>
      <c r="C6" s="123"/>
      <c r="D6" s="123"/>
      <c r="E6" s="123"/>
      <c r="F6" s="123"/>
      <c r="G6" s="123"/>
      <c r="H6" s="122">
        <f t="shared" si="0"/>
        <v>0</v>
      </c>
    </row>
    <row r="7" spans="1:8" x14ac:dyDescent="0.25">
      <c r="A7" s="14" t="str">
        <f t="shared" si="1"/>
        <v>Expense4</v>
      </c>
      <c r="B7" s="123"/>
      <c r="C7" s="123"/>
      <c r="D7" s="123"/>
      <c r="E7" s="123"/>
      <c r="F7" s="123"/>
      <c r="G7" s="123"/>
      <c r="H7" s="122">
        <f t="shared" si="0"/>
        <v>0</v>
      </c>
    </row>
    <row r="8" spans="1:8" x14ac:dyDescent="0.25">
      <c r="A8" s="14" t="str">
        <f t="shared" si="1"/>
        <v>Expense5</v>
      </c>
      <c r="B8" s="123"/>
      <c r="C8" s="123"/>
      <c r="D8" s="123"/>
      <c r="E8" s="123"/>
      <c r="F8" s="123"/>
      <c r="G8" s="123"/>
      <c r="H8" s="122">
        <f t="shared" si="0"/>
        <v>0</v>
      </c>
    </row>
    <row r="9" spans="1:8" x14ac:dyDescent="0.25">
      <c r="A9" s="14" t="str">
        <f t="shared" si="1"/>
        <v>Expense6</v>
      </c>
      <c r="B9" s="123"/>
      <c r="C9" s="123"/>
      <c r="D9" s="123"/>
      <c r="E9" s="123"/>
      <c r="F9" s="123"/>
      <c r="G9" s="123"/>
      <c r="H9" s="122">
        <f t="shared" si="0"/>
        <v>0</v>
      </c>
    </row>
    <row r="10" spans="1:8" x14ac:dyDescent="0.25">
      <c r="A10" s="120" t="s">
        <v>223</v>
      </c>
      <c r="B10" s="122">
        <f t="shared" ref="B10:G10" si="2">SUM(B4:B9)</f>
        <v>0</v>
      </c>
      <c r="C10" s="122">
        <f t="shared" si="2"/>
        <v>0</v>
      </c>
      <c r="D10" s="122">
        <f t="shared" si="2"/>
        <v>0</v>
      </c>
      <c r="E10" s="122">
        <f t="shared" si="2"/>
        <v>0</v>
      </c>
      <c r="F10" s="122">
        <f t="shared" si="2"/>
        <v>0</v>
      </c>
      <c r="G10" s="122">
        <f t="shared" si="2"/>
        <v>0</v>
      </c>
      <c r="H10" s="122">
        <f t="shared" si="0"/>
        <v>0</v>
      </c>
    </row>
    <row r="11" spans="1:8" x14ac:dyDescent="0.25">
      <c r="A11" s="14" t="s">
        <v>104</v>
      </c>
      <c r="B11" s="121">
        <f t="shared" ref="B11:H11" si="3">B3-B10</f>
        <v>1000</v>
      </c>
      <c r="C11" s="121">
        <f t="shared" si="3"/>
        <v>1250</v>
      </c>
      <c r="D11" s="121">
        <f t="shared" si="3"/>
        <v>1370</v>
      </c>
      <c r="E11" s="121">
        <f t="shared" si="3"/>
        <v>1250</v>
      </c>
      <c r="F11" s="121">
        <f t="shared" si="3"/>
        <v>2000</v>
      </c>
      <c r="G11" s="121">
        <f t="shared" si="3"/>
        <v>2215</v>
      </c>
      <c r="H11" s="121">
        <f t="shared" si="3"/>
        <v>9085</v>
      </c>
    </row>
    <row r="13" spans="1:8" ht="30" x14ac:dyDescent="0.25">
      <c r="A13" s="97" t="s">
        <v>350</v>
      </c>
      <c r="B13" s="97"/>
    </row>
    <row r="14" spans="1:8" x14ac:dyDescent="0.25">
      <c r="A14" s="14" t="s">
        <v>351</v>
      </c>
      <c r="B14" s="124">
        <v>0.05</v>
      </c>
    </row>
    <row r="15" spans="1:8" x14ac:dyDescent="0.25">
      <c r="A15" s="14" t="s">
        <v>352</v>
      </c>
      <c r="B15" s="124">
        <v>7.4999999999999997E-2</v>
      </c>
    </row>
    <row r="16" spans="1:8" x14ac:dyDescent="0.25">
      <c r="A16" s="14" t="s">
        <v>353</v>
      </c>
      <c r="B16" s="124">
        <v>0.155</v>
      </c>
    </row>
    <row r="17" spans="1:6" x14ac:dyDescent="0.25">
      <c r="A17" s="14" t="s">
        <v>354</v>
      </c>
      <c r="B17" s="124">
        <v>0.22500000000000001</v>
      </c>
    </row>
    <row r="18" spans="1:6" x14ac:dyDescent="0.25">
      <c r="A18" s="14" t="s">
        <v>355</v>
      </c>
      <c r="B18" s="124">
        <v>4.4999999999999998E-2</v>
      </c>
    </row>
    <row r="19" spans="1:6" x14ac:dyDescent="0.25">
      <c r="A19" s="14" t="s">
        <v>356</v>
      </c>
      <c r="B19" s="124">
        <v>0.12</v>
      </c>
    </row>
    <row r="21" spans="1:6" x14ac:dyDescent="0.25">
      <c r="A21" s="97" t="s">
        <v>350</v>
      </c>
      <c r="B21" s="97"/>
      <c r="C21" s="97"/>
      <c r="D21" s="97"/>
      <c r="E21" s="97"/>
      <c r="F21" s="97"/>
    </row>
    <row r="22" spans="1:6" x14ac:dyDescent="0.25">
      <c r="A22" s="14" t="s">
        <v>351</v>
      </c>
      <c r="B22" s="14" t="s">
        <v>352</v>
      </c>
      <c r="C22" s="14" t="s">
        <v>353</v>
      </c>
      <c r="D22" s="14" t="s">
        <v>354</v>
      </c>
      <c r="E22" s="14" t="s">
        <v>355</v>
      </c>
      <c r="F22" s="14" t="s">
        <v>356</v>
      </c>
    </row>
    <row r="23" spans="1:6" x14ac:dyDescent="0.25">
      <c r="A23" s="124">
        <v>0.05</v>
      </c>
      <c r="B23" s="124">
        <v>7.4999999999999997E-2</v>
      </c>
      <c r="C23" s="124">
        <v>0.155</v>
      </c>
      <c r="D23" s="124">
        <v>0.22500000000000001</v>
      </c>
      <c r="E23" s="124">
        <v>4.4999999999999998E-2</v>
      </c>
      <c r="F23" s="124">
        <v>0.12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tabColor rgb="FF0000FF"/>
  </sheetPr>
  <dimension ref="A1:H23"/>
  <sheetViews>
    <sheetView workbookViewId="0">
      <selection activeCell="C8" sqref="C8"/>
    </sheetView>
  </sheetViews>
  <sheetFormatPr defaultRowHeight="15" x14ac:dyDescent="0.25"/>
  <cols>
    <col min="1" max="1" width="14.28515625" bestFit="1" customWidth="1"/>
    <col min="2" max="7" width="9.5703125" bestFit="1" customWidth="1"/>
    <col min="8" max="8" width="10.5703125" bestFit="1" customWidth="1"/>
  </cols>
  <sheetData>
    <row r="1" spans="1:8" x14ac:dyDescent="0.25">
      <c r="A1" s="119" t="s">
        <v>349</v>
      </c>
      <c r="B1" s="119"/>
      <c r="C1" s="119"/>
      <c r="D1" s="119"/>
      <c r="E1" s="119"/>
      <c r="F1" s="119"/>
      <c r="G1" s="119"/>
      <c r="H1" s="119"/>
    </row>
    <row r="2" spans="1:8" x14ac:dyDescent="0.25">
      <c r="A2" s="8"/>
      <c r="B2" s="14" t="s">
        <v>66</v>
      </c>
      <c r="C2" s="14" t="s">
        <v>67</v>
      </c>
      <c r="D2" s="14" t="s">
        <v>68</v>
      </c>
      <c r="E2" s="14" t="s">
        <v>69</v>
      </c>
      <c r="F2" s="14" t="s">
        <v>70</v>
      </c>
      <c r="G2" s="14" t="s">
        <v>71</v>
      </c>
      <c r="H2" s="120" t="s">
        <v>76</v>
      </c>
    </row>
    <row r="3" spans="1:8" x14ac:dyDescent="0.25">
      <c r="A3" s="14" t="s">
        <v>122</v>
      </c>
      <c r="B3" s="121">
        <v>1000</v>
      </c>
      <c r="C3" s="121">
        <v>1250</v>
      </c>
      <c r="D3" s="121">
        <v>1370</v>
      </c>
      <c r="E3" s="121">
        <v>1250</v>
      </c>
      <c r="F3" s="121">
        <v>2000</v>
      </c>
      <c r="G3" s="121">
        <v>2215</v>
      </c>
      <c r="H3" s="122">
        <f t="shared" ref="H3:H10" si="0">SUM(B3:G3)</f>
        <v>9085</v>
      </c>
    </row>
    <row r="4" spans="1:8" x14ac:dyDescent="0.25">
      <c r="A4" s="14" t="str">
        <f t="shared" ref="A4:A9" si="1">A14</f>
        <v>Expense1</v>
      </c>
      <c r="B4" s="123"/>
      <c r="C4" s="123"/>
      <c r="D4" s="123"/>
      <c r="E4" s="123"/>
      <c r="F4" s="123"/>
      <c r="G4" s="123"/>
      <c r="H4" s="122">
        <f t="shared" si="0"/>
        <v>0</v>
      </c>
    </row>
    <row r="5" spans="1:8" x14ac:dyDescent="0.25">
      <c r="A5" s="14" t="str">
        <f t="shared" si="1"/>
        <v>Expense2</v>
      </c>
      <c r="B5" s="123"/>
      <c r="C5" s="123"/>
      <c r="D5" s="123"/>
      <c r="E5" s="123"/>
      <c r="F5" s="123"/>
      <c r="G5" s="123"/>
      <c r="H5" s="122">
        <f t="shared" si="0"/>
        <v>0</v>
      </c>
    </row>
    <row r="6" spans="1:8" x14ac:dyDescent="0.25">
      <c r="A6" s="14" t="str">
        <f t="shared" si="1"/>
        <v>Expense3</v>
      </c>
      <c r="B6" s="123"/>
      <c r="C6" s="123"/>
      <c r="D6" s="123"/>
      <c r="E6" s="123"/>
      <c r="F6" s="123"/>
      <c r="G6" s="123"/>
      <c r="H6" s="122">
        <f t="shared" si="0"/>
        <v>0</v>
      </c>
    </row>
    <row r="7" spans="1:8" x14ac:dyDescent="0.25">
      <c r="A7" s="14" t="str">
        <f t="shared" si="1"/>
        <v>Expense4</v>
      </c>
      <c r="B7" s="123"/>
      <c r="C7" s="123"/>
      <c r="D7" s="123"/>
      <c r="E7" s="123"/>
      <c r="F7" s="123"/>
      <c r="G7" s="123"/>
      <c r="H7" s="122">
        <f t="shared" si="0"/>
        <v>0</v>
      </c>
    </row>
    <row r="8" spans="1:8" x14ac:dyDescent="0.25">
      <c r="A8" s="14" t="str">
        <f t="shared" si="1"/>
        <v>Expense5</v>
      </c>
      <c r="B8" s="123"/>
      <c r="C8" s="123"/>
      <c r="D8" s="123"/>
      <c r="E8" s="123"/>
      <c r="F8" s="123"/>
      <c r="G8" s="123"/>
      <c r="H8" s="122">
        <f t="shared" si="0"/>
        <v>0</v>
      </c>
    </row>
    <row r="9" spans="1:8" x14ac:dyDescent="0.25">
      <c r="A9" s="14" t="str">
        <f t="shared" si="1"/>
        <v>Expense6</v>
      </c>
      <c r="B9" s="123"/>
      <c r="C9" s="123"/>
      <c r="D9" s="123"/>
      <c r="E9" s="123"/>
      <c r="F9" s="123"/>
      <c r="G9" s="123"/>
      <c r="H9" s="122">
        <f t="shared" si="0"/>
        <v>0</v>
      </c>
    </row>
    <row r="10" spans="1:8" x14ac:dyDescent="0.25">
      <c r="A10" s="120" t="s">
        <v>223</v>
      </c>
      <c r="B10" s="122">
        <f t="shared" ref="B10:G10" si="2">SUM(B4:B9)</f>
        <v>0</v>
      </c>
      <c r="C10" s="122">
        <f t="shared" si="2"/>
        <v>0</v>
      </c>
      <c r="D10" s="122">
        <f t="shared" si="2"/>
        <v>0</v>
      </c>
      <c r="E10" s="122">
        <f t="shared" si="2"/>
        <v>0</v>
      </c>
      <c r="F10" s="122">
        <f t="shared" si="2"/>
        <v>0</v>
      </c>
      <c r="G10" s="122">
        <f t="shared" si="2"/>
        <v>0</v>
      </c>
      <c r="H10" s="122">
        <f t="shared" si="0"/>
        <v>0</v>
      </c>
    </row>
    <row r="11" spans="1:8" x14ac:dyDescent="0.25">
      <c r="A11" s="14" t="s">
        <v>104</v>
      </c>
      <c r="B11" s="121">
        <f t="shared" ref="B11:H11" si="3">B3-B10</f>
        <v>1000</v>
      </c>
      <c r="C11" s="121">
        <f t="shared" si="3"/>
        <v>1250</v>
      </c>
      <c r="D11" s="121">
        <f t="shared" si="3"/>
        <v>1370</v>
      </c>
      <c r="E11" s="121">
        <f t="shared" si="3"/>
        <v>1250</v>
      </c>
      <c r="F11" s="121">
        <f t="shared" si="3"/>
        <v>2000</v>
      </c>
      <c r="G11" s="121">
        <f t="shared" si="3"/>
        <v>2215</v>
      </c>
      <c r="H11" s="121">
        <f t="shared" si="3"/>
        <v>9085</v>
      </c>
    </row>
    <row r="13" spans="1:8" ht="30" x14ac:dyDescent="0.25">
      <c r="A13" s="97" t="s">
        <v>350</v>
      </c>
      <c r="B13" s="97"/>
    </row>
    <row r="14" spans="1:8" x14ac:dyDescent="0.25">
      <c r="A14" s="14" t="s">
        <v>351</v>
      </c>
      <c r="B14" s="124">
        <v>0.05</v>
      </c>
    </row>
    <row r="15" spans="1:8" x14ac:dyDescent="0.25">
      <c r="A15" s="14" t="s">
        <v>352</v>
      </c>
      <c r="B15" s="124">
        <v>7.4999999999999997E-2</v>
      </c>
    </row>
    <row r="16" spans="1:8" x14ac:dyDescent="0.25">
      <c r="A16" s="14" t="s">
        <v>353</v>
      </c>
      <c r="B16" s="124">
        <v>0.155</v>
      </c>
    </row>
    <row r="17" spans="1:6" x14ac:dyDescent="0.25">
      <c r="A17" s="14" t="s">
        <v>354</v>
      </c>
      <c r="B17" s="124">
        <v>0.22500000000000001</v>
      </c>
    </row>
    <row r="18" spans="1:6" x14ac:dyDescent="0.25">
      <c r="A18" s="14" t="s">
        <v>355</v>
      </c>
      <c r="B18" s="124">
        <v>4.4999999999999998E-2</v>
      </c>
    </row>
    <row r="19" spans="1:6" x14ac:dyDescent="0.25">
      <c r="A19" s="14" t="s">
        <v>356</v>
      </c>
      <c r="B19" s="124">
        <v>0.12</v>
      </c>
    </row>
    <row r="21" spans="1:6" x14ac:dyDescent="0.25">
      <c r="A21" s="97" t="s">
        <v>350</v>
      </c>
      <c r="B21" s="97"/>
      <c r="C21" s="97"/>
      <c r="D21" s="97"/>
      <c r="E21" s="97"/>
      <c r="F21" s="97"/>
    </row>
    <row r="22" spans="1:6" x14ac:dyDescent="0.25">
      <c r="A22" s="14" t="s">
        <v>351</v>
      </c>
      <c r="B22" s="14" t="s">
        <v>352</v>
      </c>
      <c r="C22" s="14" t="s">
        <v>353</v>
      </c>
      <c r="D22" s="14" t="s">
        <v>354</v>
      </c>
      <c r="E22" s="14" t="s">
        <v>355</v>
      </c>
      <c r="F22" s="14" t="s">
        <v>356</v>
      </c>
    </row>
    <row r="23" spans="1:6" x14ac:dyDescent="0.25">
      <c r="A23" s="124">
        <v>0.05</v>
      </c>
      <c r="B23" s="124">
        <v>7.4999999999999997E-2</v>
      </c>
      <c r="C23" s="124">
        <v>0.155</v>
      </c>
      <c r="D23" s="124">
        <v>0.22500000000000001</v>
      </c>
      <c r="E23" s="124">
        <v>4.4999999999999998E-2</v>
      </c>
      <c r="F23" s="124">
        <v>0.12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00FF"/>
  </sheetPr>
  <dimension ref="A1:B17"/>
  <sheetViews>
    <sheetView workbookViewId="0">
      <selection activeCell="C8" sqref="C8"/>
    </sheetView>
  </sheetViews>
  <sheetFormatPr defaultRowHeight="15" x14ac:dyDescent="0.25"/>
  <cols>
    <col min="1" max="1" width="14.42578125" customWidth="1"/>
    <col min="2" max="2" width="16.140625" customWidth="1"/>
  </cols>
  <sheetData>
    <row r="1" spans="1:2" ht="30" x14ac:dyDescent="0.25">
      <c r="A1" s="119" t="s">
        <v>357</v>
      </c>
      <c r="B1" s="119"/>
    </row>
    <row r="2" spans="1:2" x14ac:dyDescent="0.25">
      <c r="A2" s="27" t="s">
        <v>358</v>
      </c>
      <c r="B2" s="27" t="s">
        <v>359</v>
      </c>
    </row>
    <row r="3" spans="1:2" x14ac:dyDescent="0.25">
      <c r="A3" t="s">
        <v>360</v>
      </c>
      <c r="B3">
        <v>50</v>
      </c>
    </row>
    <row r="4" spans="1:2" x14ac:dyDescent="0.25">
      <c r="A4" t="s">
        <v>361</v>
      </c>
      <c r="B4">
        <v>601</v>
      </c>
    </row>
    <row r="5" spans="1:2" x14ac:dyDescent="0.25">
      <c r="A5" t="s">
        <v>362</v>
      </c>
      <c r="B5">
        <v>845</v>
      </c>
    </row>
    <row r="6" spans="1:2" x14ac:dyDescent="0.25">
      <c r="A6" t="s">
        <v>363</v>
      </c>
      <c r="B6">
        <v>32</v>
      </c>
    </row>
    <row r="7" spans="1:2" x14ac:dyDescent="0.25">
      <c r="A7" t="s">
        <v>364</v>
      </c>
      <c r="B7">
        <v>155</v>
      </c>
    </row>
    <row r="8" spans="1:2" x14ac:dyDescent="0.25">
      <c r="A8" t="s">
        <v>365</v>
      </c>
      <c r="B8">
        <v>45</v>
      </c>
    </row>
    <row r="9" spans="1:2" x14ac:dyDescent="0.25">
      <c r="A9" t="s">
        <v>366</v>
      </c>
      <c r="B9">
        <v>87</v>
      </c>
    </row>
    <row r="10" spans="1:2" x14ac:dyDescent="0.25">
      <c r="A10" t="s">
        <v>367</v>
      </c>
      <c r="B10">
        <v>22</v>
      </c>
    </row>
    <row r="11" spans="1:2" ht="15.75" thickBot="1" x14ac:dyDescent="0.3">
      <c r="A11" s="125" t="s">
        <v>368</v>
      </c>
      <c r="B11" s="125">
        <f>SUM(B3:B10)</f>
        <v>1837</v>
      </c>
    </row>
    <row r="12" spans="1:2" ht="15.75" thickTop="1" x14ac:dyDescent="0.25"/>
    <row r="13" spans="1:2" ht="30" x14ac:dyDescent="0.25">
      <c r="A13" s="126" t="s">
        <v>369</v>
      </c>
      <c r="B13" s="10"/>
    </row>
    <row r="17" spans="1:2" ht="30" x14ac:dyDescent="0.25">
      <c r="A17" s="126" t="s">
        <v>369</v>
      </c>
      <c r="B17" s="10"/>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00FF"/>
  </sheetPr>
  <dimension ref="A1:B6"/>
  <sheetViews>
    <sheetView workbookViewId="0">
      <selection activeCell="C8" sqref="C8"/>
    </sheetView>
  </sheetViews>
  <sheetFormatPr defaultRowHeight="15" x14ac:dyDescent="0.25"/>
  <sheetData>
    <row r="1" spans="1:2" ht="30" x14ac:dyDescent="0.25">
      <c r="A1" s="119" t="s">
        <v>370</v>
      </c>
      <c r="B1" s="119"/>
    </row>
    <row r="2" spans="1:2" x14ac:dyDescent="0.25">
      <c r="A2" t="s">
        <v>100</v>
      </c>
      <c r="B2" t="s">
        <v>101</v>
      </c>
    </row>
    <row r="3" spans="1:2" x14ac:dyDescent="0.25">
      <c r="A3">
        <v>1682</v>
      </c>
    </row>
    <row r="4" spans="1:2" x14ac:dyDescent="0.25">
      <c r="A4">
        <v>154</v>
      </c>
    </row>
    <row r="5" spans="1:2" ht="15.75" thickBot="1" x14ac:dyDescent="0.3">
      <c r="A5" s="125">
        <f>SUM(A3:A4)</f>
        <v>1836</v>
      </c>
      <c r="B5" s="125"/>
    </row>
    <row r="6" spans="1:2" ht="15.75" thickTop="1" x14ac:dyDescent="0.2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tabColor rgb="FF0000FF"/>
  </sheetPr>
  <dimension ref="A1:H11"/>
  <sheetViews>
    <sheetView workbookViewId="0">
      <selection activeCell="B10" sqref="B10"/>
    </sheetView>
  </sheetViews>
  <sheetFormatPr defaultRowHeight="15" x14ac:dyDescent="0.25"/>
  <cols>
    <col min="1" max="1" width="17.28515625" customWidth="1"/>
    <col min="2" max="2" width="9.5703125" bestFit="1" customWidth="1"/>
  </cols>
  <sheetData>
    <row r="1" spans="1:8" x14ac:dyDescent="0.25">
      <c r="G1" t="s">
        <v>371</v>
      </c>
      <c r="H1">
        <v>10000</v>
      </c>
    </row>
    <row r="2" spans="1:8" x14ac:dyDescent="0.25">
      <c r="G2" t="s">
        <v>372</v>
      </c>
      <c r="H2">
        <v>500</v>
      </c>
    </row>
    <row r="3" spans="1:8" x14ac:dyDescent="0.25">
      <c r="G3" t="s">
        <v>373</v>
      </c>
      <c r="H3">
        <v>654</v>
      </c>
    </row>
    <row r="4" spans="1:8" x14ac:dyDescent="0.25">
      <c r="G4" t="s">
        <v>374</v>
      </c>
      <c r="H4">
        <v>85</v>
      </c>
    </row>
    <row r="5" spans="1:8" x14ac:dyDescent="0.25">
      <c r="G5" t="s">
        <v>375</v>
      </c>
      <c r="H5">
        <v>958</v>
      </c>
    </row>
    <row r="6" spans="1:8" x14ac:dyDescent="0.25">
      <c r="G6" t="s">
        <v>376</v>
      </c>
      <c r="H6">
        <v>6522</v>
      </c>
    </row>
    <row r="7" spans="1:8" x14ac:dyDescent="0.25">
      <c r="G7" t="s">
        <v>377</v>
      </c>
      <c r="H7">
        <v>12</v>
      </c>
    </row>
    <row r="9" spans="1:8" x14ac:dyDescent="0.25">
      <c r="A9" s="8" t="s">
        <v>378</v>
      </c>
      <c r="B9" s="123">
        <f>H1-SUM(H2:H7)</f>
        <v>1269</v>
      </c>
    </row>
    <row r="10" spans="1:8" x14ac:dyDescent="0.25">
      <c r="A10" s="8" t="s">
        <v>379</v>
      </c>
      <c r="B10" s="123"/>
    </row>
    <row r="11" spans="1:8" x14ac:dyDescent="0.25">
      <c r="A11" s="8" t="s">
        <v>380</v>
      </c>
      <c r="B11" s="123"/>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tabColor rgb="FF0000FF"/>
  </sheetPr>
  <dimension ref="A1:F9"/>
  <sheetViews>
    <sheetView workbookViewId="0">
      <selection activeCell="C8" sqref="C8"/>
    </sheetView>
  </sheetViews>
  <sheetFormatPr defaultRowHeight="15" x14ac:dyDescent="0.25"/>
  <sheetData>
    <row r="1" spans="1:6" ht="18.75" x14ac:dyDescent="0.3">
      <c r="A1" s="127" t="str">
        <f ca="1">REPLACE(CELL("filename",A1),1,FIND("]",CELL("filename",A1)),"")&amp;"oration Totals"</f>
        <v>Corporation Totals</v>
      </c>
      <c r="B1" s="127"/>
      <c r="C1" s="127"/>
      <c r="D1" s="127"/>
      <c r="E1" s="127"/>
      <c r="F1" s="127"/>
    </row>
    <row r="2" spans="1:6" x14ac:dyDescent="0.25">
      <c r="A2" s="8"/>
      <c r="B2" s="128" t="s">
        <v>66</v>
      </c>
      <c r="C2" s="128" t="s">
        <v>67</v>
      </c>
      <c r="D2" s="128" t="s">
        <v>68</v>
      </c>
      <c r="E2" s="128" t="s">
        <v>69</v>
      </c>
      <c r="F2" s="18" t="s">
        <v>76</v>
      </c>
    </row>
    <row r="3" spans="1:6" x14ac:dyDescent="0.25">
      <c r="A3" s="128" t="s">
        <v>381</v>
      </c>
      <c r="B3" s="8"/>
      <c r="C3" s="8"/>
      <c r="D3" s="8"/>
      <c r="E3" s="8"/>
      <c r="F3" s="18">
        <f t="shared" ref="F3:F9" si="0">SUM(B3:E3)</f>
        <v>0</v>
      </c>
    </row>
    <row r="4" spans="1:6" x14ac:dyDescent="0.25">
      <c r="A4" s="128" t="s">
        <v>382</v>
      </c>
      <c r="B4" s="8"/>
      <c r="C4" s="8"/>
      <c r="D4" s="8"/>
      <c r="E4" s="8"/>
      <c r="F4" s="18">
        <f t="shared" si="0"/>
        <v>0</v>
      </c>
    </row>
    <row r="5" spans="1:6" x14ac:dyDescent="0.25">
      <c r="A5" s="128" t="s">
        <v>383</v>
      </c>
      <c r="B5" s="8"/>
      <c r="C5" s="8"/>
      <c r="D5" s="8"/>
      <c r="E5" s="8"/>
      <c r="F5" s="18">
        <f t="shared" si="0"/>
        <v>0</v>
      </c>
    </row>
    <row r="6" spans="1:6" x14ac:dyDescent="0.25">
      <c r="A6" s="128" t="s">
        <v>384</v>
      </c>
      <c r="B6" s="8"/>
      <c r="C6" s="8"/>
      <c r="D6" s="8"/>
      <c r="E6" s="8"/>
      <c r="F6" s="18">
        <f t="shared" si="0"/>
        <v>0</v>
      </c>
    </row>
    <row r="7" spans="1:6" x14ac:dyDescent="0.25">
      <c r="A7" s="128" t="s">
        <v>385</v>
      </c>
      <c r="B7" s="8"/>
      <c r="C7" s="8"/>
      <c r="D7" s="8"/>
      <c r="E7" s="8"/>
      <c r="F7" s="18">
        <f t="shared" si="0"/>
        <v>0</v>
      </c>
    </row>
    <row r="8" spans="1:6" x14ac:dyDescent="0.25">
      <c r="A8" s="128" t="s">
        <v>386</v>
      </c>
      <c r="B8" s="8"/>
      <c r="C8" s="8"/>
      <c r="D8" s="8"/>
      <c r="E8" s="8"/>
      <c r="F8" s="18">
        <f t="shared" si="0"/>
        <v>0</v>
      </c>
    </row>
    <row r="9" spans="1:6" x14ac:dyDescent="0.25">
      <c r="A9" s="18" t="s">
        <v>76</v>
      </c>
      <c r="B9" s="18">
        <f>SUM(B3:B8)</f>
        <v>0</v>
      </c>
      <c r="C9" s="18">
        <f>SUM(C3:C8)</f>
        <v>0</v>
      </c>
      <c r="D9" s="18">
        <f>SUM(D3:D8)</f>
        <v>0</v>
      </c>
      <c r="E9" s="18">
        <f>SUM(E3:E8)</f>
        <v>0</v>
      </c>
      <c r="F9" s="18">
        <f t="shared" si="0"/>
        <v>0</v>
      </c>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tabColor rgb="FF0000FF"/>
  </sheetPr>
  <dimension ref="A1:F9"/>
  <sheetViews>
    <sheetView workbookViewId="0">
      <selection activeCell="C8" sqref="C8"/>
    </sheetView>
  </sheetViews>
  <sheetFormatPr defaultRowHeight="15" x14ac:dyDescent="0.25"/>
  <sheetData>
    <row r="1" spans="1:6" ht="18.75" x14ac:dyDescent="0.3">
      <c r="A1" s="127" t="str">
        <f ca="1">REPLACE(CELL("filename",A1),1,FIND("]",CELL("filename",A1)),"")&amp;" Totals"</f>
        <v>Oak Totals</v>
      </c>
      <c r="B1" s="127"/>
      <c r="C1" s="127"/>
      <c r="D1" s="127"/>
      <c r="E1" s="127"/>
      <c r="F1" s="127"/>
    </row>
    <row r="2" spans="1:6" x14ac:dyDescent="0.25">
      <c r="A2" s="8"/>
      <c r="B2" s="128" t="s">
        <v>66</v>
      </c>
      <c r="C2" s="128" t="s">
        <v>67</v>
      </c>
      <c r="D2" s="128" t="s">
        <v>68</v>
      </c>
      <c r="E2" s="128" t="s">
        <v>69</v>
      </c>
      <c r="F2" s="18" t="s">
        <v>76</v>
      </c>
    </row>
    <row r="3" spans="1:6" x14ac:dyDescent="0.25">
      <c r="A3" s="128" t="s">
        <v>381</v>
      </c>
      <c r="B3" s="8">
        <v>14</v>
      </c>
      <c r="C3" s="8">
        <v>8</v>
      </c>
      <c r="D3" s="8">
        <v>0</v>
      </c>
      <c r="E3" s="8">
        <v>1</v>
      </c>
      <c r="F3" s="18">
        <f t="shared" ref="F3:F9" si="0">SUM(B3:E3)</f>
        <v>23</v>
      </c>
    </row>
    <row r="4" spans="1:6" x14ac:dyDescent="0.25">
      <c r="A4" s="128" t="s">
        <v>382</v>
      </c>
      <c r="B4" s="8">
        <v>8</v>
      </c>
      <c r="C4" s="8">
        <v>8</v>
      </c>
      <c r="D4" s="8">
        <v>2</v>
      </c>
      <c r="E4" s="8">
        <v>11</v>
      </c>
      <c r="F4" s="18">
        <f t="shared" si="0"/>
        <v>29</v>
      </c>
    </row>
    <row r="5" spans="1:6" x14ac:dyDescent="0.25">
      <c r="A5" s="128" t="s">
        <v>383</v>
      </c>
      <c r="B5" s="8">
        <v>6</v>
      </c>
      <c r="C5" s="8">
        <v>6</v>
      </c>
      <c r="D5" s="8">
        <v>13</v>
      </c>
      <c r="E5" s="8">
        <v>7</v>
      </c>
      <c r="F5" s="18">
        <f t="shared" si="0"/>
        <v>32</v>
      </c>
    </row>
    <row r="6" spans="1:6" x14ac:dyDescent="0.25">
      <c r="A6" s="128" t="s">
        <v>384</v>
      </c>
      <c r="B6" s="8">
        <v>13</v>
      </c>
      <c r="C6" s="8">
        <v>12</v>
      </c>
      <c r="D6" s="8">
        <v>5</v>
      </c>
      <c r="E6" s="8">
        <v>2</v>
      </c>
      <c r="F6" s="18">
        <f t="shared" si="0"/>
        <v>32</v>
      </c>
    </row>
    <row r="7" spans="1:6" x14ac:dyDescent="0.25">
      <c r="A7" s="128" t="s">
        <v>385</v>
      </c>
      <c r="B7" s="8">
        <v>9</v>
      </c>
      <c r="C7" s="8">
        <v>5</v>
      </c>
      <c r="D7" s="8">
        <v>10</v>
      </c>
      <c r="E7" s="8">
        <v>1</v>
      </c>
      <c r="F7" s="18">
        <f t="shared" si="0"/>
        <v>25</v>
      </c>
    </row>
    <row r="8" spans="1:6" x14ac:dyDescent="0.25">
      <c r="A8" s="128" t="s">
        <v>386</v>
      </c>
      <c r="B8" s="8">
        <v>9</v>
      </c>
      <c r="C8" s="8">
        <v>3</v>
      </c>
      <c r="D8" s="8">
        <v>2</v>
      </c>
      <c r="E8" s="8">
        <v>12</v>
      </c>
      <c r="F8" s="18">
        <f t="shared" si="0"/>
        <v>26</v>
      </c>
    </row>
    <row r="9" spans="1:6" x14ac:dyDescent="0.25">
      <c r="A9" s="18" t="s">
        <v>76</v>
      </c>
      <c r="B9" s="18">
        <f>SUM(B3:B8)</f>
        <v>59</v>
      </c>
      <c r="C9" s="18">
        <f>SUM(C3:C8)</f>
        <v>42</v>
      </c>
      <c r="D9" s="18">
        <f>SUM(D3:D8)</f>
        <v>32</v>
      </c>
      <c r="E9" s="18">
        <f>SUM(E3:E8)</f>
        <v>34</v>
      </c>
      <c r="F9" s="18">
        <f t="shared" si="0"/>
        <v>167</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tabColor rgb="FF0000FF"/>
  </sheetPr>
  <dimension ref="A1:F9"/>
  <sheetViews>
    <sheetView workbookViewId="0">
      <selection activeCell="C8" sqref="C8"/>
    </sheetView>
  </sheetViews>
  <sheetFormatPr defaultRowHeight="15" x14ac:dyDescent="0.25"/>
  <sheetData>
    <row r="1" spans="1:6" ht="18.75" x14ac:dyDescent="0.3">
      <c r="A1" s="127" t="str">
        <f ca="1">REPLACE(CELL("filename",A1),1,FIND("]",CELL("filename",A1)),"")&amp;" Totals"</f>
        <v>Sea Totals</v>
      </c>
      <c r="B1" s="127"/>
      <c r="C1" s="127"/>
      <c r="D1" s="127"/>
      <c r="E1" s="127"/>
      <c r="F1" s="127"/>
    </row>
    <row r="2" spans="1:6" x14ac:dyDescent="0.25">
      <c r="A2" s="8"/>
      <c r="B2" s="128" t="s">
        <v>66</v>
      </c>
      <c r="C2" s="128" t="s">
        <v>67</v>
      </c>
      <c r="D2" s="128" t="s">
        <v>68</v>
      </c>
      <c r="E2" s="128" t="s">
        <v>69</v>
      </c>
      <c r="F2" s="18" t="s">
        <v>76</v>
      </c>
    </row>
    <row r="3" spans="1:6" x14ac:dyDescent="0.25">
      <c r="A3" s="128" t="s">
        <v>381</v>
      </c>
      <c r="B3" s="8">
        <v>9</v>
      </c>
      <c r="C3" s="8">
        <v>3</v>
      </c>
      <c r="D3" s="8">
        <v>14</v>
      </c>
      <c r="E3" s="8">
        <v>9</v>
      </c>
      <c r="F3" s="18">
        <f t="shared" ref="F3:F9" si="0">SUM(B3:E3)</f>
        <v>35</v>
      </c>
    </row>
    <row r="4" spans="1:6" x14ac:dyDescent="0.25">
      <c r="A4" s="128" t="s">
        <v>382</v>
      </c>
      <c r="B4" s="8">
        <v>0</v>
      </c>
      <c r="C4" s="8">
        <v>8</v>
      </c>
      <c r="D4" s="8">
        <v>13</v>
      </c>
      <c r="E4" s="8">
        <v>2</v>
      </c>
      <c r="F4" s="18">
        <f t="shared" si="0"/>
        <v>23</v>
      </c>
    </row>
    <row r="5" spans="1:6" x14ac:dyDescent="0.25">
      <c r="A5" s="128" t="s">
        <v>383</v>
      </c>
      <c r="B5" s="8">
        <v>13</v>
      </c>
      <c r="C5" s="8">
        <v>7</v>
      </c>
      <c r="D5" s="8">
        <v>2</v>
      </c>
      <c r="E5" s="8">
        <v>7</v>
      </c>
      <c r="F5" s="18">
        <f t="shared" si="0"/>
        <v>29</v>
      </c>
    </row>
    <row r="6" spans="1:6" x14ac:dyDescent="0.25">
      <c r="A6" s="128" t="s">
        <v>384</v>
      </c>
      <c r="B6" s="8">
        <v>1</v>
      </c>
      <c r="C6" s="8">
        <v>13</v>
      </c>
      <c r="D6" s="8">
        <v>3</v>
      </c>
      <c r="E6" s="8">
        <v>5</v>
      </c>
      <c r="F6" s="18">
        <f t="shared" si="0"/>
        <v>22</v>
      </c>
    </row>
    <row r="7" spans="1:6" x14ac:dyDescent="0.25">
      <c r="A7" s="128" t="s">
        <v>385</v>
      </c>
      <c r="B7" s="8">
        <v>3</v>
      </c>
      <c r="C7" s="8">
        <v>12</v>
      </c>
      <c r="D7" s="8">
        <v>10</v>
      </c>
      <c r="E7" s="8">
        <v>11</v>
      </c>
      <c r="F7" s="18">
        <f t="shared" si="0"/>
        <v>36</v>
      </c>
    </row>
    <row r="8" spans="1:6" x14ac:dyDescent="0.25">
      <c r="A8" s="128" t="s">
        <v>386</v>
      </c>
      <c r="B8" s="8">
        <v>3</v>
      </c>
      <c r="C8" s="8">
        <v>0</v>
      </c>
      <c r="D8" s="8">
        <v>2</v>
      </c>
      <c r="E8" s="8">
        <v>11</v>
      </c>
      <c r="F8" s="18">
        <f t="shared" si="0"/>
        <v>16</v>
      </c>
    </row>
    <row r="9" spans="1:6" x14ac:dyDescent="0.25">
      <c r="A9" s="18" t="s">
        <v>76</v>
      </c>
      <c r="B9" s="18">
        <f>SUM(B3:B8)</f>
        <v>29</v>
      </c>
      <c r="C9" s="18">
        <f>SUM(C3:C8)</f>
        <v>43</v>
      </c>
      <c r="D9" s="18">
        <f>SUM(D3:D8)</f>
        <v>44</v>
      </c>
      <c r="E9" s="18">
        <f>SUM(E3:E8)</f>
        <v>45</v>
      </c>
      <c r="F9" s="18">
        <f t="shared" si="0"/>
        <v>161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tabColor rgb="FF0000FF"/>
  </sheetPr>
  <dimension ref="A1:F9"/>
  <sheetViews>
    <sheetView workbookViewId="0">
      <selection activeCell="C8" sqref="C8"/>
    </sheetView>
  </sheetViews>
  <sheetFormatPr defaultRowHeight="15" x14ac:dyDescent="0.25"/>
  <sheetData>
    <row r="1" spans="1:6" ht="18.75" x14ac:dyDescent="0.3">
      <c r="A1" s="127" t="str">
        <f ca="1">REPLACE(CELL("filename",A1),1,FIND("]",CELL("filename",A1)),"")&amp;" Totals"</f>
        <v>Tac Totals</v>
      </c>
      <c r="B1" s="127"/>
      <c r="C1" s="127"/>
      <c r="D1" s="127"/>
      <c r="E1" s="127"/>
      <c r="F1" s="127"/>
    </row>
    <row r="2" spans="1:6" x14ac:dyDescent="0.25">
      <c r="A2" s="8"/>
      <c r="B2" s="128" t="s">
        <v>66</v>
      </c>
      <c r="C2" s="128" t="s">
        <v>67</v>
      </c>
      <c r="D2" s="128" t="s">
        <v>68</v>
      </c>
      <c r="E2" s="128" t="s">
        <v>69</v>
      </c>
      <c r="F2" s="18" t="s">
        <v>76</v>
      </c>
    </row>
    <row r="3" spans="1:6" x14ac:dyDescent="0.25">
      <c r="A3" s="128" t="s">
        <v>381</v>
      </c>
      <c r="B3" s="8">
        <v>8</v>
      </c>
      <c r="C3" s="8">
        <v>14</v>
      </c>
      <c r="D3" s="8">
        <v>0</v>
      </c>
      <c r="E3" s="8">
        <v>7</v>
      </c>
      <c r="F3" s="18">
        <f t="shared" ref="F3:F9" si="0">SUM(B3:E3)</f>
        <v>29</v>
      </c>
    </row>
    <row r="4" spans="1:6" x14ac:dyDescent="0.25">
      <c r="A4" s="128" t="s">
        <v>382</v>
      </c>
      <c r="B4" s="8">
        <v>4</v>
      </c>
      <c r="C4" s="8">
        <v>13</v>
      </c>
      <c r="D4" s="8">
        <v>6</v>
      </c>
      <c r="E4" s="8">
        <v>14</v>
      </c>
      <c r="F4" s="18">
        <f t="shared" si="0"/>
        <v>37</v>
      </c>
    </row>
    <row r="5" spans="1:6" x14ac:dyDescent="0.25">
      <c r="A5" s="128" t="s">
        <v>383</v>
      </c>
      <c r="B5" s="8">
        <v>14</v>
      </c>
      <c r="C5" s="8">
        <v>2</v>
      </c>
      <c r="D5" s="8">
        <v>2</v>
      </c>
      <c r="E5" s="8">
        <v>6</v>
      </c>
      <c r="F5" s="18">
        <f t="shared" si="0"/>
        <v>24</v>
      </c>
    </row>
    <row r="6" spans="1:6" x14ac:dyDescent="0.25">
      <c r="A6" s="128" t="s">
        <v>384</v>
      </c>
      <c r="B6" s="8">
        <v>4</v>
      </c>
      <c r="C6" s="8">
        <v>8</v>
      </c>
      <c r="D6" s="8">
        <v>2</v>
      </c>
      <c r="E6" s="8">
        <v>0</v>
      </c>
      <c r="F6" s="18">
        <f t="shared" si="0"/>
        <v>14</v>
      </c>
    </row>
    <row r="7" spans="1:6" x14ac:dyDescent="0.25">
      <c r="A7" s="128" t="s">
        <v>385</v>
      </c>
      <c r="B7" s="8">
        <v>6</v>
      </c>
      <c r="C7" s="8">
        <v>5</v>
      </c>
      <c r="D7" s="8">
        <v>7</v>
      </c>
      <c r="E7" s="8">
        <v>0</v>
      </c>
      <c r="F7" s="18">
        <f t="shared" si="0"/>
        <v>18</v>
      </c>
    </row>
    <row r="8" spans="1:6" x14ac:dyDescent="0.25">
      <c r="A8" s="128" t="s">
        <v>386</v>
      </c>
      <c r="B8" s="8">
        <v>12</v>
      </c>
      <c r="C8" s="8">
        <v>5</v>
      </c>
      <c r="D8" s="8">
        <v>2</v>
      </c>
      <c r="E8" s="8">
        <v>5</v>
      </c>
      <c r="F8" s="18">
        <f t="shared" si="0"/>
        <v>24</v>
      </c>
    </row>
    <row r="9" spans="1:6" x14ac:dyDescent="0.25">
      <c r="A9" s="18" t="s">
        <v>76</v>
      </c>
      <c r="B9" s="18">
        <f>SUM(B3:B8)</f>
        <v>48</v>
      </c>
      <c r="C9" s="18">
        <f>SUM(C3:C8)</f>
        <v>47</v>
      </c>
      <c r="D9" s="18">
        <f>SUM(D3:D8)</f>
        <v>19</v>
      </c>
      <c r="E9" s="18">
        <f>SUM(E3:E8)</f>
        <v>32</v>
      </c>
      <c r="F9" s="18">
        <f t="shared" si="0"/>
        <v>146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tabColor rgb="FF0000FF"/>
  </sheetPr>
  <dimension ref="A1:G7"/>
  <sheetViews>
    <sheetView zoomScaleNormal="100" workbookViewId="0">
      <selection activeCell="C5" sqref="C5"/>
    </sheetView>
  </sheetViews>
  <sheetFormatPr defaultRowHeight="15" x14ac:dyDescent="0.25"/>
  <cols>
    <col min="2" max="2" width="2.7109375" customWidth="1"/>
    <col min="3" max="3" width="37.42578125" customWidth="1"/>
    <col min="5" max="5" width="24.42578125" bestFit="1" customWidth="1"/>
    <col min="6" max="6" width="2.28515625" customWidth="1"/>
  </cols>
  <sheetData>
    <row r="1" spans="1:7" ht="45" x14ac:dyDescent="0.25">
      <c r="A1" s="5" t="s">
        <v>37</v>
      </c>
      <c r="C1" s="72" t="s">
        <v>387</v>
      </c>
      <c r="D1" s="22">
        <f>A2+A3+A4+A5+A6+A7</f>
        <v>176</v>
      </c>
      <c r="E1" t="str">
        <f>TextFormula</f>
        <v>=A2+A3+A4+A5+A6+A7</v>
      </c>
      <c r="G1" t="s">
        <v>1319</v>
      </c>
    </row>
    <row r="2" spans="1:7" ht="45" x14ac:dyDescent="0.25">
      <c r="A2" s="22">
        <v>12</v>
      </c>
      <c r="C2" s="72" t="s">
        <v>387</v>
      </c>
      <c r="D2" s="22">
        <f>SUM(A2,A3,A4,A5,A6,A7)</f>
        <v>176</v>
      </c>
      <c r="E2" t="str">
        <f>TextFormula</f>
        <v>=SUM(A2;A3;A4;A5;A6;A7)</v>
      </c>
      <c r="G2" t="s">
        <v>1319</v>
      </c>
    </row>
    <row r="3" spans="1:7" ht="45" x14ac:dyDescent="0.25">
      <c r="A3" s="22">
        <v>45</v>
      </c>
      <c r="C3" s="72" t="s">
        <v>388</v>
      </c>
      <c r="D3" s="22">
        <f>SUM(A2:A7)</f>
        <v>176</v>
      </c>
      <c r="E3" t="str">
        <f>TextFormula</f>
        <v>=SUM(A2:A7)</v>
      </c>
      <c r="G3" t="s">
        <v>1319</v>
      </c>
    </row>
    <row r="4" spans="1:7" x14ac:dyDescent="0.25">
      <c r="A4" s="22">
        <v>32</v>
      </c>
    </row>
    <row r="5" spans="1:7" x14ac:dyDescent="0.25">
      <c r="A5" s="22">
        <v>25</v>
      </c>
    </row>
    <row r="6" spans="1:7" x14ac:dyDescent="0.25">
      <c r="A6" s="22">
        <v>10</v>
      </c>
    </row>
    <row r="7" spans="1:7" x14ac:dyDescent="0.25">
      <c r="A7" s="22">
        <v>52</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tabColor rgb="FF0000FF"/>
  </sheetPr>
  <dimension ref="A1:H40"/>
  <sheetViews>
    <sheetView topLeftCell="A22" workbookViewId="0">
      <selection activeCell="B37" sqref="B37"/>
    </sheetView>
  </sheetViews>
  <sheetFormatPr defaultRowHeight="15" x14ac:dyDescent="0.25"/>
  <cols>
    <col min="1" max="1" width="20.5703125" bestFit="1" customWidth="1"/>
    <col min="2" max="2" width="11.85546875" bestFit="1" customWidth="1"/>
    <col min="3" max="3" width="10.5703125" bestFit="1" customWidth="1"/>
    <col min="5" max="5" width="20.5703125" bestFit="1" customWidth="1"/>
    <col min="6" max="6" width="11.85546875" bestFit="1" customWidth="1"/>
  </cols>
  <sheetData>
    <row r="1" spans="1:6" ht="135" x14ac:dyDescent="0.25">
      <c r="A1" s="45" t="s">
        <v>389</v>
      </c>
      <c r="B1" s="46"/>
    </row>
    <row r="2" spans="1:6" x14ac:dyDescent="0.25">
      <c r="A2" s="129" t="s">
        <v>390</v>
      </c>
      <c r="B2" s="22">
        <v>14000</v>
      </c>
    </row>
    <row r="3" spans="1:6" x14ac:dyDescent="0.25">
      <c r="A3" s="129" t="s">
        <v>391</v>
      </c>
      <c r="B3" s="130">
        <v>0.04</v>
      </c>
    </row>
    <row r="4" spans="1:6" x14ac:dyDescent="0.25">
      <c r="A4" s="129" t="s">
        <v>392</v>
      </c>
      <c r="B4" s="8">
        <v>5</v>
      </c>
    </row>
    <row r="5" spans="1:6" ht="30" x14ac:dyDescent="0.25">
      <c r="A5" s="131" t="s">
        <v>393</v>
      </c>
      <c r="B5" s="8">
        <v>4</v>
      </c>
    </row>
    <row r="6" spans="1:6" x14ac:dyDescent="0.25">
      <c r="A6" s="132" t="s">
        <v>394</v>
      </c>
      <c r="B6" s="8"/>
    </row>
    <row r="7" spans="1:6" x14ac:dyDescent="0.25">
      <c r="A7" s="132" t="s">
        <v>395</v>
      </c>
      <c r="B7" s="8"/>
    </row>
    <row r="8" spans="1:6" x14ac:dyDescent="0.25">
      <c r="A8" s="132" t="s">
        <v>396</v>
      </c>
      <c r="B8" s="23"/>
    </row>
    <row r="10" spans="1:6" x14ac:dyDescent="0.25">
      <c r="A10" s="6" t="s">
        <v>397</v>
      </c>
      <c r="B10" s="6" t="s">
        <v>398</v>
      </c>
      <c r="E10" s="6" t="s">
        <v>397</v>
      </c>
      <c r="F10" s="6" t="s">
        <v>398</v>
      </c>
    </row>
    <row r="11" spans="1:6" x14ac:dyDescent="0.25">
      <c r="A11" s="14" t="s">
        <v>116</v>
      </c>
      <c r="B11" s="8">
        <v>88.5</v>
      </c>
      <c r="E11" s="14" t="s">
        <v>116</v>
      </c>
      <c r="F11" s="8">
        <v>88.5</v>
      </c>
    </row>
    <row r="12" spans="1:6" x14ac:dyDescent="0.25">
      <c r="A12" s="14" t="s">
        <v>117</v>
      </c>
      <c r="B12" s="8">
        <v>52</v>
      </c>
      <c r="E12" s="14" t="s">
        <v>117</v>
      </c>
      <c r="F12" s="8">
        <v>52</v>
      </c>
    </row>
    <row r="13" spans="1:6" x14ac:dyDescent="0.25">
      <c r="A13" s="14" t="s">
        <v>118</v>
      </c>
      <c r="B13" s="133">
        <v>0</v>
      </c>
      <c r="E13" s="14" t="s">
        <v>118</v>
      </c>
      <c r="F13" s="8">
        <v>0</v>
      </c>
    </row>
    <row r="14" spans="1:6" x14ac:dyDescent="0.25">
      <c r="A14" s="14" t="s">
        <v>119</v>
      </c>
      <c r="B14" s="8">
        <v>68</v>
      </c>
      <c r="E14" s="14" t="s">
        <v>119</v>
      </c>
      <c r="F14" s="8">
        <v>68</v>
      </c>
    </row>
    <row r="15" spans="1:6" x14ac:dyDescent="0.25">
      <c r="A15" s="14" t="s">
        <v>399</v>
      </c>
      <c r="B15" s="8">
        <v>78</v>
      </c>
      <c r="E15" s="14" t="s">
        <v>399</v>
      </c>
      <c r="F15" s="8">
        <v>78</v>
      </c>
    </row>
    <row r="16" spans="1:6" x14ac:dyDescent="0.25">
      <c r="A16" s="14" t="s">
        <v>400</v>
      </c>
      <c r="B16" s="8">
        <v>81</v>
      </c>
      <c r="E16" s="14" t="s">
        <v>400</v>
      </c>
      <c r="F16" s="8">
        <v>81</v>
      </c>
    </row>
    <row r="17" spans="1:8" x14ac:dyDescent="0.25">
      <c r="A17" s="14" t="s">
        <v>401</v>
      </c>
      <c r="B17" s="8">
        <v>82</v>
      </c>
      <c r="E17" s="14" t="s">
        <v>401</v>
      </c>
      <c r="F17" s="8">
        <v>82</v>
      </c>
    </row>
    <row r="18" spans="1:8" x14ac:dyDescent="0.25">
      <c r="A18" s="14" t="s">
        <v>402</v>
      </c>
      <c r="B18" s="133">
        <v>0</v>
      </c>
      <c r="E18" s="14" t="s">
        <v>402</v>
      </c>
      <c r="F18" s="8">
        <v>0</v>
      </c>
    </row>
    <row r="19" spans="1:8" x14ac:dyDescent="0.25">
      <c r="A19" s="14" t="s">
        <v>403</v>
      </c>
      <c r="B19" s="8">
        <v>55</v>
      </c>
      <c r="E19" s="14" t="s">
        <v>403</v>
      </c>
      <c r="F19" s="8">
        <v>55</v>
      </c>
    </row>
    <row r="20" spans="1:8" x14ac:dyDescent="0.25">
      <c r="A20" s="14" t="s">
        <v>404</v>
      </c>
      <c r="B20" s="8">
        <v>85</v>
      </c>
      <c r="E20" s="14" t="s">
        <v>404</v>
      </c>
      <c r="F20" s="8">
        <v>85</v>
      </c>
    </row>
    <row r="21" spans="1:8" x14ac:dyDescent="0.25">
      <c r="A21" s="14" t="s">
        <v>405</v>
      </c>
      <c r="B21" s="8">
        <v>79</v>
      </c>
      <c r="E21" s="14" t="s">
        <v>405</v>
      </c>
      <c r="F21" s="8">
        <v>79</v>
      </c>
    </row>
    <row r="22" spans="1:8" x14ac:dyDescent="0.25">
      <c r="A22" s="14" t="s">
        <v>406</v>
      </c>
      <c r="B22" s="8">
        <v>74</v>
      </c>
      <c r="E22" s="14" t="s">
        <v>406</v>
      </c>
      <c r="F22" s="8">
        <v>74</v>
      </c>
    </row>
    <row r="23" spans="1:8" x14ac:dyDescent="0.25">
      <c r="A23" s="14" t="s">
        <v>407</v>
      </c>
      <c r="B23" s="8">
        <v>91</v>
      </c>
      <c r="E23" s="14" t="s">
        <v>407</v>
      </c>
      <c r="F23" s="8">
        <v>91</v>
      </c>
    </row>
    <row r="24" spans="1:8" x14ac:dyDescent="0.25">
      <c r="A24" s="14" t="s">
        <v>408</v>
      </c>
      <c r="B24" s="133">
        <v>0</v>
      </c>
      <c r="E24" s="14" t="s">
        <v>408</v>
      </c>
      <c r="F24" s="8">
        <v>0</v>
      </c>
    </row>
    <row r="25" spans="1:8" x14ac:dyDescent="0.25">
      <c r="A25" s="14" t="s">
        <v>409</v>
      </c>
      <c r="B25" s="133">
        <v>0</v>
      </c>
      <c r="E25" s="14" t="s">
        <v>409</v>
      </c>
      <c r="F25" s="8">
        <v>0</v>
      </c>
    </row>
    <row r="26" spans="1:8" x14ac:dyDescent="0.25">
      <c r="A26" s="14" t="s">
        <v>410</v>
      </c>
      <c r="B26" s="133">
        <v>0</v>
      </c>
      <c r="E26" s="14" t="s">
        <v>410</v>
      </c>
      <c r="F26" s="8">
        <v>0</v>
      </c>
    </row>
    <row r="27" spans="1:8" x14ac:dyDescent="0.25">
      <c r="A27" s="14" t="s">
        <v>411</v>
      </c>
      <c r="B27" s="8">
        <v>67</v>
      </c>
      <c r="E27" s="14" t="s">
        <v>411</v>
      </c>
      <c r="F27" s="8">
        <v>67</v>
      </c>
    </row>
    <row r="28" spans="1:8" x14ac:dyDescent="0.25">
      <c r="A28" s="14" t="s">
        <v>412</v>
      </c>
      <c r="B28" s="11">
        <v>78</v>
      </c>
      <c r="E28" s="14" t="s">
        <v>412</v>
      </c>
      <c r="F28" s="11">
        <v>78</v>
      </c>
      <c r="H28" t="s">
        <v>1333</v>
      </c>
    </row>
    <row r="29" spans="1:8" x14ac:dyDescent="0.25">
      <c r="A29" s="53" t="s">
        <v>120</v>
      </c>
      <c r="B29" s="10">
        <f>AVERAGE(B11:B28)</f>
        <v>54.361111111111114</v>
      </c>
      <c r="E29" s="53" t="s">
        <v>120</v>
      </c>
      <c r="F29" s="10"/>
      <c r="H29" s="10">
        <f>SUMIF(F11:F28,"&lt;&gt;0")/COUNTIF(F11:F28,"&lt;&gt;0")</f>
        <v>75.269230769230774</v>
      </c>
    </row>
    <row r="31" spans="1:8" x14ac:dyDescent="0.25">
      <c r="A31" s="129" t="s">
        <v>413</v>
      </c>
      <c r="B31" s="22">
        <v>175000</v>
      </c>
    </row>
    <row r="32" spans="1:8" x14ac:dyDescent="0.25">
      <c r="A32" s="129" t="s">
        <v>391</v>
      </c>
      <c r="B32" s="130">
        <v>0.06</v>
      </c>
    </row>
    <row r="33" spans="1:3" x14ac:dyDescent="0.25">
      <c r="A33" s="129" t="s">
        <v>414</v>
      </c>
      <c r="B33" s="8">
        <v>30</v>
      </c>
    </row>
    <row r="34" spans="1:3" ht="30" x14ac:dyDescent="0.25">
      <c r="A34" s="131" t="s">
        <v>393</v>
      </c>
      <c r="B34" s="8">
        <v>12</v>
      </c>
    </row>
    <row r="35" spans="1:3" x14ac:dyDescent="0.25">
      <c r="A35" s="132" t="s">
        <v>394</v>
      </c>
      <c r="B35" s="8">
        <f>B32/B34</f>
        <v>5.0000000000000001E-3</v>
      </c>
    </row>
    <row r="36" spans="1:3" x14ac:dyDescent="0.25">
      <c r="A36" s="132" t="s">
        <v>395</v>
      </c>
      <c r="B36" s="8">
        <f>B33*B34</f>
        <v>360</v>
      </c>
    </row>
    <row r="37" spans="1:3" x14ac:dyDescent="0.25">
      <c r="A37" s="132" t="s">
        <v>415</v>
      </c>
      <c r="B37" s="67"/>
    </row>
    <row r="40" spans="1:3" x14ac:dyDescent="0.25">
      <c r="C40" s="32"/>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tabColor rgb="FF0000FF"/>
  </sheetPr>
  <dimension ref="A1:P106"/>
  <sheetViews>
    <sheetView zoomScale="85" zoomScaleNormal="85" workbookViewId="0">
      <selection activeCell="J19" sqref="J19"/>
    </sheetView>
  </sheetViews>
  <sheetFormatPr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9" max="9" width="2.28515625" customWidth="1"/>
    <col min="10" max="10" width="11.85546875" bestFit="1" customWidth="1"/>
    <col min="11" max="15" width="9.5703125" customWidth="1"/>
    <col min="16" max="16" width="29.28515625" customWidth="1"/>
    <col min="17" max="27" width="9.5703125" customWidth="1"/>
  </cols>
  <sheetData>
    <row r="1" spans="1:16" ht="45" x14ac:dyDescent="0.25">
      <c r="A1" s="134" t="s">
        <v>0</v>
      </c>
      <c r="B1" s="134" t="s">
        <v>302</v>
      </c>
      <c r="C1" s="134" t="s">
        <v>303</v>
      </c>
      <c r="D1" s="134" t="s">
        <v>1</v>
      </c>
      <c r="E1" s="134" t="s">
        <v>304</v>
      </c>
      <c r="F1" s="134" t="s">
        <v>305</v>
      </c>
      <c r="G1" s="134" t="s">
        <v>37</v>
      </c>
      <c r="H1" s="134" t="s">
        <v>175</v>
      </c>
      <c r="J1" s="14" t="s">
        <v>416</v>
      </c>
      <c r="K1" s="10"/>
      <c r="L1" t="s">
        <v>417</v>
      </c>
      <c r="P1" s="187" t="s">
        <v>418</v>
      </c>
    </row>
    <row r="2" spans="1:16" x14ac:dyDescent="0.25">
      <c r="A2" s="75">
        <v>40569</v>
      </c>
      <c r="B2" s="8" t="s">
        <v>321</v>
      </c>
      <c r="C2" s="8" t="s">
        <v>309</v>
      </c>
      <c r="D2" s="8" t="s">
        <v>136</v>
      </c>
      <c r="E2" s="8" t="s">
        <v>318</v>
      </c>
      <c r="F2" s="8">
        <v>61</v>
      </c>
      <c r="G2" s="22">
        <v>1342</v>
      </c>
      <c r="H2" s="22">
        <v>610</v>
      </c>
      <c r="J2" s="14" t="s">
        <v>419</v>
      </c>
      <c r="K2" s="10"/>
      <c r="L2" t="s">
        <v>420</v>
      </c>
    </row>
    <row r="3" spans="1:16" x14ac:dyDescent="0.25">
      <c r="A3" s="75">
        <v>40553</v>
      </c>
      <c r="B3" s="8" t="s">
        <v>321</v>
      </c>
      <c r="C3" s="8" t="s">
        <v>308</v>
      </c>
      <c r="D3" s="8" t="s">
        <v>328</v>
      </c>
      <c r="E3" s="8" t="s">
        <v>324</v>
      </c>
      <c r="F3" s="8">
        <v>7</v>
      </c>
      <c r="G3" s="22">
        <v>154</v>
      </c>
      <c r="H3" s="22">
        <v>70</v>
      </c>
      <c r="J3" s="14" t="s">
        <v>421</v>
      </c>
      <c r="K3" s="10"/>
      <c r="L3" t="s">
        <v>1334</v>
      </c>
    </row>
    <row r="4" spans="1:16" x14ac:dyDescent="0.25">
      <c r="A4" s="75">
        <v>40546</v>
      </c>
      <c r="B4" s="8" t="s">
        <v>311</v>
      </c>
      <c r="C4" s="8" t="s">
        <v>310</v>
      </c>
      <c r="D4" s="8" t="s">
        <v>3</v>
      </c>
      <c r="E4" s="8" t="s">
        <v>339</v>
      </c>
      <c r="F4" s="8">
        <v>6</v>
      </c>
      <c r="G4" s="22">
        <v>114</v>
      </c>
      <c r="H4" s="22">
        <v>48</v>
      </c>
      <c r="J4" s="14" t="s">
        <v>422</v>
      </c>
      <c r="K4" s="10"/>
      <c r="L4" t="s">
        <v>423</v>
      </c>
      <c r="P4" s="10">
        <f>SUMPRODUCT(--(D2:D106=K5),--(E2:E106=K6),G2:G106)</f>
        <v>3201</v>
      </c>
    </row>
    <row r="5" spans="1:16" x14ac:dyDescent="0.25">
      <c r="A5" s="75">
        <v>40550</v>
      </c>
      <c r="B5" s="8" t="s">
        <v>317</v>
      </c>
      <c r="C5" s="8" t="s">
        <v>309</v>
      </c>
      <c r="D5" s="8" t="s">
        <v>136</v>
      </c>
      <c r="E5" s="8" t="s">
        <v>326</v>
      </c>
      <c r="F5" s="8">
        <v>61</v>
      </c>
      <c r="G5" s="22">
        <v>1281</v>
      </c>
      <c r="H5" s="22">
        <v>564.25</v>
      </c>
      <c r="J5" s="8" t="s">
        <v>424</v>
      </c>
      <c r="K5" s="8" t="s">
        <v>3</v>
      </c>
    </row>
    <row r="6" spans="1:16" x14ac:dyDescent="0.25">
      <c r="A6" s="75">
        <v>40561</v>
      </c>
      <c r="B6" s="8" t="s">
        <v>311</v>
      </c>
      <c r="C6" s="8" t="s">
        <v>309</v>
      </c>
      <c r="D6" s="8" t="s">
        <v>3</v>
      </c>
      <c r="E6" s="8" t="s">
        <v>330</v>
      </c>
      <c r="F6" s="8">
        <v>8</v>
      </c>
      <c r="G6" s="22">
        <v>152</v>
      </c>
      <c r="H6" s="22">
        <v>64</v>
      </c>
      <c r="J6" s="8" t="s">
        <v>425</v>
      </c>
      <c r="K6" s="8" t="s">
        <v>339</v>
      </c>
    </row>
    <row r="7" spans="1:16" x14ac:dyDescent="0.25">
      <c r="A7" s="75">
        <v>40563</v>
      </c>
      <c r="B7" s="8" t="s">
        <v>315</v>
      </c>
      <c r="C7" s="8" t="s">
        <v>307</v>
      </c>
      <c r="D7" s="8" t="s">
        <v>7</v>
      </c>
      <c r="E7" s="8" t="s">
        <v>323</v>
      </c>
      <c r="F7" s="8">
        <v>59</v>
      </c>
      <c r="G7" s="22">
        <v>1357</v>
      </c>
      <c r="H7" s="22">
        <v>649</v>
      </c>
      <c r="J7" s="135" t="s">
        <v>426</v>
      </c>
      <c r="K7" s="10"/>
      <c r="L7" t="s">
        <v>427</v>
      </c>
    </row>
    <row r="8" spans="1:16" x14ac:dyDescent="0.25">
      <c r="A8" s="75">
        <v>40569</v>
      </c>
      <c r="B8" s="8" t="s">
        <v>321</v>
      </c>
      <c r="C8" s="8" t="s">
        <v>308</v>
      </c>
      <c r="D8" s="8" t="s">
        <v>328</v>
      </c>
      <c r="E8" s="8" t="s">
        <v>329</v>
      </c>
      <c r="F8" s="8">
        <v>21</v>
      </c>
      <c r="G8" s="22">
        <v>462</v>
      </c>
      <c r="H8" s="22">
        <v>210</v>
      </c>
      <c r="J8" s="8" t="s">
        <v>424</v>
      </c>
      <c r="K8" s="8"/>
    </row>
    <row r="9" spans="1:16" x14ac:dyDescent="0.25">
      <c r="A9" s="75">
        <v>40550</v>
      </c>
      <c r="B9" s="8" t="s">
        <v>315</v>
      </c>
      <c r="C9" s="8" t="s">
        <v>308</v>
      </c>
      <c r="D9" s="8" t="s">
        <v>312</v>
      </c>
      <c r="E9" s="8" t="s">
        <v>428</v>
      </c>
      <c r="F9" s="8">
        <v>12</v>
      </c>
      <c r="G9" s="22">
        <v>276</v>
      </c>
      <c r="H9" s="22">
        <v>132</v>
      </c>
      <c r="J9" s="8" t="s">
        <v>425</v>
      </c>
      <c r="K9" s="8"/>
    </row>
    <row r="10" spans="1:16" x14ac:dyDescent="0.25">
      <c r="A10" s="75">
        <v>40548</v>
      </c>
      <c r="B10" s="8" t="s">
        <v>315</v>
      </c>
      <c r="C10" s="8" t="s">
        <v>309</v>
      </c>
      <c r="D10" s="8" t="s">
        <v>312</v>
      </c>
      <c r="E10" s="8" t="s">
        <v>429</v>
      </c>
      <c r="F10" s="8">
        <v>60</v>
      </c>
      <c r="G10" s="22">
        <v>1380</v>
      </c>
      <c r="H10" s="22">
        <v>660</v>
      </c>
      <c r="J10" s="135" t="s">
        <v>426</v>
      </c>
      <c r="K10" s="10"/>
      <c r="L10" t="s">
        <v>427</v>
      </c>
      <c r="P10" s="10">
        <f>SUMPRODUCT(--(G2:G106&gt;=K11),--(G2:G106&lt;K12))</f>
        <v>27</v>
      </c>
    </row>
    <row r="11" spans="1:16" x14ac:dyDescent="0.25">
      <c r="A11" s="75">
        <v>40560</v>
      </c>
      <c r="B11" s="8" t="s">
        <v>319</v>
      </c>
      <c r="C11" s="8" t="s">
        <v>307</v>
      </c>
      <c r="D11" s="8" t="s">
        <v>312</v>
      </c>
      <c r="E11" s="8" t="s">
        <v>335</v>
      </c>
      <c r="F11" s="8">
        <v>62</v>
      </c>
      <c r="G11" s="22">
        <v>1674</v>
      </c>
      <c r="H11" s="22">
        <v>899</v>
      </c>
      <c r="J11" s="8" t="s">
        <v>424</v>
      </c>
      <c r="K11" s="8">
        <v>1000</v>
      </c>
    </row>
    <row r="12" spans="1:16" x14ac:dyDescent="0.25">
      <c r="A12" s="75">
        <v>40571</v>
      </c>
      <c r="B12" s="8" t="s">
        <v>311</v>
      </c>
      <c r="C12" s="8" t="s">
        <v>310</v>
      </c>
      <c r="D12" s="8" t="s">
        <v>132</v>
      </c>
      <c r="E12" s="8" t="s">
        <v>318</v>
      </c>
      <c r="F12" s="8">
        <v>51</v>
      </c>
      <c r="G12" s="22">
        <v>969</v>
      </c>
      <c r="H12" s="22">
        <v>408</v>
      </c>
      <c r="J12" s="8" t="s">
        <v>425</v>
      </c>
      <c r="K12" s="8">
        <v>1500</v>
      </c>
    </row>
    <row r="13" spans="1:16" x14ac:dyDescent="0.25">
      <c r="A13" s="75">
        <v>40560</v>
      </c>
      <c r="B13" s="8" t="s">
        <v>319</v>
      </c>
      <c r="C13" s="8" t="s">
        <v>307</v>
      </c>
      <c r="D13" s="8" t="s">
        <v>328</v>
      </c>
      <c r="E13" s="8" t="s">
        <v>331</v>
      </c>
      <c r="F13" s="8">
        <v>43</v>
      </c>
      <c r="G13" s="22">
        <v>1161</v>
      </c>
      <c r="H13" s="22">
        <v>623.5</v>
      </c>
      <c r="J13" s="14" t="s">
        <v>430</v>
      </c>
      <c r="K13" s="113"/>
      <c r="L13" t="s">
        <v>431</v>
      </c>
      <c r="P13" s="10">
        <f>SUMPRODUCT(--(B2:B106=K14),--(C2:C106=K15),F2:F106)/SUMPRODUCT(--(B2:B106=K14),--(C2:C106=K15))</f>
        <v>33.5</v>
      </c>
    </row>
    <row r="14" spans="1:16" x14ac:dyDescent="0.25">
      <c r="A14" s="75">
        <v>40559</v>
      </c>
      <c r="B14" s="8" t="s">
        <v>321</v>
      </c>
      <c r="C14" s="8" t="s">
        <v>308</v>
      </c>
      <c r="D14" s="8" t="s">
        <v>3</v>
      </c>
      <c r="E14" s="8" t="s">
        <v>432</v>
      </c>
      <c r="F14" s="8">
        <v>56</v>
      </c>
      <c r="G14" s="22">
        <v>1232</v>
      </c>
      <c r="H14" s="22">
        <v>560</v>
      </c>
      <c r="J14" s="8" t="s">
        <v>424</v>
      </c>
      <c r="K14" s="8" t="s">
        <v>321</v>
      </c>
    </row>
    <row r="15" spans="1:16" x14ac:dyDescent="0.25">
      <c r="A15" s="75">
        <v>40558</v>
      </c>
      <c r="B15" s="8" t="s">
        <v>311</v>
      </c>
      <c r="C15" s="8" t="s">
        <v>308</v>
      </c>
      <c r="D15" s="8" t="s">
        <v>7</v>
      </c>
      <c r="E15" s="8" t="s">
        <v>432</v>
      </c>
      <c r="F15" s="8">
        <v>11</v>
      </c>
      <c r="G15" s="22">
        <v>209</v>
      </c>
      <c r="H15" s="22">
        <v>88</v>
      </c>
      <c r="J15" s="8" t="s">
        <v>425</v>
      </c>
      <c r="K15" s="8" t="s">
        <v>309</v>
      </c>
    </row>
    <row r="16" spans="1:16" x14ac:dyDescent="0.25">
      <c r="A16" s="75">
        <v>40555</v>
      </c>
      <c r="B16" s="8" t="s">
        <v>321</v>
      </c>
      <c r="C16" s="8" t="s">
        <v>310</v>
      </c>
      <c r="D16" s="8" t="s">
        <v>7</v>
      </c>
      <c r="E16" s="8" t="s">
        <v>338</v>
      </c>
      <c r="F16" s="8">
        <v>7</v>
      </c>
      <c r="G16" s="22">
        <v>154</v>
      </c>
      <c r="H16" s="22">
        <v>70</v>
      </c>
      <c r="J16" s="14" t="s">
        <v>422</v>
      </c>
      <c r="K16" s="10"/>
      <c r="L16" t="s">
        <v>433</v>
      </c>
      <c r="P16" s="10">
        <f>SUMIF(C2:C106,K17,G2:G106)+SUMIF(C2:C106,K18,G2:G106)</f>
        <v>36796</v>
      </c>
    </row>
    <row r="17" spans="1:16" x14ac:dyDescent="0.25">
      <c r="A17" s="75">
        <v>40546</v>
      </c>
      <c r="B17" s="8" t="s">
        <v>317</v>
      </c>
      <c r="C17" s="8" t="s">
        <v>310</v>
      </c>
      <c r="D17" s="8" t="s">
        <v>136</v>
      </c>
      <c r="E17" s="8" t="s">
        <v>332</v>
      </c>
      <c r="F17" s="8">
        <v>23</v>
      </c>
      <c r="G17" s="22">
        <v>483</v>
      </c>
      <c r="H17" s="22">
        <v>212.75</v>
      </c>
      <c r="J17" s="8" t="s">
        <v>434</v>
      </c>
      <c r="K17" s="8" t="s">
        <v>309</v>
      </c>
    </row>
    <row r="18" spans="1:16" x14ac:dyDescent="0.25">
      <c r="A18" s="75">
        <v>40565</v>
      </c>
      <c r="B18" s="8" t="s">
        <v>315</v>
      </c>
      <c r="C18" s="8" t="s">
        <v>310</v>
      </c>
      <c r="D18" s="8" t="s">
        <v>132</v>
      </c>
      <c r="E18" s="8" t="s">
        <v>313</v>
      </c>
      <c r="F18" s="8">
        <v>29</v>
      </c>
      <c r="G18" s="22">
        <v>667</v>
      </c>
      <c r="H18" s="22">
        <v>319</v>
      </c>
      <c r="J18" s="8" t="s">
        <v>435</v>
      </c>
      <c r="K18" s="8" t="s">
        <v>308</v>
      </c>
    </row>
    <row r="19" spans="1:16" x14ac:dyDescent="0.25">
      <c r="A19" s="75">
        <v>40564</v>
      </c>
      <c r="B19" s="8" t="s">
        <v>319</v>
      </c>
      <c r="C19" s="8" t="s">
        <v>309</v>
      </c>
      <c r="D19" s="8" t="s">
        <v>328</v>
      </c>
      <c r="E19" s="8" t="s">
        <v>336</v>
      </c>
      <c r="F19" s="8">
        <v>56</v>
      </c>
      <c r="G19" s="22">
        <v>1512</v>
      </c>
      <c r="H19" s="22">
        <v>812</v>
      </c>
      <c r="J19" s="135" t="s">
        <v>426</v>
      </c>
      <c r="K19" s="10"/>
      <c r="L19" t="s">
        <v>433</v>
      </c>
      <c r="P19" s="10">
        <f>COUNTIF(C2:C106,K20)+COUNTIF(C2:C106,K21)</f>
        <v>48</v>
      </c>
    </row>
    <row r="20" spans="1:16" x14ac:dyDescent="0.25">
      <c r="A20" s="75">
        <v>40556</v>
      </c>
      <c r="B20" s="8" t="s">
        <v>311</v>
      </c>
      <c r="C20" s="8" t="s">
        <v>308</v>
      </c>
      <c r="D20" s="8" t="s">
        <v>136</v>
      </c>
      <c r="E20" s="8" t="s">
        <v>329</v>
      </c>
      <c r="F20" s="8">
        <v>33</v>
      </c>
      <c r="G20" s="22">
        <v>627</v>
      </c>
      <c r="H20" s="22">
        <v>264</v>
      </c>
      <c r="J20" s="8" t="s">
        <v>434</v>
      </c>
      <c r="K20" s="8" t="s">
        <v>309</v>
      </c>
    </row>
    <row r="21" spans="1:16" x14ac:dyDescent="0.25">
      <c r="A21" s="75">
        <v>40553</v>
      </c>
      <c r="B21" s="8" t="s">
        <v>319</v>
      </c>
      <c r="C21" s="8" t="s">
        <v>309</v>
      </c>
      <c r="D21" s="8" t="s">
        <v>132</v>
      </c>
      <c r="E21" s="8" t="s">
        <v>313</v>
      </c>
      <c r="F21" s="8">
        <v>65</v>
      </c>
      <c r="G21" s="22">
        <v>1755</v>
      </c>
      <c r="H21" s="22">
        <v>942.5</v>
      </c>
      <c r="J21" s="8" t="s">
        <v>435</v>
      </c>
      <c r="K21" s="8" t="s">
        <v>308</v>
      </c>
    </row>
    <row r="22" spans="1:16" x14ac:dyDescent="0.25">
      <c r="A22" s="75">
        <v>40551</v>
      </c>
      <c r="B22" s="8" t="s">
        <v>319</v>
      </c>
      <c r="C22" s="8" t="s">
        <v>309</v>
      </c>
      <c r="D22" s="8" t="s">
        <v>7</v>
      </c>
      <c r="E22" s="8" t="s">
        <v>335</v>
      </c>
      <c r="F22" s="8">
        <v>16</v>
      </c>
      <c r="G22" s="22">
        <v>432</v>
      </c>
      <c r="H22" s="22">
        <v>232</v>
      </c>
      <c r="J22" s="136" t="s">
        <v>120</v>
      </c>
      <c r="K22" s="10"/>
      <c r="P22" s="10">
        <f>(SUMIF(C2:C106,K17,G2:G106)+SUMIF(C2:C106,K18,G2:G106))/(COUNTIF(C2:C106,K20)+COUNTIF(C2:C106,K21))</f>
        <v>766.58333333333337</v>
      </c>
    </row>
    <row r="23" spans="1:16" x14ac:dyDescent="0.25">
      <c r="A23" s="75">
        <v>40549</v>
      </c>
      <c r="B23" s="8" t="s">
        <v>319</v>
      </c>
      <c r="C23" s="8" t="s">
        <v>309</v>
      </c>
      <c r="D23" s="8" t="s">
        <v>3</v>
      </c>
      <c r="E23" s="8" t="s">
        <v>339</v>
      </c>
      <c r="F23" s="8">
        <v>64</v>
      </c>
      <c r="G23" s="22">
        <v>1728</v>
      </c>
      <c r="H23" s="22">
        <v>928</v>
      </c>
      <c r="J23" s="8" t="s">
        <v>434</v>
      </c>
      <c r="K23" s="8" t="s">
        <v>309</v>
      </c>
    </row>
    <row r="24" spans="1:16" x14ac:dyDescent="0.25">
      <c r="A24" s="75">
        <v>40569</v>
      </c>
      <c r="B24" s="8" t="s">
        <v>317</v>
      </c>
      <c r="C24" s="8" t="s">
        <v>310</v>
      </c>
      <c r="D24" s="8" t="s">
        <v>3</v>
      </c>
      <c r="E24" s="8" t="s">
        <v>345</v>
      </c>
      <c r="F24" s="8">
        <v>44</v>
      </c>
      <c r="G24" s="22">
        <v>924</v>
      </c>
      <c r="H24" s="22">
        <v>407</v>
      </c>
      <c r="J24" s="8" t="s">
        <v>435</v>
      </c>
      <c r="K24" s="8" t="s">
        <v>308</v>
      </c>
    </row>
    <row r="25" spans="1:16" x14ac:dyDescent="0.25">
      <c r="A25" s="75">
        <v>40564</v>
      </c>
      <c r="B25" s="8" t="s">
        <v>311</v>
      </c>
      <c r="C25" s="8" t="s">
        <v>308</v>
      </c>
      <c r="D25" s="8" t="s">
        <v>132</v>
      </c>
      <c r="E25" s="8" t="s">
        <v>333</v>
      </c>
      <c r="F25" s="8">
        <v>64</v>
      </c>
      <c r="G25" s="22">
        <v>1216</v>
      </c>
      <c r="H25" s="22">
        <v>512</v>
      </c>
    </row>
    <row r="26" spans="1:16" x14ac:dyDescent="0.25">
      <c r="A26" s="75">
        <v>40550</v>
      </c>
      <c r="B26" s="8" t="s">
        <v>321</v>
      </c>
      <c r="C26" s="8" t="s">
        <v>309</v>
      </c>
      <c r="D26" s="8" t="s">
        <v>132</v>
      </c>
      <c r="E26" s="8" t="s">
        <v>326</v>
      </c>
      <c r="F26" s="8">
        <v>27</v>
      </c>
      <c r="G26" s="22">
        <v>594</v>
      </c>
      <c r="H26" s="22">
        <v>270</v>
      </c>
      <c r="J26" s="134" t="s">
        <v>303</v>
      </c>
      <c r="K26" s="8" t="s">
        <v>436</v>
      </c>
    </row>
    <row r="27" spans="1:16" x14ac:dyDescent="0.25">
      <c r="A27" s="75">
        <v>40563</v>
      </c>
      <c r="B27" s="8" t="s">
        <v>321</v>
      </c>
      <c r="C27" s="8" t="s">
        <v>307</v>
      </c>
      <c r="D27" s="8" t="s">
        <v>328</v>
      </c>
      <c r="E27" s="8" t="s">
        <v>329</v>
      </c>
      <c r="F27" s="8">
        <v>10</v>
      </c>
      <c r="G27" s="22">
        <v>220</v>
      </c>
      <c r="H27" s="22">
        <v>100</v>
      </c>
      <c r="J27" s="8" t="s">
        <v>309</v>
      </c>
      <c r="K27" s="10"/>
    </row>
    <row r="28" spans="1:16" x14ac:dyDescent="0.25">
      <c r="A28" s="75">
        <v>40552</v>
      </c>
      <c r="B28" s="8" t="s">
        <v>321</v>
      </c>
      <c r="C28" s="8" t="s">
        <v>310</v>
      </c>
      <c r="D28" s="8" t="s">
        <v>7</v>
      </c>
      <c r="E28" s="8" t="s">
        <v>332</v>
      </c>
      <c r="F28" s="8">
        <v>26</v>
      </c>
      <c r="G28" s="22">
        <v>572</v>
      </c>
      <c r="H28" s="22">
        <v>260</v>
      </c>
      <c r="J28" s="8" t="s">
        <v>308</v>
      </c>
      <c r="K28" s="10"/>
    </row>
    <row r="29" spans="1:16" x14ac:dyDescent="0.25">
      <c r="A29" s="75">
        <v>40550</v>
      </c>
      <c r="B29" s="8" t="s">
        <v>317</v>
      </c>
      <c r="C29" s="8" t="s">
        <v>308</v>
      </c>
      <c r="D29" s="8" t="s">
        <v>3</v>
      </c>
      <c r="E29" s="8" t="s">
        <v>339</v>
      </c>
      <c r="F29" s="8">
        <v>22</v>
      </c>
      <c r="G29" s="22">
        <v>462</v>
      </c>
      <c r="H29" s="22">
        <v>203.5</v>
      </c>
      <c r="J29" s="8" t="s">
        <v>310</v>
      </c>
      <c r="K29" s="10"/>
    </row>
    <row r="30" spans="1:16" x14ac:dyDescent="0.25">
      <c r="A30" s="75">
        <v>40572</v>
      </c>
      <c r="B30" s="8" t="s">
        <v>321</v>
      </c>
      <c r="C30" s="8" t="s">
        <v>307</v>
      </c>
      <c r="D30" s="8" t="s">
        <v>7</v>
      </c>
      <c r="E30" s="8" t="s">
        <v>330</v>
      </c>
      <c r="F30" s="8">
        <v>50</v>
      </c>
      <c r="G30" s="22">
        <v>1100</v>
      </c>
      <c r="H30" s="22">
        <v>500</v>
      </c>
      <c r="J30" s="8" t="s">
        <v>307</v>
      </c>
      <c r="K30" s="10"/>
    </row>
    <row r="31" spans="1:16" x14ac:dyDescent="0.25">
      <c r="A31" s="75">
        <v>40573</v>
      </c>
      <c r="B31" s="8" t="s">
        <v>311</v>
      </c>
      <c r="C31" s="8" t="s">
        <v>310</v>
      </c>
      <c r="D31" s="8" t="s">
        <v>3</v>
      </c>
      <c r="E31" s="8" t="s">
        <v>322</v>
      </c>
      <c r="F31" s="8">
        <v>23</v>
      </c>
      <c r="G31" s="22">
        <v>437</v>
      </c>
      <c r="H31" s="22">
        <v>184</v>
      </c>
    </row>
    <row r="32" spans="1:16" x14ac:dyDescent="0.25">
      <c r="A32" s="75">
        <v>40573</v>
      </c>
      <c r="B32" s="8" t="s">
        <v>311</v>
      </c>
      <c r="C32" s="8" t="s">
        <v>309</v>
      </c>
      <c r="D32" s="8" t="s">
        <v>328</v>
      </c>
      <c r="E32" s="8" t="s">
        <v>334</v>
      </c>
      <c r="F32" s="8">
        <v>49</v>
      </c>
      <c r="G32" s="22">
        <v>931</v>
      </c>
      <c r="H32" s="22">
        <v>392</v>
      </c>
    </row>
    <row r="33" spans="1:8" x14ac:dyDescent="0.25">
      <c r="A33" s="75">
        <v>40571</v>
      </c>
      <c r="B33" s="8" t="s">
        <v>315</v>
      </c>
      <c r="C33" s="8" t="s">
        <v>309</v>
      </c>
      <c r="D33" s="8" t="s">
        <v>132</v>
      </c>
      <c r="E33" s="8" t="s">
        <v>327</v>
      </c>
      <c r="F33" s="8">
        <v>15</v>
      </c>
      <c r="G33" s="22">
        <v>345</v>
      </c>
      <c r="H33" s="22">
        <v>165</v>
      </c>
    </row>
    <row r="34" spans="1:8" x14ac:dyDescent="0.25">
      <c r="A34" s="75">
        <v>40544</v>
      </c>
      <c r="B34" s="8" t="s">
        <v>319</v>
      </c>
      <c r="C34" s="8" t="s">
        <v>307</v>
      </c>
      <c r="D34" s="8" t="s">
        <v>3</v>
      </c>
      <c r="E34" s="8" t="s">
        <v>337</v>
      </c>
      <c r="F34" s="8">
        <v>16</v>
      </c>
      <c r="G34" s="22">
        <v>432</v>
      </c>
      <c r="H34" s="22">
        <v>232</v>
      </c>
    </row>
    <row r="35" spans="1:8" x14ac:dyDescent="0.25">
      <c r="A35" s="75">
        <v>40573</v>
      </c>
      <c r="B35" s="8" t="s">
        <v>319</v>
      </c>
      <c r="C35" s="8" t="s">
        <v>310</v>
      </c>
      <c r="D35" s="8" t="s">
        <v>3</v>
      </c>
      <c r="E35" s="8" t="s">
        <v>322</v>
      </c>
      <c r="F35" s="8">
        <v>25</v>
      </c>
      <c r="G35" s="22">
        <v>675</v>
      </c>
      <c r="H35" s="22">
        <v>362.5</v>
      </c>
    </row>
    <row r="36" spans="1:8" x14ac:dyDescent="0.25">
      <c r="A36" s="75">
        <v>40559</v>
      </c>
      <c r="B36" s="8" t="s">
        <v>315</v>
      </c>
      <c r="C36" s="8" t="s">
        <v>310</v>
      </c>
      <c r="D36" s="8" t="s">
        <v>132</v>
      </c>
      <c r="E36" s="8" t="s">
        <v>333</v>
      </c>
      <c r="F36" s="8">
        <v>31</v>
      </c>
      <c r="G36" s="22">
        <v>713</v>
      </c>
      <c r="H36" s="22">
        <v>341</v>
      </c>
    </row>
    <row r="37" spans="1:8" x14ac:dyDescent="0.25">
      <c r="A37" s="75">
        <v>40567</v>
      </c>
      <c r="B37" s="8" t="s">
        <v>319</v>
      </c>
      <c r="C37" s="8" t="s">
        <v>309</v>
      </c>
      <c r="D37" s="8" t="s">
        <v>328</v>
      </c>
      <c r="E37" s="8" t="s">
        <v>335</v>
      </c>
      <c r="F37" s="8">
        <v>63</v>
      </c>
      <c r="G37" s="22">
        <v>1701</v>
      </c>
      <c r="H37" s="22">
        <v>913.5</v>
      </c>
    </row>
    <row r="38" spans="1:8" x14ac:dyDescent="0.25">
      <c r="A38" s="75">
        <v>40568</v>
      </c>
      <c r="B38" s="8" t="s">
        <v>311</v>
      </c>
      <c r="C38" s="8" t="s">
        <v>308</v>
      </c>
      <c r="D38" s="8" t="s">
        <v>312</v>
      </c>
      <c r="E38" s="8" t="s">
        <v>316</v>
      </c>
      <c r="F38" s="8">
        <v>21</v>
      </c>
      <c r="G38" s="22">
        <v>399</v>
      </c>
      <c r="H38" s="22">
        <v>168</v>
      </c>
    </row>
    <row r="39" spans="1:8" x14ac:dyDescent="0.25">
      <c r="A39" s="75">
        <v>40564</v>
      </c>
      <c r="B39" s="8" t="s">
        <v>311</v>
      </c>
      <c r="C39" s="8" t="s">
        <v>308</v>
      </c>
      <c r="D39" s="8" t="s">
        <v>136</v>
      </c>
      <c r="E39" s="8" t="s">
        <v>334</v>
      </c>
      <c r="F39" s="8">
        <v>23</v>
      </c>
      <c r="G39" s="22">
        <v>437</v>
      </c>
      <c r="H39" s="22">
        <v>184</v>
      </c>
    </row>
    <row r="40" spans="1:8" x14ac:dyDescent="0.25">
      <c r="A40" s="75">
        <v>40561</v>
      </c>
      <c r="B40" s="8" t="s">
        <v>321</v>
      </c>
      <c r="C40" s="8" t="s">
        <v>307</v>
      </c>
      <c r="D40" s="8" t="s">
        <v>136</v>
      </c>
      <c r="E40" s="8" t="s">
        <v>334</v>
      </c>
      <c r="F40" s="8">
        <v>59</v>
      </c>
      <c r="G40" s="22">
        <v>1298</v>
      </c>
      <c r="H40" s="22">
        <v>590</v>
      </c>
    </row>
    <row r="41" spans="1:8" x14ac:dyDescent="0.25">
      <c r="A41" s="75">
        <v>40556</v>
      </c>
      <c r="B41" s="8" t="s">
        <v>321</v>
      </c>
      <c r="C41" s="8" t="s">
        <v>308</v>
      </c>
      <c r="D41" s="8" t="s">
        <v>136</v>
      </c>
      <c r="E41" s="8" t="s">
        <v>343</v>
      </c>
      <c r="F41" s="8">
        <v>57</v>
      </c>
      <c r="G41" s="22">
        <v>1254</v>
      </c>
      <c r="H41" s="22">
        <v>570</v>
      </c>
    </row>
    <row r="42" spans="1:8" x14ac:dyDescent="0.25">
      <c r="A42" s="75">
        <v>40564</v>
      </c>
      <c r="B42" s="8" t="s">
        <v>319</v>
      </c>
      <c r="C42" s="8" t="s">
        <v>307</v>
      </c>
      <c r="D42" s="8" t="s">
        <v>7</v>
      </c>
      <c r="E42" s="8" t="s">
        <v>324</v>
      </c>
      <c r="F42" s="8">
        <v>58</v>
      </c>
      <c r="G42" s="22">
        <v>1566</v>
      </c>
      <c r="H42" s="22">
        <v>841</v>
      </c>
    </row>
    <row r="43" spans="1:8" x14ac:dyDescent="0.25">
      <c r="A43" s="75">
        <v>40552</v>
      </c>
      <c r="B43" s="8" t="s">
        <v>311</v>
      </c>
      <c r="C43" s="8" t="s">
        <v>307</v>
      </c>
      <c r="D43" s="8" t="s">
        <v>132</v>
      </c>
      <c r="E43" s="8" t="s">
        <v>339</v>
      </c>
      <c r="F43" s="8">
        <v>42</v>
      </c>
      <c r="G43" s="22">
        <v>798</v>
      </c>
      <c r="H43" s="22">
        <v>336</v>
      </c>
    </row>
    <row r="44" spans="1:8" x14ac:dyDescent="0.25">
      <c r="A44" s="75">
        <v>40552</v>
      </c>
      <c r="B44" s="8" t="s">
        <v>321</v>
      </c>
      <c r="C44" s="8" t="s">
        <v>310</v>
      </c>
      <c r="D44" s="8" t="s">
        <v>3</v>
      </c>
      <c r="E44" s="8" t="s">
        <v>333</v>
      </c>
      <c r="F44" s="8">
        <v>15</v>
      </c>
      <c r="G44" s="22">
        <v>330</v>
      </c>
      <c r="H44" s="22">
        <v>150</v>
      </c>
    </row>
    <row r="45" spans="1:8" x14ac:dyDescent="0.25">
      <c r="A45" s="75">
        <v>40570</v>
      </c>
      <c r="B45" s="8" t="s">
        <v>315</v>
      </c>
      <c r="C45" s="8" t="s">
        <v>309</v>
      </c>
      <c r="D45" s="8" t="s">
        <v>328</v>
      </c>
      <c r="E45" s="8" t="s">
        <v>333</v>
      </c>
      <c r="F45" s="8">
        <v>10</v>
      </c>
      <c r="G45" s="22">
        <v>230</v>
      </c>
      <c r="H45" s="22">
        <v>110</v>
      </c>
    </row>
    <row r="46" spans="1:8" x14ac:dyDescent="0.25">
      <c r="A46" s="75">
        <v>40549</v>
      </c>
      <c r="B46" s="8" t="s">
        <v>315</v>
      </c>
      <c r="C46" s="8" t="s">
        <v>309</v>
      </c>
      <c r="D46" s="8" t="s">
        <v>3</v>
      </c>
      <c r="E46" s="8" t="s">
        <v>347</v>
      </c>
      <c r="F46" s="8">
        <v>18</v>
      </c>
      <c r="G46" s="22">
        <v>414</v>
      </c>
      <c r="H46" s="22">
        <v>198</v>
      </c>
    </row>
    <row r="47" spans="1:8" x14ac:dyDescent="0.25">
      <c r="A47" s="75">
        <v>40553</v>
      </c>
      <c r="B47" s="8" t="s">
        <v>317</v>
      </c>
      <c r="C47" s="8" t="s">
        <v>307</v>
      </c>
      <c r="D47" s="8" t="s">
        <v>328</v>
      </c>
      <c r="E47" s="8" t="s">
        <v>342</v>
      </c>
      <c r="F47" s="8">
        <v>27</v>
      </c>
      <c r="G47" s="22">
        <v>567</v>
      </c>
      <c r="H47" s="22">
        <v>249.75</v>
      </c>
    </row>
    <row r="48" spans="1:8" x14ac:dyDescent="0.25">
      <c r="A48" s="75">
        <v>40564</v>
      </c>
      <c r="B48" s="8" t="s">
        <v>317</v>
      </c>
      <c r="C48" s="8" t="s">
        <v>310</v>
      </c>
      <c r="D48" s="8" t="s">
        <v>136</v>
      </c>
      <c r="E48" s="8" t="s">
        <v>428</v>
      </c>
      <c r="F48" s="8">
        <v>13</v>
      </c>
      <c r="G48" s="22">
        <v>273</v>
      </c>
      <c r="H48" s="22">
        <v>120.25</v>
      </c>
    </row>
    <row r="49" spans="1:8" x14ac:dyDescent="0.25">
      <c r="A49" s="75">
        <v>40565</v>
      </c>
      <c r="B49" s="8" t="s">
        <v>321</v>
      </c>
      <c r="C49" s="8" t="s">
        <v>309</v>
      </c>
      <c r="D49" s="8" t="s">
        <v>3</v>
      </c>
      <c r="E49" s="8" t="s">
        <v>432</v>
      </c>
      <c r="F49" s="8">
        <v>35</v>
      </c>
      <c r="G49" s="22">
        <v>770</v>
      </c>
      <c r="H49" s="22">
        <v>350</v>
      </c>
    </row>
    <row r="50" spans="1:8" x14ac:dyDescent="0.25">
      <c r="A50" s="75">
        <v>40546</v>
      </c>
      <c r="B50" s="8" t="s">
        <v>311</v>
      </c>
      <c r="C50" s="8" t="s">
        <v>307</v>
      </c>
      <c r="D50" s="8" t="s">
        <v>136</v>
      </c>
      <c r="E50" s="8" t="s">
        <v>324</v>
      </c>
      <c r="F50" s="8">
        <v>38</v>
      </c>
      <c r="G50" s="22">
        <v>722</v>
      </c>
      <c r="H50" s="22">
        <v>304</v>
      </c>
    </row>
    <row r="51" spans="1:8" x14ac:dyDescent="0.25">
      <c r="A51" s="75">
        <v>40553</v>
      </c>
      <c r="B51" s="8" t="s">
        <v>315</v>
      </c>
      <c r="C51" s="8" t="s">
        <v>307</v>
      </c>
      <c r="D51" s="8" t="s">
        <v>136</v>
      </c>
      <c r="E51" s="8" t="s">
        <v>337</v>
      </c>
      <c r="F51" s="8">
        <v>63</v>
      </c>
      <c r="G51" s="22">
        <v>1449</v>
      </c>
      <c r="H51" s="22">
        <v>693</v>
      </c>
    </row>
    <row r="52" spans="1:8" x14ac:dyDescent="0.25">
      <c r="A52" s="75">
        <v>40565</v>
      </c>
      <c r="B52" s="8" t="s">
        <v>319</v>
      </c>
      <c r="C52" s="8" t="s">
        <v>310</v>
      </c>
      <c r="D52" s="8" t="s">
        <v>312</v>
      </c>
      <c r="E52" s="8" t="s">
        <v>324</v>
      </c>
      <c r="F52" s="8">
        <v>29</v>
      </c>
      <c r="G52" s="22">
        <v>783</v>
      </c>
      <c r="H52" s="22">
        <v>420.5</v>
      </c>
    </row>
    <row r="53" spans="1:8" x14ac:dyDescent="0.25">
      <c r="A53" s="75">
        <v>40571</v>
      </c>
      <c r="B53" s="8" t="s">
        <v>317</v>
      </c>
      <c r="C53" s="8" t="s">
        <v>307</v>
      </c>
      <c r="D53" s="8" t="s">
        <v>132</v>
      </c>
      <c r="E53" s="8" t="s">
        <v>340</v>
      </c>
      <c r="F53" s="8">
        <v>36</v>
      </c>
      <c r="G53" s="22">
        <v>756</v>
      </c>
      <c r="H53" s="22">
        <v>333</v>
      </c>
    </row>
    <row r="54" spans="1:8" x14ac:dyDescent="0.25">
      <c r="A54" s="75">
        <v>40553</v>
      </c>
      <c r="B54" s="8" t="s">
        <v>319</v>
      </c>
      <c r="C54" s="8" t="s">
        <v>307</v>
      </c>
      <c r="D54" s="8" t="s">
        <v>132</v>
      </c>
      <c r="E54" s="8" t="s">
        <v>334</v>
      </c>
      <c r="F54" s="8">
        <v>17</v>
      </c>
      <c r="G54" s="22">
        <v>459</v>
      </c>
      <c r="H54" s="22">
        <v>246.5</v>
      </c>
    </row>
    <row r="55" spans="1:8" x14ac:dyDescent="0.25">
      <c r="A55" s="75">
        <v>40560</v>
      </c>
      <c r="B55" s="8" t="s">
        <v>321</v>
      </c>
      <c r="C55" s="8" t="s">
        <v>308</v>
      </c>
      <c r="D55" s="8" t="s">
        <v>132</v>
      </c>
      <c r="E55" s="8" t="s">
        <v>339</v>
      </c>
      <c r="F55" s="8">
        <v>16</v>
      </c>
      <c r="G55" s="22">
        <v>352</v>
      </c>
      <c r="H55" s="22">
        <v>160</v>
      </c>
    </row>
    <row r="56" spans="1:8" x14ac:dyDescent="0.25">
      <c r="A56" s="75">
        <v>40563</v>
      </c>
      <c r="B56" s="8" t="s">
        <v>311</v>
      </c>
      <c r="C56" s="8" t="s">
        <v>309</v>
      </c>
      <c r="D56" s="8" t="s">
        <v>3</v>
      </c>
      <c r="E56" s="8" t="s">
        <v>432</v>
      </c>
      <c r="F56" s="8">
        <v>58</v>
      </c>
      <c r="G56" s="22">
        <v>1102</v>
      </c>
      <c r="H56" s="22">
        <v>464</v>
      </c>
    </row>
    <row r="57" spans="1:8" x14ac:dyDescent="0.25">
      <c r="A57" s="75">
        <v>40561</v>
      </c>
      <c r="B57" s="8" t="s">
        <v>321</v>
      </c>
      <c r="C57" s="8" t="s">
        <v>307</v>
      </c>
      <c r="D57" s="8" t="s">
        <v>312</v>
      </c>
      <c r="E57" s="8" t="s">
        <v>345</v>
      </c>
      <c r="F57" s="8">
        <v>20</v>
      </c>
      <c r="G57" s="22">
        <v>440</v>
      </c>
      <c r="H57" s="22">
        <v>200</v>
      </c>
    </row>
    <row r="58" spans="1:8" x14ac:dyDescent="0.25">
      <c r="A58" s="75">
        <v>40556</v>
      </c>
      <c r="B58" s="8" t="s">
        <v>321</v>
      </c>
      <c r="C58" s="8" t="s">
        <v>308</v>
      </c>
      <c r="D58" s="8" t="s">
        <v>136</v>
      </c>
      <c r="E58" s="8" t="s">
        <v>329</v>
      </c>
      <c r="F58" s="8">
        <v>40</v>
      </c>
      <c r="G58" s="22">
        <v>880</v>
      </c>
      <c r="H58" s="22">
        <v>400</v>
      </c>
    </row>
    <row r="59" spans="1:8" x14ac:dyDescent="0.25">
      <c r="A59" s="75">
        <v>40557</v>
      </c>
      <c r="B59" s="8" t="s">
        <v>315</v>
      </c>
      <c r="C59" s="8" t="s">
        <v>307</v>
      </c>
      <c r="D59" s="8" t="s">
        <v>312</v>
      </c>
      <c r="E59" s="8" t="s">
        <v>316</v>
      </c>
      <c r="F59" s="8">
        <v>34</v>
      </c>
      <c r="G59" s="22">
        <v>782</v>
      </c>
      <c r="H59" s="22">
        <v>374</v>
      </c>
    </row>
    <row r="60" spans="1:8" x14ac:dyDescent="0.25">
      <c r="A60" s="75">
        <v>40560</v>
      </c>
      <c r="B60" s="8" t="s">
        <v>319</v>
      </c>
      <c r="C60" s="8" t="s">
        <v>308</v>
      </c>
      <c r="D60" s="8" t="s">
        <v>7</v>
      </c>
      <c r="E60" s="8" t="s">
        <v>325</v>
      </c>
      <c r="F60" s="8">
        <v>61</v>
      </c>
      <c r="G60" s="22">
        <v>1647</v>
      </c>
      <c r="H60" s="22">
        <v>884.5</v>
      </c>
    </row>
    <row r="61" spans="1:8" x14ac:dyDescent="0.25">
      <c r="A61" s="75">
        <v>40555</v>
      </c>
      <c r="B61" s="8" t="s">
        <v>317</v>
      </c>
      <c r="C61" s="8" t="s">
        <v>308</v>
      </c>
      <c r="D61" s="8" t="s">
        <v>328</v>
      </c>
      <c r="E61" s="8" t="s">
        <v>336</v>
      </c>
      <c r="F61" s="8">
        <v>19</v>
      </c>
      <c r="G61" s="22">
        <v>399</v>
      </c>
      <c r="H61" s="22">
        <v>175.75</v>
      </c>
    </row>
    <row r="62" spans="1:8" x14ac:dyDescent="0.25">
      <c r="A62" s="75">
        <v>40549</v>
      </c>
      <c r="B62" s="8" t="s">
        <v>311</v>
      </c>
      <c r="C62" s="8" t="s">
        <v>310</v>
      </c>
      <c r="D62" s="8" t="s">
        <v>132</v>
      </c>
      <c r="E62" s="8" t="s">
        <v>333</v>
      </c>
      <c r="F62" s="8">
        <v>40</v>
      </c>
      <c r="G62" s="22">
        <v>760</v>
      </c>
      <c r="H62" s="22">
        <v>320</v>
      </c>
    </row>
    <row r="63" spans="1:8" x14ac:dyDescent="0.25">
      <c r="A63" s="75">
        <v>40562</v>
      </c>
      <c r="B63" s="8" t="s">
        <v>321</v>
      </c>
      <c r="C63" s="8" t="s">
        <v>310</v>
      </c>
      <c r="D63" s="8" t="s">
        <v>3</v>
      </c>
      <c r="E63" s="8" t="s">
        <v>326</v>
      </c>
      <c r="F63" s="8">
        <v>35</v>
      </c>
      <c r="G63" s="22">
        <v>770</v>
      </c>
      <c r="H63" s="22">
        <v>350</v>
      </c>
    </row>
    <row r="64" spans="1:8" x14ac:dyDescent="0.25">
      <c r="A64" s="75">
        <v>40569</v>
      </c>
      <c r="B64" s="8" t="s">
        <v>321</v>
      </c>
      <c r="C64" s="8" t="s">
        <v>307</v>
      </c>
      <c r="D64" s="8" t="s">
        <v>7</v>
      </c>
      <c r="E64" s="8" t="s">
        <v>347</v>
      </c>
      <c r="F64" s="8">
        <v>17</v>
      </c>
      <c r="G64" s="22">
        <v>374</v>
      </c>
      <c r="H64" s="22">
        <v>170</v>
      </c>
    </row>
    <row r="65" spans="1:8" x14ac:dyDescent="0.25">
      <c r="A65" s="75">
        <v>40548</v>
      </c>
      <c r="B65" s="8" t="s">
        <v>317</v>
      </c>
      <c r="C65" s="8" t="s">
        <v>310</v>
      </c>
      <c r="D65" s="8" t="s">
        <v>136</v>
      </c>
      <c r="E65" s="8" t="s">
        <v>322</v>
      </c>
      <c r="F65" s="8">
        <v>57</v>
      </c>
      <c r="G65" s="22">
        <v>1197</v>
      </c>
      <c r="H65" s="22">
        <v>527.25</v>
      </c>
    </row>
    <row r="66" spans="1:8" x14ac:dyDescent="0.25">
      <c r="A66" s="75">
        <v>40571</v>
      </c>
      <c r="B66" s="8" t="s">
        <v>315</v>
      </c>
      <c r="C66" s="8" t="s">
        <v>310</v>
      </c>
      <c r="D66" s="8" t="s">
        <v>312</v>
      </c>
      <c r="E66" s="8" t="s">
        <v>314</v>
      </c>
      <c r="F66" s="8">
        <v>46</v>
      </c>
      <c r="G66" s="22">
        <v>1058</v>
      </c>
      <c r="H66" s="22">
        <v>506</v>
      </c>
    </row>
    <row r="67" spans="1:8" x14ac:dyDescent="0.25">
      <c r="A67" s="75">
        <v>40553</v>
      </c>
      <c r="B67" s="8" t="s">
        <v>311</v>
      </c>
      <c r="C67" s="8" t="s">
        <v>310</v>
      </c>
      <c r="D67" s="8" t="s">
        <v>7</v>
      </c>
      <c r="E67" s="8" t="s">
        <v>342</v>
      </c>
      <c r="F67" s="8">
        <v>30</v>
      </c>
      <c r="G67" s="22">
        <v>570</v>
      </c>
      <c r="H67" s="22">
        <v>240</v>
      </c>
    </row>
    <row r="68" spans="1:8" x14ac:dyDescent="0.25">
      <c r="A68" s="75">
        <v>40550</v>
      </c>
      <c r="B68" s="8" t="s">
        <v>317</v>
      </c>
      <c r="C68" s="8" t="s">
        <v>309</v>
      </c>
      <c r="D68" s="8" t="s">
        <v>136</v>
      </c>
      <c r="E68" s="8" t="s">
        <v>338</v>
      </c>
      <c r="F68" s="8">
        <v>53</v>
      </c>
      <c r="G68" s="22">
        <v>1113</v>
      </c>
      <c r="H68" s="22">
        <v>490.25</v>
      </c>
    </row>
    <row r="69" spans="1:8" x14ac:dyDescent="0.25">
      <c r="A69" s="75">
        <v>40571</v>
      </c>
      <c r="B69" s="8" t="s">
        <v>319</v>
      </c>
      <c r="C69" s="8" t="s">
        <v>308</v>
      </c>
      <c r="D69" s="8" t="s">
        <v>132</v>
      </c>
      <c r="E69" s="8" t="s">
        <v>432</v>
      </c>
      <c r="F69" s="8">
        <v>42</v>
      </c>
      <c r="G69" s="22">
        <v>1134</v>
      </c>
      <c r="H69" s="22">
        <v>609</v>
      </c>
    </row>
    <row r="70" spans="1:8" x14ac:dyDescent="0.25">
      <c r="A70" s="75">
        <v>40545</v>
      </c>
      <c r="B70" s="8" t="s">
        <v>319</v>
      </c>
      <c r="C70" s="8" t="s">
        <v>309</v>
      </c>
      <c r="D70" s="8" t="s">
        <v>136</v>
      </c>
      <c r="E70" s="8" t="s">
        <v>330</v>
      </c>
      <c r="F70" s="8">
        <v>30</v>
      </c>
      <c r="G70" s="22">
        <v>810</v>
      </c>
      <c r="H70" s="22">
        <v>435</v>
      </c>
    </row>
    <row r="71" spans="1:8" x14ac:dyDescent="0.25">
      <c r="A71" s="75">
        <v>40558</v>
      </c>
      <c r="B71" s="8" t="s">
        <v>317</v>
      </c>
      <c r="C71" s="8" t="s">
        <v>307</v>
      </c>
      <c r="D71" s="8" t="s">
        <v>328</v>
      </c>
      <c r="E71" s="8" t="s">
        <v>330</v>
      </c>
      <c r="F71" s="8">
        <v>63</v>
      </c>
      <c r="G71" s="22">
        <v>1323</v>
      </c>
      <c r="H71" s="22">
        <v>582.75</v>
      </c>
    </row>
    <row r="72" spans="1:8" x14ac:dyDescent="0.25">
      <c r="A72" s="75">
        <v>40553</v>
      </c>
      <c r="B72" s="8" t="s">
        <v>317</v>
      </c>
      <c r="C72" s="8" t="s">
        <v>307</v>
      </c>
      <c r="D72" s="8" t="s">
        <v>132</v>
      </c>
      <c r="E72" s="8" t="s">
        <v>341</v>
      </c>
      <c r="F72" s="8">
        <v>17</v>
      </c>
      <c r="G72" s="22">
        <v>357</v>
      </c>
      <c r="H72" s="22">
        <v>157.25</v>
      </c>
    </row>
    <row r="73" spans="1:8" x14ac:dyDescent="0.25">
      <c r="A73" s="75">
        <v>40566</v>
      </c>
      <c r="B73" s="8" t="s">
        <v>319</v>
      </c>
      <c r="C73" s="8" t="s">
        <v>307</v>
      </c>
      <c r="D73" s="8" t="s">
        <v>136</v>
      </c>
      <c r="E73" s="8" t="s">
        <v>338</v>
      </c>
      <c r="F73" s="8">
        <v>22</v>
      </c>
      <c r="G73" s="22">
        <v>594</v>
      </c>
      <c r="H73" s="22">
        <v>319</v>
      </c>
    </row>
    <row r="74" spans="1:8" x14ac:dyDescent="0.25">
      <c r="A74" s="75">
        <v>40549</v>
      </c>
      <c r="B74" s="8" t="s">
        <v>311</v>
      </c>
      <c r="C74" s="8" t="s">
        <v>307</v>
      </c>
      <c r="D74" s="8" t="s">
        <v>312</v>
      </c>
      <c r="E74" s="8" t="s">
        <v>329</v>
      </c>
      <c r="F74" s="8">
        <v>54</v>
      </c>
      <c r="G74" s="22">
        <v>1026</v>
      </c>
      <c r="H74" s="22">
        <v>432</v>
      </c>
    </row>
    <row r="75" spans="1:8" x14ac:dyDescent="0.25">
      <c r="A75" s="75">
        <v>40561</v>
      </c>
      <c r="B75" s="8" t="s">
        <v>315</v>
      </c>
      <c r="C75" s="8" t="s">
        <v>310</v>
      </c>
      <c r="D75" s="8" t="s">
        <v>132</v>
      </c>
      <c r="E75" s="8" t="s">
        <v>432</v>
      </c>
      <c r="F75" s="8">
        <v>53</v>
      </c>
      <c r="G75" s="22">
        <v>1219</v>
      </c>
      <c r="H75" s="22">
        <v>583</v>
      </c>
    </row>
    <row r="76" spans="1:8" x14ac:dyDescent="0.25">
      <c r="A76" s="75">
        <v>40554</v>
      </c>
      <c r="B76" s="8" t="s">
        <v>319</v>
      </c>
      <c r="C76" s="8" t="s">
        <v>307</v>
      </c>
      <c r="D76" s="8" t="s">
        <v>132</v>
      </c>
      <c r="E76" s="8" t="s">
        <v>344</v>
      </c>
      <c r="F76" s="8">
        <v>49</v>
      </c>
      <c r="G76" s="22">
        <v>1323</v>
      </c>
      <c r="H76" s="22">
        <v>710.5</v>
      </c>
    </row>
    <row r="77" spans="1:8" x14ac:dyDescent="0.25">
      <c r="A77" s="75">
        <v>40564</v>
      </c>
      <c r="B77" s="8" t="s">
        <v>321</v>
      </c>
      <c r="C77" s="8" t="s">
        <v>310</v>
      </c>
      <c r="D77" s="8" t="s">
        <v>132</v>
      </c>
      <c r="E77" s="8" t="s">
        <v>342</v>
      </c>
      <c r="F77" s="8">
        <v>11</v>
      </c>
      <c r="G77" s="22">
        <v>242</v>
      </c>
      <c r="H77" s="22">
        <v>110</v>
      </c>
    </row>
    <row r="78" spans="1:8" x14ac:dyDescent="0.25">
      <c r="A78" s="75">
        <v>40561</v>
      </c>
      <c r="B78" s="8" t="s">
        <v>317</v>
      </c>
      <c r="C78" s="8" t="s">
        <v>307</v>
      </c>
      <c r="D78" s="8" t="s">
        <v>328</v>
      </c>
      <c r="E78" s="8" t="s">
        <v>314</v>
      </c>
      <c r="F78" s="8">
        <v>12</v>
      </c>
      <c r="G78" s="22">
        <v>252</v>
      </c>
      <c r="H78" s="22">
        <v>111</v>
      </c>
    </row>
    <row r="79" spans="1:8" x14ac:dyDescent="0.25">
      <c r="A79" s="75">
        <v>40553</v>
      </c>
      <c r="B79" s="8" t="s">
        <v>311</v>
      </c>
      <c r="C79" s="8" t="s">
        <v>308</v>
      </c>
      <c r="D79" s="8" t="s">
        <v>132</v>
      </c>
      <c r="E79" s="8" t="s">
        <v>322</v>
      </c>
      <c r="F79" s="8">
        <v>8</v>
      </c>
      <c r="G79" s="22">
        <v>152</v>
      </c>
      <c r="H79" s="22">
        <v>64</v>
      </c>
    </row>
    <row r="80" spans="1:8" x14ac:dyDescent="0.25">
      <c r="A80" s="75">
        <v>40560</v>
      </c>
      <c r="B80" s="8" t="s">
        <v>311</v>
      </c>
      <c r="C80" s="8" t="s">
        <v>308</v>
      </c>
      <c r="D80" s="8" t="s">
        <v>312</v>
      </c>
      <c r="E80" s="8" t="s">
        <v>428</v>
      </c>
      <c r="F80" s="8">
        <v>59</v>
      </c>
      <c r="G80" s="22">
        <v>1121</v>
      </c>
      <c r="H80" s="22">
        <v>472</v>
      </c>
    </row>
    <row r="81" spans="1:8" x14ac:dyDescent="0.25">
      <c r="A81" s="75">
        <v>40566</v>
      </c>
      <c r="B81" s="8" t="s">
        <v>311</v>
      </c>
      <c r="C81" s="8" t="s">
        <v>310</v>
      </c>
      <c r="D81" s="8" t="s">
        <v>7</v>
      </c>
      <c r="E81" s="8" t="s">
        <v>326</v>
      </c>
      <c r="F81" s="8">
        <v>49</v>
      </c>
      <c r="G81" s="22">
        <v>931</v>
      </c>
      <c r="H81" s="22">
        <v>392</v>
      </c>
    </row>
    <row r="82" spans="1:8" x14ac:dyDescent="0.25">
      <c r="A82" s="75">
        <v>40566</v>
      </c>
      <c r="B82" s="8" t="s">
        <v>319</v>
      </c>
      <c r="C82" s="8" t="s">
        <v>307</v>
      </c>
      <c r="D82" s="8" t="s">
        <v>312</v>
      </c>
      <c r="E82" s="8" t="s">
        <v>339</v>
      </c>
      <c r="F82" s="8">
        <v>44</v>
      </c>
      <c r="G82" s="22">
        <v>1188</v>
      </c>
      <c r="H82" s="22">
        <v>638</v>
      </c>
    </row>
    <row r="83" spans="1:8" x14ac:dyDescent="0.25">
      <c r="A83" s="75">
        <v>40571</v>
      </c>
      <c r="B83" s="8" t="s">
        <v>317</v>
      </c>
      <c r="C83" s="8" t="s">
        <v>309</v>
      </c>
      <c r="D83" s="8" t="s">
        <v>7</v>
      </c>
      <c r="E83" s="8" t="s">
        <v>324</v>
      </c>
      <c r="F83" s="8">
        <v>62</v>
      </c>
      <c r="G83" s="22">
        <v>1302</v>
      </c>
      <c r="H83" s="22">
        <v>573.5</v>
      </c>
    </row>
    <row r="84" spans="1:8" x14ac:dyDescent="0.25">
      <c r="A84" s="75">
        <v>40572</v>
      </c>
      <c r="B84" s="8" t="s">
        <v>319</v>
      </c>
      <c r="C84" s="8" t="s">
        <v>308</v>
      </c>
      <c r="D84" s="8" t="s">
        <v>328</v>
      </c>
      <c r="E84" s="8" t="s">
        <v>343</v>
      </c>
      <c r="F84" s="8">
        <v>10</v>
      </c>
      <c r="G84" s="22">
        <v>270</v>
      </c>
      <c r="H84" s="22">
        <v>145</v>
      </c>
    </row>
    <row r="85" spans="1:8" x14ac:dyDescent="0.25">
      <c r="A85" s="75">
        <v>40556</v>
      </c>
      <c r="B85" s="8" t="s">
        <v>315</v>
      </c>
      <c r="C85" s="8" t="s">
        <v>310</v>
      </c>
      <c r="D85" s="8" t="s">
        <v>132</v>
      </c>
      <c r="E85" s="8" t="s">
        <v>324</v>
      </c>
      <c r="F85" s="8">
        <v>52</v>
      </c>
      <c r="G85" s="22">
        <v>1196</v>
      </c>
      <c r="H85" s="22">
        <v>572</v>
      </c>
    </row>
    <row r="86" spans="1:8" x14ac:dyDescent="0.25">
      <c r="A86" s="75">
        <v>40561</v>
      </c>
      <c r="B86" s="8" t="s">
        <v>319</v>
      </c>
      <c r="C86" s="8" t="s">
        <v>308</v>
      </c>
      <c r="D86" s="8" t="s">
        <v>132</v>
      </c>
      <c r="E86" s="8" t="s">
        <v>343</v>
      </c>
      <c r="F86" s="8">
        <v>17</v>
      </c>
      <c r="G86" s="22">
        <v>459</v>
      </c>
      <c r="H86" s="22">
        <v>246.5</v>
      </c>
    </row>
    <row r="87" spans="1:8" x14ac:dyDescent="0.25">
      <c r="A87" s="75">
        <v>40547</v>
      </c>
      <c r="B87" s="8" t="s">
        <v>317</v>
      </c>
      <c r="C87" s="8" t="s">
        <v>308</v>
      </c>
      <c r="D87" s="8" t="s">
        <v>3</v>
      </c>
      <c r="E87" s="8" t="s">
        <v>344</v>
      </c>
      <c r="F87" s="8">
        <v>29</v>
      </c>
      <c r="G87" s="22">
        <v>609</v>
      </c>
      <c r="H87" s="22">
        <v>268.25</v>
      </c>
    </row>
    <row r="88" spans="1:8" x14ac:dyDescent="0.25">
      <c r="A88" s="75">
        <v>40571</v>
      </c>
      <c r="B88" s="8" t="s">
        <v>321</v>
      </c>
      <c r="C88" s="8" t="s">
        <v>310</v>
      </c>
      <c r="D88" s="8" t="s">
        <v>3</v>
      </c>
      <c r="E88" s="8" t="s">
        <v>333</v>
      </c>
      <c r="F88" s="8">
        <v>25</v>
      </c>
      <c r="G88" s="22">
        <v>550</v>
      </c>
      <c r="H88" s="22">
        <v>250</v>
      </c>
    </row>
    <row r="89" spans="1:8" x14ac:dyDescent="0.25">
      <c r="A89" s="75">
        <v>40554</v>
      </c>
      <c r="B89" s="8" t="s">
        <v>319</v>
      </c>
      <c r="C89" s="8" t="s">
        <v>307</v>
      </c>
      <c r="D89" s="8" t="s">
        <v>312</v>
      </c>
      <c r="E89" s="8" t="s">
        <v>336</v>
      </c>
      <c r="F89" s="8">
        <v>14</v>
      </c>
      <c r="G89" s="22">
        <v>378</v>
      </c>
      <c r="H89" s="22">
        <v>203</v>
      </c>
    </row>
    <row r="90" spans="1:8" x14ac:dyDescent="0.25">
      <c r="A90" s="75">
        <v>40565</v>
      </c>
      <c r="B90" s="8" t="s">
        <v>321</v>
      </c>
      <c r="C90" s="8" t="s">
        <v>309</v>
      </c>
      <c r="D90" s="8" t="s">
        <v>136</v>
      </c>
      <c r="E90" s="8" t="s">
        <v>330</v>
      </c>
      <c r="F90" s="8">
        <v>53</v>
      </c>
      <c r="G90" s="22">
        <v>1166</v>
      </c>
      <c r="H90" s="22">
        <v>530</v>
      </c>
    </row>
    <row r="91" spans="1:8" x14ac:dyDescent="0.25">
      <c r="A91" s="75">
        <v>40553</v>
      </c>
      <c r="B91" s="8" t="s">
        <v>317</v>
      </c>
      <c r="C91" s="8" t="s">
        <v>310</v>
      </c>
      <c r="D91" s="8" t="s">
        <v>3</v>
      </c>
      <c r="E91" s="8" t="s">
        <v>341</v>
      </c>
      <c r="F91" s="8">
        <v>47</v>
      </c>
      <c r="G91" s="22">
        <v>987</v>
      </c>
      <c r="H91" s="22">
        <v>434.75</v>
      </c>
    </row>
    <row r="92" spans="1:8" x14ac:dyDescent="0.25">
      <c r="A92" s="75">
        <v>40567</v>
      </c>
      <c r="B92" s="8" t="s">
        <v>315</v>
      </c>
      <c r="C92" s="8" t="s">
        <v>308</v>
      </c>
      <c r="D92" s="8" t="s">
        <v>312</v>
      </c>
      <c r="E92" s="8" t="s">
        <v>344</v>
      </c>
      <c r="F92" s="8">
        <v>13</v>
      </c>
      <c r="G92" s="22">
        <v>299</v>
      </c>
      <c r="H92" s="22">
        <v>143</v>
      </c>
    </row>
    <row r="93" spans="1:8" x14ac:dyDescent="0.25">
      <c r="A93" s="75">
        <v>40548</v>
      </c>
      <c r="B93" s="8" t="s">
        <v>311</v>
      </c>
      <c r="C93" s="8" t="s">
        <v>309</v>
      </c>
      <c r="D93" s="8" t="s">
        <v>312</v>
      </c>
      <c r="E93" s="8" t="s">
        <v>323</v>
      </c>
      <c r="F93" s="8">
        <v>12</v>
      </c>
      <c r="G93" s="22">
        <v>228</v>
      </c>
      <c r="H93" s="22">
        <v>96</v>
      </c>
    </row>
    <row r="94" spans="1:8" x14ac:dyDescent="0.25">
      <c r="A94" s="75">
        <v>40546</v>
      </c>
      <c r="B94" s="8" t="s">
        <v>315</v>
      </c>
      <c r="C94" s="8" t="s">
        <v>308</v>
      </c>
      <c r="D94" s="8" t="s">
        <v>7</v>
      </c>
      <c r="E94" s="8" t="s">
        <v>324</v>
      </c>
      <c r="F94" s="8">
        <v>20</v>
      </c>
      <c r="G94" s="22">
        <v>460</v>
      </c>
      <c r="H94" s="22">
        <v>220</v>
      </c>
    </row>
    <row r="95" spans="1:8" x14ac:dyDescent="0.25">
      <c r="A95" s="75">
        <v>40552</v>
      </c>
      <c r="B95" s="8" t="s">
        <v>321</v>
      </c>
      <c r="C95" s="8" t="s">
        <v>307</v>
      </c>
      <c r="D95" s="8" t="s">
        <v>136</v>
      </c>
      <c r="E95" s="8" t="s">
        <v>325</v>
      </c>
      <c r="F95" s="8">
        <v>40</v>
      </c>
      <c r="G95" s="22">
        <v>880</v>
      </c>
      <c r="H95" s="22">
        <v>400</v>
      </c>
    </row>
    <row r="96" spans="1:8" x14ac:dyDescent="0.25">
      <c r="A96" s="75">
        <v>40566</v>
      </c>
      <c r="B96" s="8" t="s">
        <v>321</v>
      </c>
      <c r="C96" s="8" t="s">
        <v>307</v>
      </c>
      <c r="D96" s="8" t="s">
        <v>328</v>
      </c>
      <c r="E96" s="8" t="s">
        <v>345</v>
      </c>
      <c r="F96" s="8">
        <v>9</v>
      </c>
      <c r="G96" s="22">
        <v>198</v>
      </c>
      <c r="H96" s="22">
        <v>90</v>
      </c>
    </row>
    <row r="97" spans="1:8" x14ac:dyDescent="0.25">
      <c r="A97" s="75">
        <v>40552</v>
      </c>
      <c r="B97" s="8" t="s">
        <v>315</v>
      </c>
      <c r="C97" s="8" t="s">
        <v>307</v>
      </c>
      <c r="D97" s="8" t="s">
        <v>312</v>
      </c>
      <c r="E97" s="8" t="s">
        <v>332</v>
      </c>
      <c r="F97" s="8">
        <v>38</v>
      </c>
      <c r="G97" s="22">
        <v>874</v>
      </c>
      <c r="H97" s="22">
        <v>418</v>
      </c>
    </row>
    <row r="98" spans="1:8" x14ac:dyDescent="0.25">
      <c r="A98" s="75">
        <v>40545</v>
      </c>
      <c r="B98" s="8" t="s">
        <v>321</v>
      </c>
      <c r="C98" s="8" t="s">
        <v>310</v>
      </c>
      <c r="D98" s="8" t="s">
        <v>328</v>
      </c>
      <c r="E98" s="8" t="s">
        <v>313</v>
      </c>
      <c r="F98" s="8">
        <v>24</v>
      </c>
      <c r="G98" s="22">
        <v>528</v>
      </c>
      <c r="H98" s="22">
        <v>240</v>
      </c>
    </row>
    <row r="99" spans="1:8" x14ac:dyDescent="0.25">
      <c r="A99" s="75">
        <v>40560</v>
      </c>
      <c r="B99" s="8" t="s">
        <v>319</v>
      </c>
      <c r="C99" s="8" t="s">
        <v>309</v>
      </c>
      <c r="D99" s="8" t="s">
        <v>7</v>
      </c>
      <c r="E99" s="8" t="s">
        <v>339</v>
      </c>
      <c r="F99" s="8">
        <v>10</v>
      </c>
      <c r="G99" s="22">
        <v>270</v>
      </c>
      <c r="H99" s="22">
        <v>145</v>
      </c>
    </row>
    <row r="100" spans="1:8" x14ac:dyDescent="0.25">
      <c r="A100" s="75">
        <v>40571</v>
      </c>
      <c r="B100" s="8" t="s">
        <v>319</v>
      </c>
      <c r="C100" s="8" t="s">
        <v>310</v>
      </c>
      <c r="D100" s="8" t="s">
        <v>328</v>
      </c>
      <c r="E100" s="8" t="s">
        <v>313</v>
      </c>
      <c r="F100" s="8">
        <v>56</v>
      </c>
      <c r="G100" s="22">
        <v>1512</v>
      </c>
      <c r="H100" s="22">
        <v>812</v>
      </c>
    </row>
    <row r="101" spans="1:8" x14ac:dyDescent="0.25">
      <c r="A101" s="75">
        <v>40561</v>
      </c>
      <c r="B101" s="8" t="s">
        <v>311</v>
      </c>
      <c r="C101" s="8" t="s">
        <v>308</v>
      </c>
      <c r="D101" s="8" t="s">
        <v>7</v>
      </c>
      <c r="E101" s="8" t="s">
        <v>339</v>
      </c>
      <c r="F101" s="8">
        <v>62</v>
      </c>
      <c r="G101" s="22">
        <v>1178</v>
      </c>
      <c r="H101" s="22">
        <v>496</v>
      </c>
    </row>
    <row r="102" spans="1:8" x14ac:dyDescent="0.25">
      <c r="A102" s="75">
        <v>40571</v>
      </c>
      <c r="B102" s="8" t="s">
        <v>319</v>
      </c>
      <c r="C102" s="8" t="s">
        <v>310</v>
      </c>
      <c r="D102" s="8" t="s">
        <v>312</v>
      </c>
      <c r="E102" s="8" t="s">
        <v>432</v>
      </c>
      <c r="F102" s="8">
        <v>44</v>
      </c>
      <c r="G102" s="22">
        <v>1188</v>
      </c>
      <c r="H102" s="22">
        <v>638</v>
      </c>
    </row>
    <row r="103" spans="1:8" x14ac:dyDescent="0.25">
      <c r="A103" s="75">
        <v>40560</v>
      </c>
      <c r="B103" s="8" t="s">
        <v>315</v>
      </c>
      <c r="C103" s="8" t="s">
        <v>307</v>
      </c>
      <c r="D103" s="8" t="s">
        <v>3</v>
      </c>
      <c r="E103" s="8" t="s">
        <v>339</v>
      </c>
      <c r="F103" s="8">
        <v>39</v>
      </c>
      <c r="G103" s="22">
        <v>897</v>
      </c>
      <c r="H103" s="22">
        <v>429</v>
      </c>
    </row>
    <row r="104" spans="1:8" x14ac:dyDescent="0.25">
      <c r="A104" s="75">
        <v>40561</v>
      </c>
      <c r="B104" s="8" t="s">
        <v>311</v>
      </c>
      <c r="C104" s="8" t="s">
        <v>307</v>
      </c>
      <c r="D104" s="8" t="s">
        <v>312</v>
      </c>
      <c r="E104" s="8" t="s">
        <v>337</v>
      </c>
      <c r="F104" s="8">
        <v>24</v>
      </c>
      <c r="G104" s="22">
        <v>456</v>
      </c>
      <c r="H104" s="22">
        <v>192</v>
      </c>
    </row>
    <row r="105" spans="1:8" x14ac:dyDescent="0.25">
      <c r="A105" s="75">
        <v>40565</v>
      </c>
      <c r="B105" s="8" t="s">
        <v>321</v>
      </c>
      <c r="C105" s="8" t="s">
        <v>309</v>
      </c>
      <c r="D105" s="8" t="s">
        <v>132</v>
      </c>
      <c r="E105" s="8" t="s">
        <v>338</v>
      </c>
      <c r="F105" s="8">
        <v>6</v>
      </c>
      <c r="G105" s="22">
        <v>132</v>
      </c>
      <c r="H105" s="22">
        <v>60</v>
      </c>
    </row>
    <row r="106" spans="1:8" x14ac:dyDescent="0.25">
      <c r="A106" s="75">
        <v>40545</v>
      </c>
      <c r="B106" s="8" t="s">
        <v>321</v>
      </c>
      <c r="C106" s="8" t="s">
        <v>309</v>
      </c>
      <c r="D106" s="8" t="s">
        <v>136</v>
      </c>
      <c r="E106" s="8" t="s">
        <v>331</v>
      </c>
      <c r="F106" s="8">
        <v>19</v>
      </c>
      <c r="G106" s="22">
        <v>418</v>
      </c>
      <c r="H106" s="22">
        <v>190</v>
      </c>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tabColor rgb="FF0000FF"/>
  </sheetPr>
  <dimension ref="A1:AG682"/>
  <sheetViews>
    <sheetView zoomScale="115" zoomScaleNormal="115" workbookViewId="0">
      <selection activeCell="D10" sqref="D10"/>
    </sheetView>
  </sheetViews>
  <sheetFormatPr defaultRowHeight="15" x14ac:dyDescent="0.25"/>
  <cols>
    <col min="1" max="1" width="11.5703125" bestFit="1" customWidth="1"/>
    <col min="2" max="2" width="12" bestFit="1" customWidth="1"/>
    <col min="3" max="3" width="12.85546875" customWidth="1"/>
    <col min="4" max="4" width="13.7109375" customWidth="1"/>
    <col min="5" max="5" width="11.42578125" customWidth="1"/>
    <col min="6" max="6" width="15" bestFit="1" customWidth="1"/>
    <col min="7" max="7" width="10.7109375" customWidth="1"/>
    <col min="9" max="9" width="16.42578125" bestFit="1" customWidth="1"/>
    <col min="10" max="10" width="59.85546875" customWidth="1"/>
    <col min="13" max="13" width="9.5703125" bestFit="1" customWidth="1"/>
    <col min="14" max="14" width="8.28515625" bestFit="1" customWidth="1"/>
    <col min="15" max="15" width="6.85546875" customWidth="1"/>
    <col min="16" max="16" width="5.140625" bestFit="1" customWidth="1"/>
    <col min="17" max="17" width="1.42578125" customWidth="1"/>
    <col min="19" max="19" width="13.28515625" customWidth="1"/>
    <col min="22" max="22" width="10.85546875" bestFit="1" customWidth="1"/>
    <col min="24" max="24" width="5.7109375" customWidth="1"/>
    <col min="26" max="26" width="1.42578125" customWidth="1"/>
    <col min="27" max="27" width="15" bestFit="1" customWidth="1"/>
    <col min="28" max="28" width="9.85546875" bestFit="1" customWidth="1"/>
  </cols>
  <sheetData>
    <row r="1" spans="1:33" ht="45" x14ac:dyDescent="0.25">
      <c r="A1" s="5" t="s">
        <v>0</v>
      </c>
      <c r="B1" s="5" t="s">
        <v>302</v>
      </c>
      <c r="C1" s="5" t="s">
        <v>437</v>
      </c>
      <c r="D1" s="5" t="s">
        <v>305</v>
      </c>
      <c r="F1" s="5" t="s">
        <v>9</v>
      </c>
      <c r="M1" s="6" t="s">
        <v>0</v>
      </c>
      <c r="N1" s="6" t="s">
        <v>302</v>
      </c>
      <c r="O1" s="6" t="s">
        <v>1410</v>
      </c>
      <c r="P1" s="6" t="s">
        <v>1411</v>
      </c>
      <c r="R1" s="5" t="s">
        <v>302</v>
      </c>
      <c r="S1" s="5" t="s">
        <v>1412</v>
      </c>
      <c r="V1" s="12" t="s">
        <v>0</v>
      </c>
      <c r="W1" s="12" t="s">
        <v>1</v>
      </c>
      <c r="X1" s="12" t="s">
        <v>304</v>
      </c>
      <c r="Y1" s="12" t="s">
        <v>1413</v>
      </c>
      <c r="AA1" s="8" t="s">
        <v>1414</v>
      </c>
      <c r="AB1" s="16">
        <f>MAX(V2:V682)</f>
        <v>41007</v>
      </c>
    </row>
    <row r="2" spans="1:33" x14ac:dyDescent="0.25">
      <c r="A2" s="7">
        <v>40486</v>
      </c>
      <c r="B2" s="8" t="s">
        <v>317</v>
      </c>
      <c r="C2" s="66">
        <v>21</v>
      </c>
      <c r="D2" s="8">
        <v>220</v>
      </c>
      <c r="F2" s="66">
        <f t="shared" ref="F2:F8" si="0">D2*C2</f>
        <v>4620</v>
      </c>
      <c r="H2" s="68" t="str">
        <f t="shared" ref="H2:H8" si="1">DOLLAR(C2*D2,0)</f>
        <v>$ 4.620</v>
      </c>
      <c r="I2" s="8" t="str">
        <f>DOLLAR(C2,0)&amp;" * "&amp;D2&amp;" = "&amp;H2</f>
        <v>$ 21 * 220 = $ 4.620</v>
      </c>
      <c r="M2" s="7">
        <v>40186</v>
      </c>
      <c r="N2" s="8" t="s">
        <v>775</v>
      </c>
      <c r="O2" s="8">
        <v>10</v>
      </c>
      <c r="P2" s="8">
        <v>10.3</v>
      </c>
      <c r="R2" s="14" t="s">
        <v>775</v>
      </c>
      <c r="S2" s="113"/>
      <c r="V2" s="7">
        <v>40654</v>
      </c>
      <c r="W2" s="8" t="s">
        <v>135</v>
      </c>
      <c r="X2" s="8" t="s">
        <v>1415</v>
      </c>
      <c r="Y2" s="8">
        <v>20</v>
      </c>
      <c r="AA2" s="8" t="s">
        <v>1416</v>
      </c>
      <c r="AB2" s="16">
        <f>MIN(V2:V682)</f>
        <v>40308</v>
      </c>
    </row>
    <row r="3" spans="1:33" x14ac:dyDescent="0.25">
      <c r="A3" s="7">
        <v>40487</v>
      </c>
      <c r="B3" s="8" t="s">
        <v>315</v>
      </c>
      <c r="C3" s="66">
        <v>23</v>
      </c>
      <c r="D3" s="8">
        <v>202</v>
      </c>
      <c r="F3" s="66">
        <f t="shared" si="0"/>
        <v>4646</v>
      </c>
      <c r="H3" s="68" t="str">
        <f t="shared" si="1"/>
        <v>$ 4.646</v>
      </c>
      <c r="I3" s="8" t="str">
        <f t="shared" ref="I3:I8" si="2">DOLLAR(C3,0)&amp;" * "&amp;D3&amp;" = "&amp;H3</f>
        <v>$ 23 * 202 = $ 4.646</v>
      </c>
      <c r="M3" s="7">
        <v>40189</v>
      </c>
      <c r="N3" s="8" t="s">
        <v>774</v>
      </c>
      <c r="O3" s="8">
        <v>8</v>
      </c>
      <c r="P3" s="8">
        <v>8.8000000000000007</v>
      </c>
      <c r="R3" s="14" t="s">
        <v>774</v>
      </c>
      <c r="S3" s="113"/>
      <c r="V3" s="7">
        <v>40979</v>
      </c>
      <c r="W3" s="8" t="s">
        <v>135</v>
      </c>
      <c r="X3" s="8" t="s">
        <v>1417</v>
      </c>
      <c r="Y3" s="8">
        <v>14</v>
      </c>
      <c r="AA3" s="78" t="s">
        <v>1418</v>
      </c>
      <c r="AB3" s="222">
        <v>40330</v>
      </c>
      <c r="AC3" s="360" t="s">
        <v>1419</v>
      </c>
      <c r="AD3" s="360"/>
      <c r="AE3" s="360"/>
      <c r="AF3" s="360"/>
    </row>
    <row r="4" spans="1:33" x14ac:dyDescent="0.25">
      <c r="A4" s="7">
        <v>40488</v>
      </c>
      <c r="B4" s="8" t="s">
        <v>315</v>
      </c>
      <c r="C4" s="66">
        <v>23</v>
      </c>
      <c r="D4" s="8">
        <v>189</v>
      </c>
      <c r="F4" s="66">
        <f t="shared" si="0"/>
        <v>4347</v>
      </c>
      <c r="H4" s="68" t="str">
        <f t="shared" si="1"/>
        <v>$ 4.347</v>
      </c>
      <c r="I4" s="8" t="str">
        <f t="shared" si="2"/>
        <v>$ 23 * 189 = $ 4.347</v>
      </c>
      <c r="M4" s="7">
        <v>40190</v>
      </c>
      <c r="N4" s="8" t="s">
        <v>773</v>
      </c>
      <c r="O4" s="8">
        <v>9</v>
      </c>
      <c r="P4" s="8">
        <v>5.7</v>
      </c>
      <c r="R4" s="14" t="s">
        <v>773</v>
      </c>
      <c r="S4" s="113"/>
      <c r="V4" s="7">
        <v>40549</v>
      </c>
      <c r="W4" s="8" t="s">
        <v>3</v>
      </c>
      <c r="X4" s="8" t="s">
        <v>1415</v>
      </c>
      <c r="Y4" s="8">
        <v>8</v>
      </c>
      <c r="AA4" s="8" t="s">
        <v>1420</v>
      </c>
      <c r="AB4" s="16">
        <f>DATE(YEAR(AB3),MONTH(AB3),1)</f>
        <v>40330</v>
      </c>
    </row>
    <row r="5" spans="1:33" x14ac:dyDescent="0.25">
      <c r="A5" s="7">
        <v>40489</v>
      </c>
      <c r="B5" s="8" t="s">
        <v>319</v>
      </c>
      <c r="C5" s="66">
        <v>27</v>
      </c>
      <c r="D5" s="8">
        <v>224</v>
      </c>
      <c r="F5" s="66">
        <f t="shared" si="0"/>
        <v>6048</v>
      </c>
      <c r="H5" s="68" t="str">
        <f t="shared" si="1"/>
        <v>$ 6.048</v>
      </c>
      <c r="I5" s="8" t="str">
        <f t="shared" si="2"/>
        <v>$ 27 * 224 = $ 6.048</v>
      </c>
      <c r="M5" s="7">
        <v>40191</v>
      </c>
      <c r="N5" s="8" t="s">
        <v>770</v>
      </c>
      <c r="O5" s="8">
        <v>13</v>
      </c>
      <c r="P5" s="8">
        <v>4</v>
      </c>
      <c r="R5" s="14" t="s">
        <v>772</v>
      </c>
      <c r="S5" s="113"/>
      <c r="V5" s="7">
        <v>40343</v>
      </c>
      <c r="W5" s="8" t="s">
        <v>3</v>
      </c>
      <c r="X5" s="8" t="s">
        <v>1415</v>
      </c>
      <c r="Y5" s="8">
        <v>19</v>
      </c>
    </row>
    <row r="6" spans="1:33" x14ac:dyDescent="0.25">
      <c r="A6" s="7">
        <v>40490</v>
      </c>
      <c r="B6" s="8" t="s">
        <v>321</v>
      </c>
      <c r="C6" s="66">
        <v>22</v>
      </c>
      <c r="D6" s="8">
        <v>236</v>
      </c>
      <c r="F6" s="66">
        <f t="shared" si="0"/>
        <v>5192</v>
      </c>
      <c r="H6" s="68" t="str">
        <f t="shared" si="1"/>
        <v>$ 5.192</v>
      </c>
      <c r="I6" s="8" t="str">
        <f t="shared" si="2"/>
        <v>$ 22 * 236 = $ 5.192</v>
      </c>
      <c r="M6" s="7">
        <v>40192</v>
      </c>
      <c r="N6" s="8" t="s">
        <v>774</v>
      </c>
      <c r="O6" s="8">
        <v>15</v>
      </c>
      <c r="P6" s="8">
        <v>8.4</v>
      </c>
      <c r="R6" s="14" t="s">
        <v>771</v>
      </c>
      <c r="S6" s="113"/>
      <c r="V6" s="7">
        <v>40983</v>
      </c>
      <c r="W6" s="8" t="s">
        <v>1421</v>
      </c>
      <c r="X6" s="8" t="s">
        <v>1422</v>
      </c>
      <c r="Y6" s="8">
        <v>6</v>
      </c>
      <c r="AA6" s="8" t="s">
        <v>1423</v>
      </c>
      <c r="AB6" s="8" t="s">
        <v>7</v>
      </c>
      <c r="AC6" s="8" t="s">
        <v>1424</v>
      </c>
      <c r="AD6" s="8" t="s">
        <v>4</v>
      </c>
      <c r="AE6" s="8" t="s">
        <v>135</v>
      </c>
      <c r="AF6" s="8" t="s">
        <v>1421</v>
      </c>
      <c r="AG6" s="8" t="s">
        <v>3</v>
      </c>
    </row>
    <row r="7" spans="1:33" x14ac:dyDescent="0.25">
      <c r="A7" s="7">
        <v>40491</v>
      </c>
      <c r="B7" s="8" t="s">
        <v>319</v>
      </c>
      <c r="C7" s="66">
        <v>27</v>
      </c>
      <c r="D7" s="8">
        <v>137</v>
      </c>
      <c r="F7" s="66">
        <f t="shared" si="0"/>
        <v>3699</v>
      </c>
      <c r="H7" s="68" t="str">
        <f t="shared" si="1"/>
        <v>$ 3.699</v>
      </c>
      <c r="I7" s="8" t="str">
        <f t="shared" si="2"/>
        <v>$ 27 * 137 = $ 3.699</v>
      </c>
      <c r="M7" s="7">
        <v>40193</v>
      </c>
      <c r="N7" s="8" t="s">
        <v>775</v>
      </c>
      <c r="O7" s="8">
        <v>12</v>
      </c>
      <c r="P7" s="8">
        <v>10</v>
      </c>
      <c r="R7" s="14" t="s">
        <v>770</v>
      </c>
      <c r="S7" s="113"/>
      <c r="V7" s="7">
        <v>40461</v>
      </c>
      <c r="W7" s="8" t="s">
        <v>7</v>
      </c>
      <c r="X7" s="8" t="s">
        <v>1415</v>
      </c>
      <c r="Y7" s="8">
        <v>19</v>
      </c>
      <c r="AA7" s="366">
        <f>AB4</f>
        <v>40330</v>
      </c>
      <c r="AB7" s="10"/>
      <c r="AC7" s="10"/>
      <c r="AD7" s="10"/>
      <c r="AE7" s="10"/>
      <c r="AF7" s="10"/>
      <c r="AG7" s="10"/>
    </row>
    <row r="8" spans="1:33" ht="15.75" thickBot="1" x14ac:dyDescent="0.3">
      <c r="A8" s="7">
        <v>40492</v>
      </c>
      <c r="B8" s="8" t="s">
        <v>311</v>
      </c>
      <c r="C8" s="66">
        <v>19</v>
      </c>
      <c r="D8" s="8">
        <v>228</v>
      </c>
      <c r="F8" s="137">
        <f t="shared" si="0"/>
        <v>4332</v>
      </c>
      <c r="H8" s="68" t="str">
        <f t="shared" si="1"/>
        <v>$ 4.332</v>
      </c>
      <c r="I8" s="8" t="str">
        <f t="shared" si="2"/>
        <v>$ 19 * 228 = $ 4.332</v>
      </c>
      <c r="M8" s="7">
        <v>40196</v>
      </c>
      <c r="N8" s="8" t="s">
        <v>768</v>
      </c>
      <c r="O8" s="8">
        <v>22</v>
      </c>
      <c r="P8" s="8">
        <v>5.9</v>
      </c>
      <c r="R8" s="14" t="s">
        <v>769</v>
      </c>
      <c r="S8" s="113"/>
      <c r="V8" s="7">
        <v>40741</v>
      </c>
      <c r="W8" s="8" t="s">
        <v>7</v>
      </c>
      <c r="X8" s="8" t="s">
        <v>1415</v>
      </c>
      <c r="Y8" s="8">
        <v>24</v>
      </c>
      <c r="AA8" s="366">
        <f>EDATE(AA7,1)</f>
        <v>40360</v>
      </c>
      <c r="AB8" s="10"/>
      <c r="AC8" s="10"/>
      <c r="AD8" s="10"/>
      <c r="AE8" s="10"/>
      <c r="AF8" s="10"/>
      <c r="AG8" s="10"/>
    </row>
    <row r="9" spans="1:33" ht="16.5" thickTop="1" thickBot="1" x14ac:dyDescent="0.3">
      <c r="F9" s="138">
        <f>SUM(F2:F8)</f>
        <v>32884</v>
      </c>
      <c r="M9" s="7">
        <v>40197</v>
      </c>
      <c r="N9" s="8" t="s">
        <v>772</v>
      </c>
      <c r="O9" s="8">
        <v>23</v>
      </c>
      <c r="P9" s="8">
        <v>6.3</v>
      </c>
      <c r="R9" s="14" t="s">
        <v>768</v>
      </c>
      <c r="S9" s="113"/>
      <c r="V9" s="7">
        <v>40888</v>
      </c>
      <c r="W9" s="8" t="s">
        <v>135</v>
      </c>
      <c r="X9" s="8" t="s">
        <v>1425</v>
      </c>
      <c r="Y9" s="8">
        <v>11</v>
      </c>
      <c r="AA9" s="366">
        <f t="shared" ref="AA9:AA17" si="3">EDATE(AA8,1)</f>
        <v>40391</v>
      </c>
      <c r="AB9" s="10"/>
      <c r="AC9" s="10"/>
      <c r="AD9" s="10"/>
      <c r="AE9" s="10"/>
      <c r="AF9" s="10"/>
      <c r="AG9" s="10"/>
    </row>
    <row r="10" spans="1:33" ht="15.75" thickTop="1" x14ac:dyDescent="0.25">
      <c r="C10" s="18" t="s">
        <v>9</v>
      </c>
      <c r="D10" s="23"/>
      <c r="J10" s="8" t="str">
        <f>"$4,620 + $4,646 + $4,347 + $6,048 + $5,192 + $3,699 + $4,332"&amp;" = "&amp;DOLLAR(SUMPRODUCT(C2:C8,D2:D8),0)</f>
        <v>$4,620 + $4,646 + $4,347 + $6,048 + $5,192 + $3,699 + $4,332 = $ 32.884</v>
      </c>
      <c r="M10" s="7">
        <v>40198</v>
      </c>
      <c r="N10" s="8" t="s">
        <v>768</v>
      </c>
      <c r="O10" s="8">
        <v>24</v>
      </c>
      <c r="P10" s="8">
        <v>5.5</v>
      </c>
      <c r="R10" s="14" t="s">
        <v>767</v>
      </c>
      <c r="S10" s="113"/>
      <c r="V10" s="7">
        <v>40993</v>
      </c>
      <c r="W10" s="8" t="s">
        <v>7</v>
      </c>
      <c r="X10" s="8" t="s">
        <v>1426</v>
      </c>
      <c r="Y10" s="8">
        <v>5</v>
      </c>
      <c r="AA10" s="366">
        <f t="shared" si="3"/>
        <v>40422</v>
      </c>
      <c r="AB10" s="10"/>
      <c r="AC10" s="10"/>
      <c r="AD10" s="10"/>
      <c r="AE10" s="10"/>
      <c r="AF10" s="10"/>
      <c r="AG10" s="10"/>
    </row>
    <row r="11" spans="1:33" x14ac:dyDescent="0.25">
      <c r="M11" s="7">
        <v>40199</v>
      </c>
      <c r="N11" s="8" t="s">
        <v>773</v>
      </c>
      <c r="O11" s="8">
        <v>11</v>
      </c>
      <c r="P11" s="8">
        <v>5</v>
      </c>
      <c r="S11" s="13"/>
      <c r="V11" s="7">
        <v>40482</v>
      </c>
      <c r="W11" s="8" t="s">
        <v>7</v>
      </c>
      <c r="X11" s="8" t="s">
        <v>1425</v>
      </c>
      <c r="Y11" s="8">
        <v>5</v>
      </c>
      <c r="AA11" s="366">
        <f t="shared" si="3"/>
        <v>40452</v>
      </c>
      <c r="AB11" s="10"/>
      <c r="AC11" s="10"/>
      <c r="AD11" s="10"/>
      <c r="AE11" s="10"/>
      <c r="AF11" s="10"/>
      <c r="AG11" s="10"/>
    </row>
    <row r="12" spans="1:33" ht="45" x14ac:dyDescent="0.25">
      <c r="A12" s="12" t="s">
        <v>438</v>
      </c>
      <c r="B12" s="12" t="s">
        <v>439</v>
      </c>
      <c r="C12" s="12" t="s">
        <v>440</v>
      </c>
      <c r="M12" s="7">
        <v>40200</v>
      </c>
      <c r="N12" s="8" t="s">
        <v>767</v>
      </c>
      <c r="O12" s="8">
        <v>6</v>
      </c>
      <c r="P12" s="8">
        <v>2</v>
      </c>
      <c r="V12" s="7">
        <v>40577</v>
      </c>
      <c r="W12" s="8" t="s">
        <v>1424</v>
      </c>
      <c r="X12" s="8" t="s">
        <v>1417</v>
      </c>
      <c r="Y12" s="8">
        <v>5</v>
      </c>
      <c r="AA12" s="366">
        <f t="shared" si="3"/>
        <v>40483</v>
      </c>
      <c r="AB12" s="10"/>
      <c r="AC12" s="10"/>
      <c r="AD12" s="10"/>
      <c r="AE12" s="10"/>
      <c r="AF12" s="10"/>
      <c r="AG12" s="10"/>
    </row>
    <row r="13" spans="1:33" x14ac:dyDescent="0.25">
      <c r="A13" s="8" t="s">
        <v>441</v>
      </c>
      <c r="B13" s="102">
        <f>1-SUM(B14:B16)</f>
        <v>3.0000000000000027E-2</v>
      </c>
      <c r="C13" s="102">
        <v>0.15</v>
      </c>
      <c r="E13">
        <f t="shared" ref="E13:E16" si="4">B13*C13</f>
        <v>4.500000000000004E-3</v>
      </c>
      <c r="M13" s="7">
        <v>40203</v>
      </c>
      <c r="N13" s="8" t="s">
        <v>768</v>
      </c>
      <c r="O13" s="8">
        <v>22</v>
      </c>
      <c r="P13" s="8">
        <v>5</v>
      </c>
      <c r="V13" s="7">
        <v>40717</v>
      </c>
      <c r="W13" s="8" t="s">
        <v>4</v>
      </c>
      <c r="X13" s="8" t="s">
        <v>1415</v>
      </c>
      <c r="Y13" s="8">
        <v>17</v>
      </c>
      <c r="AA13" s="366">
        <f t="shared" si="3"/>
        <v>40513</v>
      </c>
      <c r="AB13" s="10"/>
      <c r="AC13" s="10"/>
      <c r="AD13" s="10"/>
      <c r="AE13" s="10"/>
      <c r="AF13" s="10"/>
      <c r="AG13" s="10"/>
    </row>
    <row r="14" spans="1:33" x14ac:dyDescent="0.25">
      <c r="A14" s="8" t="s">
        <v>442</v>
      </c>
      <c r="B14" s="102">
        <v>0.25</v>
      </c>
      <c r="C14" s="102">
        <v>9.5000000000000001E-2</v>
      </c>
      <c r="E14">
        <f t="shared" si="4"/>
        <v>2.375E-2</v>
      </c>
      <c r="M14" s="7">
        <v>40204</v>
      </c>
      <c r="N14" s="8" t="s">
        <v>773</v>
      </c>
      <c r="O14" s="8">
        <v>7</v>
      </c>
      <c r="P14" s="8">
        <v>5.8</v>
      </c>
      <c r="V14" s="7">
        <v>40734</v>
      </c>
      <c r="W14" s="8" t="s">
        <v>1424</v>
      </c>
      <c r="X14" s="8" t="s">
        <v>1426</v>
      </c>
      <c r="Y14" s="8">
        <v>3</v>
      </c>
      <c r="AA14" s="366">
        <f t="shared" si="3"/>
        <v>40544</v>
      </c>
      <c r="AB14" s="10"/>
      <c r="AC14" s="10"/>
      <c r="AD14" s="10"/>
      <c r="AE14" s="10"/>
      <c r="AF14" s="10"/>
      <c r="AG14" s="10"/>
    </row>
    <row r="15" spans="1:33" x14ac:dyDescent="0.25">
      <c r="A15" s="8" t="s">
        <v>443</v>
      </c>
      <c r="B15" s="102">
        <v>0.65</v>
      </c>
      <c r="C15" s="102">
        <v>2.5000000000000001E-2</v>
      </c>
      <c r="E15">
        <f t="shared" si="4"/>
        <v>1.6250000000000001E-2</v>
      </c>
      <c r="M15" s="7">
        <v>40205</v>
      </c>
      <c r="N15" s="8" t="s">
        <v>771</v>
      </c>
      <c r="O15" s="8">
        <v>11</v>
      </c>
      <c r="P15" s="8">
        <v>5.9</v>
      </c>
      <c r="V15" s="7">
        <v>40796</v>
      </c>
      <c r="W15" s="8" t="s">
        <v>1424</v>
      </c>
      <c r="X15" s="8" t="s">
        <v>1427</v>
      </c>
      <c r="Y15" s="8">
        <v>17</v>
      </c>
      <c r="AA15" s="366">
        <f t="shared" si="3"/>
        <v>40575</v>
      </c>
      <c r="AB15" s="10"/>
      <c r="AC15" s="10"/>
      <c r="AD15" s="10"/>
      <c r="AE15" s="10"/>
      <c r="AF15" s="10"/>
      <c r="AG15" s="10"/>
    </row>
    <row r="16" spans="1:33" x14ac:dyDescent="0.25">
      <c r="A16" s="8" t="s">
        <v>444</v>
      </c>
      <c r="B16" s="102">
        <v>7.0000000000000007E-2</v>
      </c>
      <c r="C16" s="102">
        <v>-0.16</v>
      </c>
      <c r="E16">
        <f t="shared" si="4"/>
        <v>-1.1200000000000002E-2</v>
      </c>
      <c r="M16" s="7">
        <v>40206</v>
      </c>
      <c r="N16" s="8" t="s">
        <v>767</v>
      </c>
      <c r="O16" s="8">
        <v>7</v>
      </c>
      <c r="P16" s="8">
        <v>2.1</v>
      </c>
      <c r="V16" s="7">
        <v>40420</v>
      </c>
      <c r="W16" s="8" t="s">
        <v>1421</v>
      </c>
      <c r="X16" s="8" t="s">
        <v>1417</v>
      </c>
      <c r="Y16" s="8">
        <v>4</v>
      </c>
      <c r="AA16" s="366">
        <f t="shared" si="3"/>
        <v>40603</v>
      </c>
      <c r="AB16" s="10"/>
      <c r="AC16" s="10"/>
      <c r="AD16" s="10"/>
      <c r="AE16" s="10"/>
      <c r="AF16" s="10"/>
      <c r="AG16" s="10"/>
    </row>
    <row r="17" spans="1:33" ht="18" x14ac:dyDescent="0.35">
      <c r="B17" s="72" t="s">
        <v>445</v>
      </c>
      <c r="C17" s="10"/>
      <c r="E17">
        <f>SUM(E13:E16)</f>
        <v>3.3300000000000003E-2</v>
      </c>
      <c r="M17" s="7">
        <v>40207</v>
      </c>
      <c r="N17" s="8" t="s">
        <v>774</v>
      </c>
      <c r="O17" s="8">
        <v>20</v>
      </c>
      <c r="P17" s="8">
        <v>8.3000000000000007</v>
      </c>
      <c r="V17" s="7">
        <v>40429</v>
      </c>
      <c r="W17" s="8" t="s">
        <v>1421</v>
      </c>
      <c r="X17" s="8" t="s">
        <v>1415</v>
      </c>
      <c r="Y17" s="8">
        <v>22</v>
      </c>
      <c r="AA17" s="366">
        <f t="shared" si="3"/>
        <v>40634</v>
      </c>
      <c r="AB17" s="10"/>
      <c r="AC17" s="10"/>
      <c r="AD17" s="10"/>
      <c r="AE17" s="10"/>
      <c r="AF17" s="10"/>
      <c r="AG17" s="10"/>
    </row>
    <row r="18" spans="1:33" x14ac:dyDescent="0.25">
      <c r="M18" s="7">
        <v>40210</v>
      </c>
      <c r="N18" s="8" t="s">
        <v>773</v>
      </c>
      <c r="O18" s="8">
        <v>14</v>
      </c>
      <c r="P18" s="8">
        <v>5.0999999999999996</v>
      </c>
      <c r="V18" s="7">
        <v>40865</v>
      </c>
      <c r="W18" s="8" t="s">
        <v>135</v>
      </c>
      <c r="X18" s="8" t="s">
        <v>1426</v>
      </c>
      <c r="Y18" s="8">
        <v>6</v>
      </c>
    </row>
    <row r="19" spans="1:33" x14ac:dyDescent="0.25">
      <c r="M19" s="7">
        <v>40211</v>
      </c>
      <c r="N19" s="8" t="s">
        <v>773</v>
      </c>
      <c r="O19" s="8">
        <v>22</v>
      </c>
      <c r="P19" s="8">
        <v>5.3</v>
      </c>
      <c r="V19" s="7">
        <v>40487</v>
      </c>
      <c r="W19" s="8" t="s">
        <v>1424</v>
      </c>
      <c r="X19" s="8" t="s">
        <v>1427</v>
      </c>
      <c r="Y19" s="8">
        <v>4</v>
      </c>
    </row>
    <row r="20" spans="1:33" ht="60" x14ac:dyDescent="0.25">
      <c r="A20" s="139" t="s">
        <v>438</v>
      </c>
      <c r="B20" s="140" t="str">
        <f>"Prob. Of "&amp;A20</f>
        <v>Prob. Of State of Economy</v>
      </c>
      <c r="C20" s="139" t="s">
        <v>446</v>
      </c>
      <c r="D20" s="139" t="s">
        <v>447</v>
      </c>
      <c r="E20" s="139" t="s">
        <v>448</v>
      </c>
      <c r="M20" s="7">
        <v>40212</v>
      </c>
      <c r="N20" s="8" t="s">
        <v>775</v>
      </c>
      <c r="O20" s="8">
        <v>9</v>
      </c>
      <c r="P20" s="8">
        <v>10.1</v>
      </c>
      <c r="V20" s="7">
        <v>40358</v>
      </c>
      <c r="W20" s="8" t="s">
        <v>4</v>
      </c>
      <c r="X20" s="8" t="s">
        <v>1427</v>
      </c>
      <c r="Y20" s="8">
        <v>22</v>
      </c>
    </row>
    <row r="21" spans="1:33" x14ac:dyDescent="0.25">
      <c r="A21" s="141" t="s">
        <v>449</v>
      </c>
      <c r="B21" s="141" t="s">
        <v>449</v>
      </c>
      <c r="C21" s="141">
        <v>0.3</v>
      </c>
      <c r="D21" s="141">
        <v>0.4</v>
      </c>
      <c r="E21" s="141">
        <v>0.3</v>
      </c>
      <c r="M21" s="7">
        <v>40213</v>
      </c>
      <c r="N21" s="8" t="s">
        <v>767</v>
      </c>
      <c r="O21" s="8">
        <v>10</v>
      </c>
      <c r="P21" s="8">
        <v>2</v>
      </c>
      <c r="V21" s="7">
        <v>40702</v>
      </c>
      <c r="W21" s="8" t="s">
        <v>1424</v>
      </c>
      <c r="X21" s="8" t="s">
        <v>1427</v>
      </c>
      <c r="Y21" s="8">
        <v>22</v>
      </c>
    </row>
    <row r="22" spans="1:33" x14ac:dyDescent="0.25">
      <c r="A22" s="139" t="s">
        <v>441</v>
      </c>
      <c r="B22" s="78">
        <v>0.15</v>
      </c>
      <c r="C22" s="8">
        <v>0.3</v>
      </c>
      <c r="D22" s="8">
        <v>0.45</v>
      </c>
      <c r="E22" s="8">
        <v>0.33</v>
      </c>
      <c r="F22">
        <f t="shared" ref="F22:H25" si="5">C22*C$21*$B22</f>
        <v>1.35E-2</v>
      </c>
      <c r="G22">
        <f t="shared" si="5"/>
        <v>2.7000000000000003E-2</v>
      </c>
      <c r="H22">
        <f t="shared" si="5"/>
        <v>1.485E-2</v>
      </c>
      <c r="M22" s="7">
        <v>40214</v>
      </c>
      <c r="N22" s="8" t="s">
        <v>773</v>
      </c>
      <c r="O22" s="8">
        <v>13</v>
      </c>
      <c r="P22" s="8">
        <v>5.0999999999999996</v>
      </c>
      <c r="V22" s="7">
        <v>40675</v>
      </c>
      <c r="W22" s="8" t="s">
        <v>7</v>
      </c>
      <c r="X22" s="8" t="s">
        <v>1425</v>
      </c>
      <c r="Y22" s="8">
        <v>14</v>
      </c>
    </row>
    <row r="23" spans="1:33" x14ac:dyDescent="0.25">
      <c r="A23" s="139" t="s">
        <v>450</v>
      </c>
      <c r="B23" s="78">
        <v>0.45</v>
      </c>
      <c r="C23" s="8">
        <v>0.12</v>
      </c>
      <c r="D23" s="8">
        <v>0.1</v>
      </c>
      <c r="E23" s="8">
        <v>0.15</v>
      </c>
      <c r="F23">
        <f t="shared" si="5"/>
        <v>1.6199999999999999E-2</v>
      </c>
      <c r="G23">
        <f t="shared" si="5"/>
        <v>1.8000000000000006E-2</v>
      </c>
      <c r="H23">
        <f t="shared" si="5"/>
        <v>2.0250000000000001E-2</v>
      </c>
      <c r="M23" s="7">
        <v>40217</v>
      </c>
      <c r="N23" s="8" t="s">
        <v>774</v>
      </c>
      <c r="O23" s="8">
        <v>20</v>
      </c>
      <c r="P23" s="8">
        <v>8</v>
      </c>
      <c r="V23" s="7">
        <v>40395</v>
      </c>
      <c r="W23" s="8" t="s">
        <v>7</v>
      </c>
      <c r="X23" s="8" t="s">
        <v>1415</v>
      </c>
      <c r="Y23" s="8">
        <v>25</v>
      </c>
    </row>
    <row r="24" spans="1:33" x14ac:dyDescent="0.25">
      <c r="A24" s="139" t="s">
        <v>451</v>
      </c>
      <c r="B24" s="78">
        <v>0.35</v>
      </c>
      <c r="C24" s="8">
        <v>0.01</v>
      </c>
      <c r="D24" s="8">
        <v>-0.15</v>
      </c>
      <c r="E24" s="8">
        <v>-0.05</v>
      </c>
      <c r="F24">
        <f t="shared" si="5"/>
        <v>1.0499999999999999E-3</v>
      </c>
      <c r="G24">
        <f t="shared" si="5"/>
        <v>-2.0999999999999998E-2</v>
      </c>
      <c r="H24">
        <f t="shared" si="5"/>
        <v>-5.2499999999999995E-3</v>
      </c>
      <c r="M24" s="7">
        <v>40218</v>
      </c>
      <c r="N24" s="8" t="s">
        <v>774</v>
      </c>
      <c r="O24" s="8">
        <v>10</v>
      </c>
      <c r="P24" s="8">
        <v>8.1</v>
      </c>
      <c r="V24" s="7">
        <v>40438</v>
      </c>
      <c r="W24" s="8" t="s">
        <v>7</v>
      </c>
      <c r="X24" s="8" t="s">
        <v>1427</v>
      </c>
      <c r="Y24" s="8">
        <v>10</v>
      </c>
    </row>
    <row r="25" spans="1:33" x14ac:dyDescent="0.25">
      <c r="A25" s="142" t="s">
        <v>452</v>
      </c>
      <c r="B25" s="78">
        <v>0.05</v>
      </c>
      <c r="C25" s="8">
        <v>-0.2</v>
      </c>
      <c r="D25" s="8">
        <v>-0.3</v>
      </c>
      <c r="E25" s="8">
        <v>-0.09</v>
      </c>
      <c r="F25">
        <f t="shared" si="5"/>
        <v>-3.0000000000000001E-3</v>
      </c>
      <c r="G25">
        <f t="shared" si="5"/>
        <v>-6.0000000000000001E-3</v>
      </c>
      <c r="H25">
        <f>E25*E$21*$B25</f>
        <v>-1.3500000000000001E-3</v>
      </c>
      <c r="M25" s="7">
        <v>40219</v>
      </c>
      <c r="N25" s="8" t="s">
        <v>768</v>
      </c>
      <c r="O25" s="8">
        <v>11</v>
      </c>
      <c r="P25" s="8">
        <v>5.9</v>
      </c>
      <c r="V25" s="7">
        <v>40687</v>
      </c>
      <c r="W25" s="8" t="s">
        <v>135</v>
      </c>
      <c r="X25" s="8" t="s">
        <v>1415</v>
      </c>
      <c r="Y25" s="8">
        <v>11</v>
      </c>
    </row>
    <row r="26" spans="1:33" x14ac:dyDescent="0.25">
      <c r="H26">
        <f>SUM(F22:H25)</f>
        <v>7.4249999999999997E-2</v>
      </c>
      <c r="M26" s="7">
        <v>40220</v>
      </c>
      <c r="N26" s="8" t="s">
        <v>774</v>
      </c>
      <c r="O26" s="8">
        <v>8</v>
      </c>
      <c r="P26" s="8">
        <v>8.4</v>
      </c>
      <c r="V26" s="7">
        <v>40708</v>
      </c>
      <c r="W26" s="8" t="s">
        <v>4</v>
      </c>
      <c r="X26" s="8" t="s">
        <v>1415</v>
      </c>
      <c r="Y26" s="8">
        <v>25</v>
      </c>
    </row>
    <row r="27" spans="1:33" x14ac:dyDescent="0.25">
      <c r="B27" s="8" t="s">
        <v>453</v>
      </c>
      <c r="C27" s="50"/>
      <c r="D27" s="10"/>
      <c r="E27" t="str">
        <f>TextFormula</f>
        <v/>
      </c>
      <c r="M27" s="7">
        <v>40221</v>
      </c>
      <c r="N27" s="8" t="s">
        <v>771</v>
      </c>
      <c r="O27" s="8">
        <v>11</v>
      </c>
      <c r="P27" s="8">
        <v>5.4</v>
      </c>
      <c r="V27" s="7">
        <v>40645</v>
      </c>
      <c r="W27" s="8" t="s">
        <v>1421</v>
      </c>
      <c r="X27" s="8" t="s">
        <v>1415</v>
      </c>
      <c r="Y27" s="8">
        <v>25</v>
      </c>
    </row>
    <row r="28" spans="1:33" x14ac:dyDescent="0.25">
      <c r="D28" s="10"/>
      <c r="E28" t="str">
        <f>TextFormula</f>
        <v/>
      </c>
      <c r="M28" s="7">
        <v>40224</v>
      </c>
      <c r="N28" s="8" t="s">
        <v>775</v>
      </c>
      <c r="O28" s="8">
        <v>7</v>
      </c>
      <c r="P28" s="8">
        <v>10.7</v>
      </c>
      <c r="V28" s="7">
        <v>40564</v>
      </c>
      <c r="W28" s="8" t="s">
        <v>1424</v>
      </c>
      <c r="X28" s="8" t="s">
        <v>1417</v>
      </c>
      <c r="Y28" s="8">
        <v>16</v>
      </c>
    </row>
    <row r="29" spans="1:33" x14ac:dyDescent="0.25">
      <c r="A29" t="s">
        <v>454</v>
      </c>
      <c r="M29" s="7">
        <v>40225</v>
      </c>
      <c r="N29" s="8" t="s">
        <v>775</v>
      </c>
      <c r="O29" s="8">
        <v>11</v>
      </c>
      <c r="P29" s="8">
        <v>10.6</v>
      </c>
      <c r="V29" s="7">
        <v>40541</v>
      </c>
      <c r="W29" s="8" t="s">
        <v>1421</v>
      </c>
      <c r="X29" s="8" t="s">
        <v>1427</v>
      </c>
      <c r="Y29" s="8">
        <v>7</v>
      </c>
    </row>
    <row r="30" spans="1:33" x14ac:dyDescent="0.25">
      <c r="M30" s="7">
        <v>40226</v>
      </c>
      <c r="N30" s="8" t="s">
        <v>774</v>
      </c>
      <c r="O30" s="8">
        <v>16</v>
      </c>
      <c r="P30" s="8">
        <v>8.3000000000000007</v>
      </c>
      <c r="V30" s="7">
        <v>40885</v>
      </c>
      <c r="W30" s="8" t="s">
        <v>3</v>
      </c>
      <c r="X30" s="8" t="s">
        <v>1426</v>
      </c>
      <c r="Y30" s="8">
        <v>6</v>
      </c>
    </row>
    <row r="31" spans="1:33" x14ac:dyDescent="0.25">
      <c r="M31" s="7">
        <v>40227</v>
      </c>
      <c r="N31" s="8" t="s">
        <v>772</v>
      </c>
      <c r="O31" s="8">
        <v>13</v>
      </c>
      <c r="P31" s="8">
        <v>6.6</v>
      </c>
      <c r="V31" s="7">
        <v>40908</v>
      </c>
      <c r="W31" s="8" t="s">
        <v>1421</v>
      </c>
      <c r="X31" s="8" t="s">
        <v>1426</v>
      </c>
      <c r="Y31" s="8">
        <v>3</v>
      </c>
    </row>
    <row r="32" spans="1:33" x14ac:dyDescent="0.25">
      <c r="A32" s="18" t="s">
        <v>0</v>
      </c>
      <c r="B32" s="18" t="s">
        <v>37</v>
      </c>
      <c r="D32" s="78" t="s">
        <v>1381</v>
      </c>
      <c r="M32" s="7">
        <v>40228</v>
      </c>
      <c r="N32" s="8" t="s">
        <v>769</v>
      </c>
      <c r="O32" s="8">
        <v>10</v>
      </c>
      <c r="P32" s="8">
        <v>3.6</v>
      </c>
      <c r="V32" s="7">
        <v>40564</v>
      </c>
      <c r="W32" s="8" t="s">
        <v>1421</v>
      </c>
      <c r="X32" s="8" t="s">
        <v>1415</v>
      </c>
      <c r="Y32" s="8">
        <v>11</v>
      </c>
    </row>
    <row r="33" spans="1:25" x14ac:dyDescent="0.25">
      <c r="A33" s="7">
        <v>40143</v>
      </c>
      <c r="B33" s="22">
        <v>790772</v>
      </c>
      <c r="D33" s="8">
        <v>2009</v>
      </c>
      <c r="F33">
        <f t="shared" ref="F33:F40" si="6">YEAR(A33)</f>
        <v>2009</v>
      </c>
      <c r="M33" s="7">
        <v>40231</v>
      </c>
      <c r="N33" s="8" t="s">
        <v>771</v>
      </c>
      <c r="O33" s="8">
        <v>17</v>
      </c>
      <c r="P33" s="8">
        <v>5.8</v>
      </c>
      <c r="V33" s="7">
        <v>40686</v>
      </c>
      <c r="W33" s="8" t="s">
        <v>1424</v>
      </c>
      <c r="X33" s="8" t="s">
        <v>1417</v>
      </c>
      <c r="Y33" s="8">
        <v>15</v>
      </c>
    </row>
    <row r="34" spans="1:25" x14ac:dyDescent="0.25">
      <c r="A34" s="7">
        <v>40203</v>
      </c>
      <c r="B34" s="22">
        <v>669253</v>
      </c>
      <c r="D34" s="18" t="s">
        <v>1382</v>
      </c>
      <c r="F34">
        <f t="shared" si="6"/>
        <v>2010</v>
      </c>
      <c r="M34" s="7">
        <v>40232</v>
      </c>
      <c r="N34" s="8" t="s">
        <v>772</v>
      </c>
      <c r="O34" s="8">
        <v>14</v>
      </c>
      <c r="P34" s="8">
        <v>6.1</v>
      </c>
      <c r="V34" s="7">
        <v>40518</v>
      </c>
      <c r="W34" s="8" t="s">
        <v>1424</v>
      </c>
      <c r="X34" s="8" t="s">
        <v>1427</v>
      </c>
      <c r="Y34" s="8">
        <v>16</v>
      </c>
    </row>
    <row r="35" spans="1:25" x14ac:dyDescent="0.25">
      <c r="A35" s="7">
        <v>40573</v>
      </c>
      <c r="B35" s="22">
        <v>653699</v>
      </c>
      <c r="D35" s="23"/>
      <c r="F35">
        <f t="shared" si="6"/>
        <v>2011</v>
      </c>
      <c r="M35" s="7">
        <v>40233</v>
      </c>
      <c r="N35" s="8" t="s">
        <v>767</v>
      </c>
      <c r="O35" s="8">
        <v>15</v>
      </c>
      <c r="P35" s="8">
        <v>2</v>
      </c>
      <c r="V35" s="7">
        <v>40719</v>
      </c>
      <c r="W35" s="8" t="s">
        <v>1424</v>
      </c>
      <c r="X35" s="8" t="s">
        <v>1422</v>
      </c>
      <c r="Y35" s="8">
        <v>18</v>
      </c>
    </row>
    <row r="36" spans="1:25" x14ac:dyDescent="0.25">
      <c r="A36" s="7">
        <v>40456</v>
      </c>
      <c r="B36" s="22">
        <v>638300</v>
      </c>
      <c r="D36" s="358" t="s">
        <v>1383</v>
      </c>
      <c r="F36">
        <f t="shared" si="6"/>
        <v>2010</v>
      </c>
      <c r="M36" s="7">
        <v>40234</v>
      </c>
      <c r="N36" s="8" t="s">
        <v>775</v>
      </c>
      <c r="O36" s="8">
        <v>7</v>
      </c>
      <c r="P36" s="8">
        <v>10.1</v>
      </c>
      <c r="V36" s="7">
        <v>40433</v>
      </c>
      <c r="W36" s="8" t="s">
        <v>7</v>
      </c>
      <c r="X36" s="8" t="s">
        <v>1425</v>
      </c>
      <c r="Y36" s="8">
        <v>3</v>
      </c>
    </row>
    <row r="37" spans="1:25" x14ac:dyDescent="0.25">
      <c r="A37" s="7">
        <v>40204</v>
      </c>
      <c r="B37" s="22">
        <v>955656</v>
      </c>
      <c r="D37" t="s">
        <v>1384</v>
      </c>
      <c r="F37">
        <f t="shared" si="6"/>
        <v>2010</v>
      </c>
      <c r="M37" s="7">
        <v>40235</v>
      </c>
      <c r="N37" s="8" t="s">
        <v>770</v>
      </c>
      <c r="O37" s="8">
        <v>9</v>
      </c>
      <c r="P37" s="8">
        <v>4.5999999999999996</v>
      </c>
      <c r="V37" s="7">
        <v>40329</v>
      </c>
      <c r="W37" s="8" t="s">
        <v>4</v>
      </c>
      <c r="X37" s="8" t="s">
        <v>1417</v>
      </c>
      <c r="Y37" s="8">
        <v>1</v>
      </c>
    </row>
    <row r="38" spans="1:25" x14ac:dyDescent="0.25">
      <c r="A38" s="7">
        <v>40496</v>
      </c>
      <c r="B38" s="22">
        <v>785553</v>
      </c>
      <c r="F38">
        <f t="shared" si="6"/>
        <v>2010</v>
      </c>
      <c r="M38" s="7">
        <v>40238</v>
      </c>
      <c r="N38" s="8" t="s">
        <v>769</v>
      </c>
      <c r="O38" s="8">
        <v>10</v>
      </c>
      <c r="P38" s="8">
        <v>3.1</v>
      </c>
      <c r="V38" s="7">
        <v>40341</v>
      </c>
      <c r="W38" s="8" t="s">
        <v>3</v>
      </c>
      <c r="X38" s="8" t="s">
        <v>1426</v>
      </c>
      <c r="Y38" s="8">
        <v>7</v>
      </c>
    </row>
    <row r="39" spans="1:25" x14ac:dyDescent="0.25">
      <c r="A39" s="7">
        <v>40108</v>
      </c>
      <c r="B39" s="22">
        <v>682300</v>
      </c>
      <c r="F39">
        <f t="shared" si="6"/>
        <v>2009</v>
      </c>
      <c r="M39" s="7">
        <v>40239</v>
      </c>
      <c r="N39" s="8" t="s">
        <v>767</v>
      </c>
      <c r="O39" s="8">
        <v>6</v>
      </c>
      <c r="P39" s="8">
        <v>2.2999999999999998</v>
      </c>
      <c r="V39" s="7">
        <v>40396</v>
      </c>
      <c r="W39" s="8" t="s">
        <v>1421</v>
      </c>
      <c r="X39" s="8" t="s">
        <v>1427</v>
      </c>
      <c r="Y39" s="8">
        <v>16</v>
      </c>
    </row>
    <row r="40" spans="1:25" x14ac:dyDescent="0.25">
      <c r="A40" s="7">
        <v>40551</v>
      </c>
      <c r="B40" s="22">
        <v>623663</v>
      </c>
      <c r="F40">
        <f t="shared" si="6"/>
        <v>2011</v>
      </c>
      <c r="M40" s="7">
        <v>40240</v>
      </c>
      <c r="N40" s="8" t="s">
        <v>769</v>
      </c>
      <c r="O40" s="8">
        <v>6</v>
      </c>
      <c r="P40" s="8">
        <v>3.5</v>
      </c>
      <c r="V40" s="7">
        <v>40938</v>
      </c>
      <c r="W40" s="8" t="s">
        <v>4</v>
      </c>
      <c r="X40" s="8" t="s">
        <v>1415</v>
      </c>
      <c r="Y40" s="8">
        <v>24</v>
      </c>
    </row>
    <row r="41" spans="1:25" x14ac:dyDescent="0.25">
      <c r="M41" s="7">
        <v>40241</v>
      </c>
      <c r="N41" s="8" t="s">
        <v>769</v>
      </c>
      <c r="O41" s="8">
        <v>8</v>
      </c>
      <c r="P41" s="8">
        <v>3</v>
      </c>
      <c r="V41" s="7">
        <v>40586</v>
      </c>
      <c r="W41" s="8" t="s">
        <v>3</v>
      </c>
      <c r="X41" s="8" t="s">
        <v>1425</v>
      </c>
      <c r="Y41" s="8">
        <v>25</v>
      </c>
    </row>
    <row r="42" spans="1:25" x14ac:dyDescent="0.25">
      <c r="M42" s="7">
        <v>40242</v>
      </c>
      <c r="N42" s="8" t="s">
        <v>772</v>
      </c>
      <c r="O42" s="8">
        <v>24</v>
      </c>
      <c r="P42" s="8">
        <v>6.4</v>
      </c>
      <c r="V42" s="7">
        <v>40632</v>
      </c>
      <c r="W42" s="8" t="s">
        <v>135</v>
      </c>
      <c r="X42" s="8" t="s">
        <v>1422</v>
      </c>
      <c r="Y42" s="8">
        <v>6</v>
      </c>
    </row>
    <row r="43" spans="1:25" x14ac:dyDescent="0.25">
      <c r="M43" s="7">
        <v>40245</v>
      </c>
      <c r="N43" s="8" t="s">
        <v>770</v>
      </c>
      <c r="O43" s="8">
        <v>23</v>
      </c>
      <c r="P43" s="8">
        <v>4.0999999999999996</v>
      </c>
      <c r="V43" s="7">
        <v>40475</v>
      </c>
      <c r="W43" s="8" t="s">
        <v>7</v>
      </c>
      <c r="X43" s="8" t="s">
        <v>1415</v>
      </c>
      <c r="Y43" s="8">
        <v>4</v>
      </c>
    </row>
    <row r="44" spans="1:25" x14ac:dyDescent="0.25">
      <c r="M44" s="7">
        <v>40246</v>
      </c>
      <c r="N44" s="8" t="s">
        <v>772</v>
      </c>
      <c r="O44" s="8">
        <v>25</v>
      </c>
      <c r="P44" s="8">
        <v>6.7</v>
      </c>
      <c r="V44" s="7">
        <v>40902</v>
      </c>
      <c r="W44" s="8" t="s">
        <v>1424</v>
      </c>
      <c r="X44" s="8" t="s">
        <v>1415</v>
      </c>
      <c r="Y44" s="8">
        <v>8</v>
      </c>
    </row>
    <row r="45" spans="1:25" x14ac:dyDescent="0.25">
      <c r="M45" s="7">
        <v>40247</v>
      </c>
      <c r="N45" s="8" t="s">
        <v>768</v>
      </c>
      <c r="O45" s="8">
        <v>10</v>
      </c>
      <c r="P45" s="8">
        <v>5.7</v>
      </c>
      <c r="V45" s="7">
        <v>40358</v>
      </c>
      <c r="W45" s="8" t="s">
        <v>4</v>
      </c>
      <c r="X45" s="8" t="s">
        <v>1415</v>
      </c>
      <c r="Y45" s="8">
        <v>7</v>
      </c>
    </row>
    <row r="46" spans="1:25" x14ac:dyDescent="0.25">
      <c r="M46" s="7">
        <v>40248</v>
      </c>
      <c r="N46" s="8" t="s">
        <v>767</v>
      </c>
      <c r="O46" s="8">
        <v>18</v>
      </c>
      <c r="P46" s="8">
        <v>2.2999999999999998</v>
      </c>
      <c r="V46" s="7">
        <v>40688</v>
      </c>
      <c r="W46" s="8" t="s">
        <v>135</v>
      </c>
      <c r="X46" s="8" t="s">
        <v>1426</v>
      </c>
      <c r="Y46" s="8">
        <v>7</v>
      </c>
    </row>
    <row r="47" spans="1:25" x14ac:dyDescent="0.25">
      <c r="M47" s="7">
        <v>40249</v>
      </c>
      <c r="N47" s="8" t="s">
        <v>770</v>
      </c>
      <c r="O47" s="8">
        <v>24</v>
      </c>
      <c r="P47" s="8">
        <v>4.5999999999999996</v>
      </c>
      <c r="V47" s="7">
        <v>40873</v>
      </c>
      <c r="W47" s="8" t="s">
        <v>7</v>
      </c>
      <c r="X47" s="8" t="s">
        <v>1417</v>
      </c>
      <c r="Y47" s="8">
        <v>9</v>
      </c>
    </row>
    <row r="48" spans="1:25" x14ac:dyDescent="0.25">
      <c r="M48" s="7">
        <v>40252</v>
      </c>
      <c r="N48" s="8" t="s">
        <v>773</v>
      </c>
      <c r="O48" s="8">
        <v>8</v>
      </c>
      <c r="P48" s="8">
        <v>5.4</v>
      </c>
      <c r="V48" s="7">
        <v>40309</v>
      </c>
      <c r="W48" s="8" t="s">
        <v>4</v>
      </c>
      <c r="X48" s="8" t="s">
        <v>1425</v>
      </c>
      <c r="Y48" s="8">
        <v>3</v>
      </c>
    </row>
    <row r="49" spans="13:25" x14ac:dyDescent="0.25">
      <c r="M49" s="7">
        <v>40253</v>
      </c>
      <c r="N49" s="8" t="s">
        <v>771</v>
      </c>
      <c r="O49" s="8">
        <v>9</v>
      </c>
      <c r="P49" s="8">
        <v>5</v>
      </c>
      <c r="V49" s="7">
        <v>40585</v>
      </c>
      <c r="W49" s="8" t="s">
        <v>1421</v>
      </c>
      <c r="X49" s="8" t="s">
        <v>1422</v>
      </c>
      <c r="Y49" s="8">
        <v>10</v>
      </c>
    </row>
    <row r="50" spans="13:25" x14ac:dyDescent="0.25">
      <c r="M50" s="7">
        <v>40254</v>
      </c>
      <c r="N50" s="8" t="s">
        <v>775</v>
      </c>
      <c r="O50" s="8">
        <v>25</v>
      </c>
      <c r="P50" s="8">
        <v>10.9</v>
      </c>
      <c r="V50" s="7">
        <v>40787</v>
      </c>
      <c r="W50" s="8" t="s">
        <v>7</v>
      </c>
      <c r="X50" s="8" t="s">
        <v>1415</v>
      </c>
      <c r="Y50" s="8">
        <v>14</v>
      </c>
    </row>
    <row r="51" spans="13:25" x14ac:dyDescent="0.25">
      <c r="M51" s="7">
        <v>40255</v>
      </c>
      <c r="N51" s="8" t="s">
        <v>771</v>
      </c>
      <c r="O51" s="8">
        <v>22</v>
      </c>
      <c r="P51" s="8">
        <v>5.4</v>
      </c>
      <c r="V51" s="7">
        <v>40642</v>
      </c>
      <c r="W51" s="8" t="s">
        <v>1421</v>
      </c>
      <c r="X51" s="8" t="s">
        <v>1417</v>
      </c>
      <c r="Y51" s="8">
        <v>1</v>
      </c>
    </row>
    <row r="52" spans="13:25" x14ac:dyDescent="0.25">
      <c r="M52" s="7">
        <v>40256</v>
      </c>
      <c r="N52" s="8" t="s">
        <v>768</v>
      </c>
      <c r="O52" s="8">
        <v>24</v>
      </c>
      <c r="P52" s="8">
        <v>5.3</v>
      </c>
      <c r="V52" s="7">
        <v>40453</v>
      </c>
      <c r="W52" s="8" t="s">
        <v>1421</v>
      </c>
      <c r="X52" s="8" t="s">
        <v>1427</v>
      </c>
      <c r="Y52" s="8">
        <v>11</v>
      </c>
    </row>
    <row r="53" spans="13:25" x14ac:dyDescent="0.25">
      <c r="M53" s="7">
        <v>40259</v>
      </c>
      <c r="N53" s="8" t="s">
        <v>770</v>
      </c>
      <c r="O53" s="8">
        <v>10</v>
      </c>
      <c r="P53" s="8">
        <v>4.0999999999999996</v>
      </c>
      <c r="V53" s="7">
        <v>40468</v>
      </c>
      <c r="W53" s="8" t="s">
        <v>135</v>
      </c>
      <c r="X53" s="8" t="s">
        <v>1426</v>
      </c>
      <c r="Y53" s="8">
        <v>17</v>
      </c>
    </row>
    <row r="54" spans="13:25" x14ac:dyDescent="0.25">
      <c r="M54" s="7">
        <v>40260</v>
      </c>
      <c r="N54" s="8" t="s">
        <v>769</v>
      </c>
      <c r="O54" s="8">
        <v>9</v>
      </c>
      <c r="P54" s="8">
        <v>3.5</v>
      </c>
      <c r="V54" s="7">
        <v>40628</v>
      </c>
      <c r="W54" s="8" t="s">
        <v>3</v>
      </c>
      <c r="X54" s="8" t="s">
        <v>1427</v>
      </c>
      <c r="Y54" s="8">
        <v>4</v>
      </c>
    </row>
    <row r="55" spans="13:25" x14ac:dyDescent="0.25">
      <c r="M55" s="7">
        <v>40261</v>
      </c>
      <c r="N55" s="8" t="s">
        <v>775</v>
      </c>
      <c r="O55" s="8">
        <v>24</v>
      </c>
      <c r="P55" s="8">
        <v>10.4</v>
      </c>
      <c r="V55" s="7">
        <v>40940</v>
      </c>
      <c r="W55" s="8" t="s">
        <v>135</v>
      </c>
      <c r="X55" s="8" t="s">
        <v>1425</v>
      </c>
      <c r="Y55" s="8">
        <v>14</v>
      </c>
    </row>
    <row r="56" spans="13:25" x14ac:dyDescent="0.25">
      <c r="M56" s="7">
        <v>40262</v>
      </c>
      <c r="N56" s="8" t="s">
        <v>768</v>
      </c>
      <c r="O56" s="8">
        <v>8</v>
      </c>
      <c r="P56" s="8">
        <v>5.3</v>
      </c>
      <c r="V56" s="7">
        <v>40843</v>
      </c>
      <c r="W56" s="8" t="s">
        <v>1421</v>
      </c>
      <c r="X56" s="8" t="s">
        <v>1415</v>
      </c>
      <c r="Y56" s="8">
        <v>19</v>
      </c>
    </row>
    <row r="57" spans="13:25" x14ac:dyDescent="0.25">
      <c r="M57" s="7">
        <v>40263</v>
      </c>
      <c r="N57" s="8" t="s">
        <v>769</v>
      </c>
      <c r="O57" s="8">
        <v>18</v>
      </c>
      <c r="P57" s="8">
        <v>3.4</v>
      </c>
      <c r="V57" s="7">
        <v>40628</v>
      </c>
      <c r="W57" s="8" t="s">
        <v>3</v>
      </c>
      <c r="X57" s="8" t="s">
        <v>1415</v>
      </c>
      <c r="Y57" s="8">
        <v>19</v>
      </c>
    </row>
    <row r="58" spans="13:25" x14ac:dyDescent="0.25">
      <c r="M58" s="7">
        <v>40266</v>
      </c>
      <c r="N58" s="8" t="s">
        <v>771</v>
      </c>
      <c r="O58" s="8">
        <v>25</v>
      </c>
      <c r="P58" s="8">
        <v>5.8</v>
      </c>
      <c r="V58" s="7">
        <v>40755</v>
      </c>
      <c r="W58" s="8" t="s">
        <v>7</v>
      </c>
      <c r="X58" s="8" t="s">
        <v>1426</v>
      </c>
      <c r="Y58" s="8">
        <v>8</v>
      </c>
    </row>
    <row r="59" spans="13:25" x14ac:dyDescent="0.25">
      <c r="M59" s="7">
        <v>40267</v>
      </c>
      <c r="N59" s="8" t="s">
        <v>771</v>
      </c>
      <c r="O59" s="8">
        <v>17</v>
      </c>
      <c r="P59" s="8">
        <v>5.2</v>
      </c>
      <c r="V59" s="7">
        <v>40410</v>
      </c>
      <c r="W59" s="8" t="s">
        <v>4</v>
      </c>
      <c r="X59" s="8" t="s">
        <v>1427</v>
      </c>
      <c r="Y59" s="8">
        <v>23</v>
      </c>
    </row>
    <row r="60" spans="13:25" x14ac:dyDescent="0.25">
      <c r="M60" s="7">
        <v>40268</v>
      </c>
      <c r="N60" s="8" t="s">
        <v>771</v>
      </c>
      <c r="O60" s="8">
        <v>25</v>
      </c>
      <c r="P60" s="8">
        <v>5.7</v>
      </c>
      <c r="V60" s="7">
        <v>40610</v>
      </c>
      <c r="W60" s="8" t="s">
        <v>3</v>
      </c>
      <c r="X60" s="8" t="s">
        <v>1427</v>
      </c>
      <c r="Y60" s="8">
        <v>9</v>
      </c>
    </row>
    <row r="61" spans="13:25" x14ac:dyDescent="0.25">
      <c r="M61" s="7">
        <v>40269</v>
      </c>
      <c r="N61" s="8" t="s">
        <v>774</v>
      </c>
      <c r="O61" s="8">
        <v>8</v>
      </c>
      <c r="P61" s="8">
        <v>8.6</v>
      </c>
      <c r="V61" s="7">
        <v>40935</v>
      </c>
      <c r="W61" s="8" t="s">
        <v>1424</v>
      </c>
      <c r="X61" s="8" t="s">
        <v>1417</v>
      </c>
      <c r="Y61" s="8">
        <v>23</v>
      </c>
    </row>
    <row r="62" spans="13:25" x14ac:dyDescent="0.25">
      <c r="M62" s="7">
        <v>40270</v>
      </c>
      <c r="N62" s="8" t="s">
        <v>775</v>
      </c>
      <c r="O62" s="8">
        <v>19</v>
      </c>
      <c r="P62" s="8">
        <v>10.9</v>
      </c>
      <c r="V62" s="7">
        <v>40684</v>
      </c>
      <c r="W62" s="8" t="s">
        <v>135</v>
      </c>
      <c r="X62" s="8" t="s">
        <v>1425</v>
      </c>
      <c r="Y62" s="8">
        <v>6</v>
      </c>
    </row>
    <row r="63" spans="13:25" x14ac:dyDescent="0.25">
      <c r="M63" s="7">
        <v>40273</v>
      </c>
      <c r="N63" s="8" t="s">
        <v>769</v>
      </c>
      <c r="O63" s="8">
        <v>15</v>
      </c>
      <c r="P63" s="8">
        <v>3.6</v>
      </c>
      <c r="V63" s="7">
        <v>40633</v>
      </c>
      <c r="W63" s="8" t="s">
        <v>1421</v>
      </c>
      <c r="X63" s="8" t="s">
        <v>1417</v>
      </c>
      <c r="Y63" s="8">
        <v>3</v>
      </c>
    </row>
    <row r="64" spans="13:25" x14ac:dyDescent="0.25">
      <c r="M64" s="7">
        <v>40274</v>
      </c>
      <c r="N64" s="8" t="s">
        <v>769</v>
      </c>
      <c r="O64" s="8">
        <v>17</v>
      </c>
      <c r="P64" s="8">
        <v>3.9</v>
      </c>
      <c r="V64" s="7">
        <v>40714</v>
      </c>
      <c r="W64" s="8" t="s">
        <v>135</v>
      </c>
      <c r="X64" s="8" t="s">
        <v>1426</v>
      </c>
      <c r="Y64" s="8">
        <v>7</v>
      </c>
    </row>
    <row r="65" spans="13:25" x14ac:dyDescent="0.25">
      <c r="M65" s="7">
        <v>40275</v>
      </c>
      <c r="N65" s="8" t="s">
        <v>772</v>
      </c>
      <c r="O65" s="8">
        <v>15</v>
      </c>
      <c r="P65" s="8">
        <v>6</v>
      </c>
      <c r="V65" s="7">
        <v>40784</v>
      </c>
      <c r="W65" s="8" t="s">
        <v>1424</v>
      </c>
      <c r="X65" s="8" t="s">
        <v>1415</v>
      </c>
      <c r="Y65" s="8">
        <v>20</v>
      </c>
    </row>
    <row r="66" spans="13:25" x14ac:dyDescent="0.25">
      <c r="M66" s="7">
        <v>40276</v>
      </c>
      <c r="N66" s="8" t="s">
        <v>772</v>
      </c>
      <c r="O66" s="8">
        <v>11</v>
      </c>
      <c r="P66" s="8">
        <v>6.8</v>
      </c>
      <c r="V66" s="7">
        <v>40964</v>
      </c>
      <c r="W66" s="8" t="s">
        <v>1424</v>
      </c>
      <c r="X66" s="8" t="s">
        <v>1415</v>
      </c>
      <c r="Y66" s="8">
        <v>19</v>
      </c>
    </row>
    <row r="67" spans="13:25" x14ac:dyDescent="0.25">
      <c r="M67" s="7">
        <v>40277</v>
      </c>
      <c r="N67" s="8" t="s">
        <v>774</v>
      </c>
      <c r="O67" s="8">
        <v>16</v>
      </c>
      <c r="P67" s="8">
        <v>8.8000000000000007</v>
      </c>
      <c r="V67" s="7">
        <v>40723</v>
      </c>
      <c r="W67" s="8" t="s">
        <v>1424</v>
      </c>
      <c r="X67" s="8" t="s">
        <v>1417</v>
      </c>
      <c r="Y67" s="8">
        <v>1</v>
      </c>
    </row>
    <row r="68" spans="13:25" x14ac:dyDescent="0.25">
      <c r="M68" s="7">
        <v>40280</v>
      </c>
      <c r="N68" s="8" t="s">
        <v>771</v>
      </c>
      <c r="O68" s="8">
        <v>20</v>
      </c>
      <c r="P68" s="8">
        <v>5.8</v>
      </c>
      <c r="V68" s="7">
        <v>40985</v>
      </c>
      <c r="W68" s="8" t="s">
        <v>1421</v>
      </c>
      <c r="X68" s="8" t="s">
        <v>1425</v>
      </c>
      <c r="Y68" s="8">
        <v>20</v>
      </c>
    </row>
    <row r="69" spans="13:25" x14ac:dyDescent="0.25">
      <c r="M69" s="7">
        <v>40281</v>
      </c>
      <c r="N69" s="8" t="s">
        <v>772</v>
      </c>
      <c r="O69" s="8">
        <v>13</v>
      </c>
      <c r="P69" s="8">
        <v>6.5</v>
      </c>
      <c r="V69" s="7">
        <v>40925</v>
      </c>
      <c r="W69" s="8" t="s">
        <v>4</v>
      </c>
      <c r="X69" s="8" t="s">
        <v>1426</v>
      </c>
      <c r="Y69" s="8">
        <v>5</v>
      </c>
    </row>
    <row r="70" spans="13:25" x14ac:dyDescent="0.25">
      <c r="M70" s="7">
        <v>40282</v>
      </c>
      <c r="N70" s="8" t="s">
        <v>767</v>
      </c>
      <c r="O70" s="8">
        <v>11</v>
      </c>
      <c r="P70" s="8">
        <v>2.5</v>
      </c>
      <c r="V70" s="7">
        <v>40323</v>
      </c>
      <c r="W70" s="8" t="s">
        <v>3</v>
      </c>
      <c r="X70" s="8" t="s">
        <v>1422</v>
      </c>
      <c r="Y70" s="8">
        <v>16</v>
      </c>
    </row>
    <row r="71" spans="13:25" x14ac:dyDescent="0.25">
      <c r="M71" s="7">
        <v>40283</v>
      </c>
      <c r="N71" s="8" t="s">
        <v>772</v>
      </c>
      <c r="O71" s="8">
        <v>18</v>
      </c>
      <c r="P71" s="8">
        <v>6.1</v>
      </c>
      <c r="V71" s="7">
        <v>40391</v>
      </c>
      <c r="W71" s="8" t="s">
        <v>3</v>
      </c>
      <c r="X71" s="8" t="s">
        <v>1427</v>
      </c>
      <c r="Y71" s="8">
        <v>25</v>
      </c>
    </row>
    <row r="72" spans="13:25" x14ac:dyDescent="0.25">
      <c r="M72" s="7">
        <v>40284</v>
      </c>
      <c r="N72" s="8" t="s">
        <v>768</v>
      </c>
      <c r="O72" s="8">
        <v>7</v>
      </c>
      <c r="P72" s="8">
        <v>5.0999999999999996</v>
      </c>
      <c r="V72" s="7">
        <v>40718</v>
      </c>
      <c r="W72" s="8" t="s">
        <v>1421</v>
      </c>
      <c r="X72" s="8" t="s">
        <v>1427</v>
      </c>
      <c r="Y72" s="8">
        <v>23</v>
      </c>
    </row>
    <row r="73" spans="13:25" x14ac:dyDescent="0.25">
      <c r="M73" s="7">
        <v>40287</v>
      </c>
      <c r="N73" s="8" t="s">
        <v>768</v>
      </c>
      <c r="O73" s="8">
        <v>8</v>
      </c>
      <c r="P73" s="8">
        <v>5</v>
      </c>
      <c r="V73" s="7">
        <v>40411</v>
      </c>
      <c r="W73" s="8" t="s">
        <v>3</v>
      </c>
      <c r="X73" s="8" t="s">
        <v>1415</v>
      </c>
      <c r="Y73" s="8">
        <v>18</v>
      </c>
    </row>
    <row r="74" spans="13:25" x14ac:dyDescent="0.25">
      <c r="M74" s="7">
        <v>40288</v>
      </c>
      <c r="N74" s="8" t="s">
        <v>775</v>
      </c>
      <c r="O74" s="8">
        <v>13</v>
      </c>
      <c r="P74" s="8">
        <v>10.5</v>
      </c>
      <c r="V74" s="7">
        <v>40918</v>
      </c>
      <c r="W74" s="8" t="s">
        <v>3</v>
      </c>
      <c r="X74" s="8" t="s">
        <v>1422</v>
      </c>
      <c r="Y74" s="8">
        <v>17</v>
      </c>
    </row>
    <row r="75" spans="13:25" x14ac:dyDescent="0.25">
      <c r="M75" s="7">
        <v>40289</v>
      </c>
      <c r="N75" s="8" t="s">
        <v>774</v>
      </c>
      <c r="O75" s="8">
        <v>22</v>
      </c>
      <c r="P75" s="8">
        <v>8.1999999999999993</v>
      </c>
      <c r="V75" s="7">
        <v>40691</v>
      </c>
      <c r="W75" s="8" t="s">
        <v>7</v>
      </c>
      <c r="X75" s="8" t="s">
        <v>1427</v>
      </c>
      <c r="Y75" s="8">
        <v>10</v>
      </c>
    </row>
    <row r="76" spans="13:25" x14ac:dyDescent="0.25">
      <c r="M76" s="7">
        <v>40290</v>
      </c>
      <c r="N76" s="8" t="s">
        <v>773</v>
      </c>
      <c r="O76" s="8">
        <v>7</v>
      </c>
      <c r="P76" s="8">
        <v>5.0999999999999996</v>
      </c>
      <c r="V76" s="7">
        <v>40360</v>
      </c>
      <c r="W76" s="8" t="s">
        <v>3</v>
      </c>
      <c r="X76" s="8" t="s">
        <v>1426</v>
      </c>
      <c r="Y76" s="8">
        <v>14</v>
      </c>
    </row>
    <row r="77" spans="13:25" x14ac:dyDescent="0.25">
      <c r="M77" s="7">
        <v>40291</v>
      </c>
      <c r="N77" s="8" t="s">
        <v>767</v>
      </c>
      <c r="O77" s="8">
        <v>7</v>
      </c>
      <c r="P77" s="8">
        <v>2</v>
      </c>
      <c r="V77" s="7">
        <v>40926</v>
      </c>
      <c r="W77" s="8" t="s">
        <v>1421</v>
      </c>
      <c r="X77" s="8" t="s">
        <v>1425</v>
      </c>
      <c r="Y77" s="8">
        <v>9</v>
      </c>
    </row>
    <row r="78" spans="13:25" x14ac:dyDescent="0.25">
      <c r="M78" s="7">
        <v>40294</v>
      </c>
      <c r="N78" s="8" t="s">
        <v>770</v>
      </c>
      <c r="O78" s="8">
        <v>21</v>
      </c>
      <c r="P78" s="8">
        <v>4.5</v>
      </c>
      <c r="V78" s="7">
        <v>40416</v>
      </c>
      <c r="W78" s="8" t="s">
        <v>1424</v>
      </c>
      <c r="X78" s="8" t="s">
        <v>1425</v>
      </c>
      <c r="Y78" s="8">
        <v>19</v>
      </c>
    </row>
    <row r="79" spans="13:25" x14ac:dyDescent="0.25">
      <c r="M79" s="7">
        <v>40295</v>
      </c>
      <c r="N79" s="8" t="s">
        <v>774</v>
      </c>
      <c r="O79" s="8">
        <v>25</v>
      </c>
      <c r="P79" s="8">
        <v>8.8000000000000007</v>
      </c>
      <c r="V79" s="7">
        <v>40732</v>
      </c>
      <c r="W79" s="8" t="s">
        <v>1421</v>
      </c>
      <c r="X79" s="8" t="s">
        <v>1417</v>
      </c>
      <c r="Y79" s="8">
        <v>21</v>
      </c>
    </row>
    <row r="80" spans="13:25" x14ac:dyDescent="0.25">
      <c r="M80" s="7">
        <v>40296</v>
      </c>
      <c r="N80" s="8" t="s">
        <v>767</v>
      </c>
      <c r="O80" s="8">
        <v>20</v>
      </c>
      <c r="P80" s="8">
        <v>2.8</v>
      </c>
      <c r="V80" s="7">
        <v>40630</v>
      </c>
      <c r="W80" s="8" t="s">
        <v>7</v>
      </c>
      <c r="X80" s="8" t="s">
        <v>1415</v>
      </c>
      <c r="Y80" s="8">
        <v>22</v>
      </c>
    </row>
    <row r="81" spans="13:25" x14ac:dyDescent="0.25">
      <c r="M81" s="7">
        <v>40297</v>
      </c>
      <c r="N81" s="8" t="s">
        <v>769</v>
      </c>
      <c r="O81" s="8">
        <v>12</v>
      </c>
      <c r="P81" s="8">
        <v>3</v>
      </c>
      <c r="V81" s="7">
        <v>41007</v>
      </c>
      <c r="W81" s="8" t="s">
        <v>3</v>
      </c>
      <c r="X81" s="8" t="s">
        <v>1415</v>
      </c>
      <c r="Y81" s="8">
        <v>24</v>
      </c>
    </row>
    <row r="82" spans="13:25" x14ac:dyDescent="0.25">
      <c r="M82" s="7">
        <v>40298</v>
      </c>
      <c r="N82" s="8" t="s">
        <v>775</v>
      </c>
      <c r="O82" s="8">
        <v>13</v>
      </c>
      <c r="P82" s="8">
        <v>10.6</v>
      </c>
      <c r="V82" s="7">
        <v>40701</v>
      </c>
      <c r="W82" s="8" t="s">
        <v>1421</v>
      </c>
      <c r="X82" s="8" t="s">
        <v>1425</v>
      </c>
      <c r="Y82" s="8">
        <v>13</v>
      </c>
    </row>
    <row r="83" spans="13:25" x14ac:dyDescent="0.25">
      <c r="M83" s="7">
        <v>40301</v>
      </c>
      <c r="N83" s="8" t="s">
        <v>770</v>
      </c>
      <c r="O83" s="8">
        <v>16</v>
      </c>
      <c r="P83" s="8">
        <v>4.7</v>
      </c>
      <c r="V83" s="7">
        <v>40984</v>
      </c>
      <c r="W83" s="8" t="s">
        <v>135</v>
      </c>
      <c r="X83" s="8" t="s">
        <v>1427</v>
      </c>
      <c r="Y83" s="8">
        <v>15</v>
      </c>
    </row>
    <row r="84" spans="13:25" x14ac:dyDescent="0.25">
      <c r="M84" s="7">
        <v>40302</v>
      </c>
      <c r="N84" s="8" t="s">
        <v>775</v>
      </c>
      <c r="O84" s="8">
        <v>25</v>
      </c>
      <c r="P84" s="8">
        <v>10.8</v>
      </c>
      <c r="V84" s="7">
        <v>40741</v>
      </c>
      <c r="W84" s="8" t="s">
        <v>135</v>
      </c>
      <c r="X84" s="8" t="s">
        <v>1425</v>
      </c>
      <c r="Y84" s="8">
        <v>24</v>
      </c>
    </row>
    <row r="85" spans="13:25" x14ac:dyDescent="0.25">
      <c r="M85" s="7">
        <v>40303</v>
      </c>
      <c r="N85" s="8" t="s">
        <v>774</v>
      </c>
      <c r="O85" s="8">
        <v>14</v>
      </c>
      <c r="P85" s="8">
        <v>8.6999999999999993</v>
      </c>
      <c r="V85" s="7">
        <v>40575</v>
      </c>
      <c r="W85" s="8" t="s">
        <v>1421</v>
      </c>
      <c r="X85" s="8" t="s">
        <v>1426</v>
      </c>
      <c r="Y85" s="8">
        <v>14</v>
      </c>
    </row>
    <row r="86" spans="13:25" x14ac:dyDescent="0.25">
      <c r="M86" s="7">
        <v>40304</v>
      </c>
      <c r="N86" s="8" t="s">
        <v>769</v>
      </c>
      <c r="O86" s="8">
        <v>7</v>
      </c>
      <c r="P86" s="8">
        <v>3.4</v>
      </c>
      <c r="V86" s="7">
        <v>40409</v>
      </c>
      <c r="W86" s="8" t="s">
        <v>135</v>
      </c>
      <c r="X86" s="8" t="s">
        <v>1417</v>
      </c>
      <c r="Y86" s="8">
        <v>16</v>
      </c>
    </row>
    <row r="87" spans="13:25" x14ac:dyDescent="0.25">
      <c r="M87" s="7">
        <v>40305</v>
      </c>
      <c r="N87" s="8" t="s">
        <v>768</v>
      </c>
      <c r="O87" s="8">
        <v>7</v>
      </c>
      <c r="P87" s="8">
        <v>5.8</v>
      </c>
      <c r="V87" s="7">
        <v>40801</v>
      </c>
      <c r="W87" s="8" t="s">
        <v>1421</v>
      </c>
      <c r="X87" s="8" t="s">
        <v>1425</v>
      </c>
      <c r="Y87" s="8">
        <v>3</v>
      </c>
    </row>
    <row r="88" spans="13:25" x14ac:dyDescent="0.25">
      <c r="M88" s="7">
        <v>40308</v>
      </c>
      <c r="N88" s="8" t="s">
        <v>768</v>
      </c>
      <c r="O88" s="8">
        <v>16</v>
      </c>
      <c r="P88" s="8">
        <v>5.0999999999999996</v>
      </c>
      <c r="V88" s="7">
        <v>40631</v>
      </c>
      <c r="W88" s="8" t="s">
        <v>4</v>
      </c>
      <c r="X88" s="8" t="s">
        <v>1415</v>
      </c>
      <c r="Y88" s="8">
        <v>20</v>
      </c>
    </row>
    <row r="89" spans="13:25" x14ac:dyDescent="0.25">
      <c r="M89" s="7">
        <v>40309</v>
      </c>
      <c r="N89" s="8" t="s">
        <v>769</v>
      </c>
      <c r="O89" s="8">
        <v>20</v>
      </c>
      <c r="P89" s="8">
        <v>3.9</v>
      </c>
      <c r="V89" s="7">
        <v>40856</v>
      </c>
      <c r="W89" s="8" t="s">
        <v>135</v>
      </c>
      <c r="X89" s="8" t="s">
        <v>1422</v>
      </c>
      <c r="Y89" s="8">
        <v>20</v>
      </c>
    </row>
    <row r="90" spans="13:25" x14ac:dyDescent="0.25">
      <c r="M90" s="7">
        <v>40310</v>
      </c>
      <c r="N90" s="8" t="s">
        <v>771</v>
      </c>
      <c r="O90" s="8">
        <v>24</v>
      </c>
      <c r="P90" s="8">
        <v>5.7</v>
      </c>
      <c r="V90" s="7">
        <v>40661</v>
      </c>
      <c r="W90" s="8" t="s">
        <v>7</v>
      </c>
      <c r="X90" s="8" t="s">
        <v>1427</v>
      </c>
      <c r="Y90" s="8">
        <v>21</v>
      </c>
    </row>
    <row r="91" spans="13:25" x14ac:dyDescent="0.25">
      <c r="M91" s="7">
        <v>40311</v>
      </c>
      <c r="N91" s="8" t="s">
        <v>774</v>
      </c>
      <c r="O91" s="8">
        <v>17</v>
      </c>
      <c r="P91" s="8">
        <v>8.1999999999999993</v>
      </c>
      <c r="V91" s="7">
        <v>40898</v>
      </c>
      <c r="W91" s="8" t="s">
        <v>135</v>
      </c>
      <c r="X91" s="8" t="s">
        <v>1426</v>
      </c>
      <c r="Y91" s="8">
        <v>6</v>
      </c>
    </row>
    <row r="92" spans="13:25" x14ac:dyDescent="0.25">
      <c r="M92" s="7">
        <v>40312</v>
      </c>
      <c r="N92" s="8" t="s">
        <v>775</v>
      </c>
      <c r="O92" s="8">
        <v>7</v>
      </c>
      <c r="P92" s="8">
        <v>10.5</v>
      </c>
      <c r="V92" s="7">
        <v>40652</v>
      </c>
      <c r="W92" s="8" t="s">
        <v>3</v>
      </c>
      <c r="X92" s="8" t="s">
        <v>1425</v>
      </c>
      <c r="Y92" s="8">
        <v>23</v>
      </c>
    </row>
    <row r="93" spans="13:25" x14ac:dyDescent="0.25">
      <c r="M93" s="7">
        <v>40315</v>
      </c>
      <c r="N93" s="8" t="s">
        <v>771</v>
      </c>
      <c r="O93" s="8">
        <v>19</v>
      </c>
      <c r="P93" s="8">
        <v>5.4</v>
      </c>
      <c r="V93" s="7">
        <v>40710</v>
      </c>
      <c r="W93" s="8" t="s">
        <v>4</v>
      </c>
      <c r="X93" s="8" t="s">
        <v>1422</v>
      </c>
      <c r="Y93" s="8">
        <v>20</v>
      </c>
    </row>
    <row r="94" spans="13:25" x14ac:dyDescent="0.25">
      <c r="M94" s="7">
        <v>40316</v>
      </c>
      <c r="N94" s="8" t="s">
        <v>773</v>
      </c>
      <c r="O94" s="8">
        <v>8</v>
      </c>
      <c r="P94" s="8">
        <v>5.2</v>
      </c>
      <c r="V94" s="7">
        <v>40475</v>
      </c>
      <c r="W94" s="8" t="s">
        <v>4</v>
      </c>
      <c r="X94" s="8" t="s">
        <v>1415</v>
      </c>
      <c r="Y94" s="8">
        <v>7</v>
      </c>
    </row>
    <row r="95" spans="13:25" x14ac:dyDescent="0.25">
      <c r="M95" s="7">
        <v>40317</v>
      </c>
      <c r="N95" s="8" t="s">
        <v>769</v>
      </c>
      <c r="O95" s="8">
        <v>10</v>
      </c>
      <c r="P95" s="8">
        <v>3.5</v>
      </c>
      <c r="V95" s="7">
        <v>40329</v>
      </c>
      <c r="W95" s="8" t="s">
        <v>3</v>
      </c>
      <c r="X95" s="8" t="s">
        <v>1425</v>
      </c>
      <c r="Y95" s="8">
        <v>2</v>
      </c>
    </row>
    <row r="96" spans="13:25" x14ac:dyDescent="0.25">
      <c r="M96" s="7">
        <v>40318</v>
      </c>
      <c r="N96" s="8" t="s">
        <v>767</v>
      </c>
      <c r="O96" s="8">
        <v>10</v>
      </c>
      <c r="P96" s="8">
        <v>2</v>
      </c>
      <c r="V96" s="7">
        <v>40789</v>
      </c>
      <c r="W96" s="8" t="s">
        <v>1421</v>
      </c>
      <c r="X96" s="8" t="s">
        <v>1426</v>
      </c>
      <c r="Y96" s="8">
        <v>1</v>
      </c>
    </row>
    <row r="97" spans="13:25" x14ac:dyDescent="0.25">
      <c r="M97" s="7">
        <v>40319</v>
      </c>
      <c r="N97" s="8" t="s">
        <v>774</v>
      </c>
      <c r="O97" s="8">
        <v>16</v>
      </c>
      <c r="P97" s="8">
        <v>8</v>
      </c>
      <c r="V97" s="7">
        <v>40635</v>
      </c>
      <c r="W97" s="8" t="s">
        <v>1424</v>
      </c>
      <c r="X97" s="8" t="s">
        <v>1417</v>
      </c>
      <c r="Y97" s="8">
        <v>2</v>
      </c>
    </row>
    <row r="98" spans="13:25" x14ac:dyDescent="0.25">
      <c r="M98" s="7">
        <v>40322</v>
      </c>
      <c r="N98" s="8" t="s">
        <v>768</v>
      </c>
      <c r="O98" s="8">
        <v>25</v>
      </c>
      <c r="P98" s="8">
        <v>5.7</v>
      </c>
      <c r="V98" s="7">
        <v>40847</v>
      </c>
      <c r="W98" s="8" t="s">
        <v>1424</v>
      </c>
      <c r="X98" s="8" t="s">
        <v>1425</v>
      </c>
      <c r="Y98" s="8">
        <v>19</v>
      </c>
    </row>
    <row r="99" spans="13:25" x14ac:dyDescent="0.25">
      <c r="M99" s="7">
        <v>40323</v>
      </c>
      <c r="N99" s="8" t="s">
        <v>768</v>
      </c>
      <c r="O99" s="8">
        <v>18</v>
      </c>
      <c r="P99" s="8">
        <v>5</v>
      </c>
      <c r="V99" s="7">
        <v>40562</v>
      </c>
      <c r="W99" s="8" t="s">
        <v>3</v>
      </c>
      <c r="X99" s="8" t="s">
        <v>1425</v>
      </c>
      <c r="Y99" s="8">
        <v>15</v>
      </c>
    </row>
    <row r="100" spans="13:25" x14ac:dyDescent="0.25">
      <c r="M100" s="7">
        <v>40324</v>
      </c>
      <c r="N100" s="8" t="s">
        <v>768</v>
      </c>
      <c r="O100" s="8">
        <v>13</v>
      </c>
      <c r="P100" s="8">
        <v>5.3</v>
      </c>
      <c r="V100" s="7">
        <v>40988</v>
      </c>
      <c r="W100" s="8" t="s">
        <v>3</v>
      </c>
      <c r="X100" s="8" t="s">
        <v>1422</v>
      </c>
      <c r="Y100" s="8">
        <v>24</v>
      </c>
    </row>
    <row r="101" spans="13:25" x14ac:dyDescent="0.25">
      <c r="M101" s="7">
        <v>40325</v>
      </c>
      <c r="N101" s="8" t="s">
        <v>775</v>
      </c>
      <c r="O101" s="8">
        <v>17</v>
      </c>
      <c r="P101" s="8">
        <v>10.4</v>
      </c>
      <c r="V101" s="7">
        <v>40738</v>
      </c>
      <c r="W101" s="8" t="s">
        <v>1421</v>
      </c>
      <c r="X101" s="8" t="s">
        <v>1427</v>
      </c>
      <c r="Y101" s="8">
        <v>15</v>
      </c>
    </row>
    <row r="102" spans="13:25" x14ac:dyDescent="0.25">
      <c r="M102" s="7">
        <v>40326</v>
      </c>
      <c r="N102" s="8" t="s">
        <v>771</v>
      </c>
      <c r="O102" s="8">
        <v>14</v>
      </c>
      <c r="P102" s="8">
        <v>5.6</v>
      </c>
      <c r="V102" s="7">
        <v>40777</v>
      </c>
      <c r="W102" s="8" t="s">
        <v>135</v>
      </c>
      <c r="X102" s="8" t="s">
        <v>1426</v>
      </c>
      <c r="Y102" s="8">
        <v>21</v>
      </c>
    </row>
    <row r="103" spans="13:25" x14ac:dyDescent="0.25">
      <c r="M103" s="7">
        <v>40329</v>
      </c>
      <c r="N103" s="8" t="s">
        <v>771</v>
      </c>
      <c r="O103" s="8">
        <v>24</v>
      </c>
      <c r="P103" s="8">
        <v>5.6</v>
      </c>
      <c r="V103" s="7">
        <v>40377</v>
      </c>
      <c r="W103" s="8" t="s">
        <v>7</v>
      </c>
      <c r="X103" s="8" t="s">
        <v>1425</v>
      </c>
      <c r="Y103" s="8">
        <v>7</v>
      </c>
    </row>
    <row r="104" spans="13:25" x14ac:dyDescent="0.25">
      <c r="M104" s="7">
        <v>40330</v>
      </c>
      <c r="N104" s="8" t="s">
        <v>771</v>
      </c>
      <c r="O104" s="8">
        <v>20</v>
      </c>
      <c r="P104" s="8">
        <v>5.9</v>
      </c>
      <c r="V104" s="7">
        <v>40311</v>
      </c>
      <c r="W104" s="8" t="s">
        <v>4</v>
      </c>
      <c r="X104" s="8" t="s">
        <v>1426</v>
      </c>
      <c r="Y104" s="8">
        <v>19</v>
      </c>
    </row>
    <row r="105" spans="13:25" x14ac:dyDescent="0.25">
      <c r="M105" s="7">
        <v>40331</v>
      </c>
      <c r="N105" s="8" t="s">
        <v>769</v>
      </c>
      <c r="O105" s="8">
        <v>25</v>
      </c>
      <c r="P105" s="8">
        <v>3.3</v>
      </c>
      <c r="V105" s="7">
        <v>40815</v>
      </c>
      <c r="W105" s="8" t="s">
        <v>3</v>
      </c>
      <c r="X105" s="8" t="s">
        <v>1427</v>
      </c>
      <c r="Y105" s="8">
        <v>18</v>
      </c>
    </row>
    <row r="106" spans="13:25" x14ac:dyDescent="0.25">
      <c r="M106" s="7">
        <v>40332</v>
      </c>
      <c r="N106" s="8" t="s">
        <v>767</v>
      </c>
      <c r="O106" s="8">
        <v>10</v>
      </c>
      <c r="P106" s="8">
        <v>2.6</v>
      </c>
      <c r="V106" s="7">
        <v>40379</v>
      </c>
      <c r="W106" s="8" t="s">
        <v>1424</v>
      </c>
      <c r="X106" s="8" t="s">
        <v>1415</v>
      </c>
      <c r="Y106" s="8">
        <v>9</v>
      </c>
    </row>
    <row r="107" spans="13:25" x14ac:dyDescent="0.25">
      <c r="M107" s="7">
        <v>40333</v>
      </c>
      <c r="N107" s="8" t="s">
        <v>771</v>
      </c>
      <c r="O107" s="8">
        <v>19</v>
      </c>
      <c r="P107" s="8">
        <v>5.6</v>
      </c>
      <c r="V107" s="7">
        <v>40663</v>
      </c>
      <c r="W107" s="8" t="s">
        <v>1424</v>
      </c>
      <c r="X107" s="8" t="s">
        <v>1415</v>
      </c>
      <c r="Y107" s="8">
        <v>7</v>
      </c>
    </row>
    <row r="108" spans="13:25" x14ac:dyDescent="0.25">
      <c r="M108" s="7">
        <v>40336</v>
      </c>
      <c r="N108" s="8" t="s">
        <v>769</v>
      </c>
      <c r="O108" s="8">
        <v>19</v>
      </c>
      <c r="P108" s="8">
        <v>3.5</v>
      </c>
      <c r="V108" s="7">
        <v>40381</v>
      </c>
      <c r="W108" s="8" t="s">
        <v>1424</v>
      </c>
      <c r="X108" s="8" t="s">
        <v>1415</v>
      </c>
      <c r="Y108" s="8">
        <v>10</v>
      </c>
    </row>
    <row r="109" spans="13:25" x14ac:dyDescent="0.25">
      <c r="M109" s="7">
        <v>40337</v>
      </c>
      <c r="N109" s="8" t="s">
        <v>773</v>
      </c>
      <c r="O109" s="8">
        <v>12</v>
      </c>
      <c r="P109" s="8">
        <v>5.7</v>
      </c>
      <c r="V109" s="7">
        <v>40624</v>
      </c>
      <c r="W109" s="8" t="s">
        <v>3</v>
      </c>
      <c r="X109" s="8" t="s">
        <v>1425</v>
      </c>
      <c r="Y109" s="8">
        <v>15</v>
      </c>
    </row>
    <row r="110" spans="13:25" x14ac:dyDescent="0.25">
      <c r="M110" s="7">
        <v>40338</v>
      </c>
      <c r="N110" s="8" t="s">
        <v>772</v>
      </c>
      <c r="O110" s="8">
        <v>25</v>
      </c>
      <c r="P110" s="8">
        <v>6.1</v>
      </c>
      <c r="V110" s="7">
        <v>40676</v>
      </c>
      <c r="W110" s="8" t="s">
        <v>1424</v>
      </c>
      <c r="X110" s="8" t="s">
        <v>1417</v>
      </c>
      <c r="Y110" s="8">
        <v>6</v>
      </c>
    </row>
    <row r="111" spans="13:25" x14ac:dyDescent="0.25">
      <c r="M111" s="7">
        <v>40339</v>
      </c>
      <c r="N111" s="8" t="s">
        <v>767</v>
      </c>
      <c r="O111" s="8">
        <v>13</v>
      </c>
      <c r="P111" s="8">
        <v>2.1</v>
      </c>
      <c r="V111" s="7">
        <v>40338</v>
      </c>
      <c r="W111" s="8" t="s">
        <v>135</v>
      </c>
      <c r="X111" s="8" t="s">
        <v>1427</v>
      </c>
      <c r="Y111" s="8">
        <v>7</v>
      </c>
    </row>
    <row r="112" spans="13:25" x14ac:dyDescent="0.25">
      <c r="M112" s="7">
        <v>40340</v>
      </c>
      <c r="N112" s="8" t="s">
        <v>772</v>
      </c>
      <c r="O112" s="8">
        <v>10</v>
      </c>
      <c r="P112" s="8">
        <v>6.2</v>
      </c>
      <c r="V112" s="7">
        <v>40766</v>
      </c>
      <c r="W112" s="8" t="s">
        <v>3</v>
      </c>
      <c r="X112" s="8" t="s">
        <v>1417</v>
      </c>
      <c r="Y112" s="8">
        <v>20</v>
      </c>
    </row>
    <row r="113" spans="13:25" x14ac:dyDescent="0.25">
      <c r="M113" s="7">
        <v>40343</v>
      </c>
      <c r="N113" s="8" t="s">
        <v>767</v>
      </c>
      <c r="O113" s="8">
        <v>9</v>
      </c>
      <c r="P113" s="8">
        <v>2.1</v>
      </c>
      <c r="V113" s="7">
        <v>40600</v>
      </c>
      <c r="W113" s="8" t="s">
        <v>3</v>
      </c>
      <c r="X113" s="8" t="s">
        <v>1415</v>
      </c>
      <c r="Y113" s="8">
        <v>7</v>
      </c>
    </row>
    <row r="114" spans="13:25" x14ac:dyDescent="0.25">
      <c r="M114" s="7">
        <v>40344</v>
      </c>
      <c r="N114" s="8" t="s">
        <v>770</v>
      </c>
      <c r="O114" s="8">
        <v>18</v>
      </c>
      <c r="P114" s="8">
        <v>4.3</v>
      </c>
      <c r="V114" s="7">
        <v>40313</v>
      </c>
      <c r="W114" s="8" t="s">
        <v>4</v>
      </c>
      <c r="X114" s="8" t="s">
        <v>1415</v>
      </c>
      <c r="Y114" s="8">
        <v>24</v>
      </c>
    </row>
    <row r="115" spans="13:25" x14ac:dyDescent="0.25">
      <c r="M115" s="7">
        <v>40345</v>
      </c>
      <c r="N115" s="8" t="s">
        <v>769</v>
      </c>
      <c r="O115" s="8">
        <v>24</v>
      </c>
      <c r="P115" s="8">
        <v>3.9</v>
      </c>
      <c r="V115" s="7">
        <v>40555</v>
      </c>
      <c r="W115" s="8" t="s">
        <v>1424</v>
      </c>
      <c r="X115" s="8" t="s">
        <v>1415</v>
      </c>
      <c r="Y115" s="8">
        <v>16</v>
      </c>
    </row>
    <row r="116" spans="13:25" x14ac:dyDescent="0.25">
      <c r="M116" s="7">
        <v>40346</v>
      </c>
      <c r="N116" s="8" t="s">
        <v>775</v>
      </c>
      <c r="O116" s="8">
        <v>18</v>
      </c>
      <c r="P116" s="8">
        <v>10.1</v>
      </c>
      <c r="V116" s="7">
        <v>40939</v>
      </c>
      <c r="W116" s="8" t="s">
        <v>1421</v>
      </c>
      <c r="X116" s="8" t="s">
        <v>1426</v>
      </c>
      <c r="Y116" s="8">
        <v>20</v>
      </c>
    </row>
    <row r="117" spans="13:25" x14ac:dyDescent="0.25">
      <c r="M117" s="7">
        <v>40347</v>
      </c>
      <c r="N117" s="8" t="s">
        <v>767</v>
      </c>
      <c r="O117" s="8">
        <v>15</v>
      </c>
      <c r="P117" s="8">
        <v>2.7</v>
      </c>
      <c r="V117" s="7">
        <v>40683</v>
      </c>
      <c r="W117" s="8" t="s">
        <v>1424</v>
      </c>
      <c r="X117" s="8" t="s">
        <v>1415</v>
      </c>
      <c r="Y117" s="8">
        <v>23</v>
      </c>
    </row>
    <row r="118" spans="13:25" x14ac:dyDescent="0.25">
      <c r="M118" s="7">
        <v>40350</v>
      </c>
      <c r="N118" s="8" t="s">
        <v>773</v>
      </c>
      <c r="O118" s="8">
        <v>17</v>
      </c>
      <c r="P118" s="8">
        <v>5.9</v>
      </c>
      <c r="V118" s="7">
        <v>40979</v>
      </c>
      <c r="W118" s="8" t="s">
        <v>4</v>
      </c>
      <c r="X118" s="8" t="s">
        <v>1422</v>
      </c>
      <c r="Y118" s="8">
        <v>13</v>
      </c>
    </row>
    <row r="119" spans="13:25" x14ac:dyDescent="0.25">
      <c r="M119" s="7">
        <v>40351</v>
      </c>
      <c r="N119" s="8" t="s">
        <v>773</v>
      </c>
      <c r="O119" s="8">
        <v>25</v>
      </c>
      <c r="P119" s="8">
        <v>5.5</v>
      </c>
      <c r="V119" s="7">
        <v>40567</v>
      </c>
      <c r="W119" s="8" t="s">
        <v>7</v>
      </c>
      <c r="X119" s="8" t="s">
        <v>1415</v>
      </c>
      <c r="Y119" s="8">
        <v>23</v>
      </c>
    </row>
    <row r="120" spans="13:25" x14ac:dyDescent="0.25">
      <c r="M120" s="7">
        <v>40352</v>
      </c>
      <c r="N120" s="8" t="s">
        <v>769</v>
      </c>
      <c r="O120" s="8">
        <v>19</v>
      </c>
      <c r="P120" s="8">
        <v>3.1</v>
      </c>
      <c r="V120" s="7">
        <v>40896</v>
      </c>
      <c r="W120" s="8" t="s">
        <v>7</v>
      </c>
      <c r="X120" s="8" t="s">
        <v>1415</v>
      </c>
      <c r="Y120" s="8">
        <v>16</v>
      </c>
    </row>
    <row r="121" spans="13:25" x14ac:dyDescent="0.25">
      <c r="M121" s="7">
        <v>40353</v>
      </c>
      <c r="N121" s="8" t="s">
        <v>768</v>
      </c>
      <c r="O121" s="8">
        <v>15</v>
      </c>
      <c r="P121" s="8">
        <v>5.3</v>
      </c>
      <c r="V121" s="7">
        <v>40447</v>
      </c>
      <c r="W121" s="8" t="s">
        <v>3</v>
      </c>
      <c r="X121" s="8" t="s">
        <v>1415</v>
      </c>
      <c r="Y121" s="8">
        <v>5</v>
      </c>
    </row>
    <row r="122" spans="13:25" x14ac:dyDescent="0.25">
      <c r="M122" s="7">
        <v>40354</v>
      </c>
      <c r="N122" s="8" t="s">
        <v>774</v>
      </c>
      <c r="O122" s="8">
        <v>24</v>
      </c>
      <c r="P122" s="8">
        <v>8.9</v>
      </c>
      <c r="V122" s="7">
        <v>40925</v>
      </c>
      <c r="W122" s="8" t="s">
        <v>7</v>
      </c>
      <c r="X122" s="8" t="s">
        <v>1417</v>
      </c>
      <c r="Y122" s="8">
        <v>20</v>
      </c>
    </row>
    <row r="123" spans="13:25" x14ac:dyDescent="0.25">
      <c r="M123" s="7">
        <v>40357</v>
      </c>
      <c r="N123" s="8" t="s">
        <v>771</v>
      </c>
      <c r="O123" s="8">
        <v>10</v>
      </c>
      <c r="P123" s="8">
        <v>5.8</v>
      </c>
      <c r="V123" s="7">
        <v>40913</v>
      </c>
      <c r="W123" s="8" t="s">
        <v>1424</v>
      </c>
      <c r="X123" s="8" t="s">
        <v>1426</v>
      </c>
      <c r="Y123" s="8">
        <v>23</v>
      </c>
    </row>
    <row r="124" spans="13:25" x14ac:dyDescent="0.25">
      <c r="M124" s="7">
        <v>40358</v>
      </c>
      <c r="N124" s="8" t="s">
        <v>774</v>
      </c>
      <c r="O124" s="8">
        <v>7</v>
      </c>
      <c r="P124" s="8">
        <v>8</v>
      </c>
      <c r="V124" s="7">
        <v>40360</v>
      </c>
      <c r="W124" s="8" t="s">
        <v>3</v>
      </c>
      <c r="X124" s="8" t="s">
        <v>1415</v>
      </c>
      <c r="Y124" s="8">
        <v>9</v>
      </c>
    </row>
    <row r="125" spans="13:25" x14ac:dyDescent="0.25">
      <c r="M125" s="7">
        <v>40359</v>
      </c>
      <c r="N125" s="8" t="s">
        <v>775</v>
      </c>
      <c r="O125" s="8">
        <v>17</v>
      </c>
      <c r="P125" s="8">
        <v>10.1</v>
      </c>
      <c r="V125" s="7">
        <v>40377</v>
      </c>
      <c r="W125" s="8" t="s">
        <v>7</v>
      </c>
      <c r="X125" s="8" t="s">
        <v>1415</v>
      </c>
      <c r="Y125" s="8">
        <v>8</v>
      </c>
    </row>
    <row r="126" spans="13:25" x14ac:dyDescent="0.25">
      <c r="M126" s="7">
        <v>40360</v>
      </c>
      <c r="N126" s="8" t="s">
        <v>773</v>
      </c>
      <c r="O126" s="8">
        <v>10</v>
      </c>
      <c r="P126" s="8">
        <v>5.5</v>
      </c>
      <c r="V126" s="7">
        <v>40570</v>
      </c>
      <c r="W126" s="8" t="s">
        <v>3</v>
      </c>
      <c r="X126" s="8" t="s">
        <v>1422</v>
      </c>
      <c r="Y126" s="8">
        <v>7</v>
      </c>
    </row>
    <row r="127" spans="13:25" x14ac:dyDescent="0.25">
      <c r="M127" s="7">
        <v>40361</v>
      </c>
      <c r="N127" s="8" t="s">
        <v>771</v>
      </c>
      <c r="O127" s="8">
        <v>23</v>
      </c>
      <c r="P127" s="8">
        <v>5.0999999999999996</v>
      </c>
      <c r="V127" s="7">
        <v>40985</v>
      </c>
      <c r="W127" s="8" t="s">
        <v>1424</v>
      </c>
      <c r="X127" s="8" t="s">
        <v>1426</v>
      </c>
      <c r="Y127" s="8">
        <v>20</v>
      </c>
    </row>
    <row r="128" spans="13:25" x14ac:dyDescent="0.25">
      <c r="M128" s="7">
        <v>40364</v>
      </c>
      <c r="N128" s="8" t="s">
        <v>768</v>
      </c>
      <c r="O128" s="8">
        <v>16</v>
      </c>
      <c r="P128" s="8">
        <v>5.5</v>
      </c>
      <c r="V128" s="7">
        <v>40374</v>
      </c>
      <c r="W128" s="8" t="s">
        <v>4</v>
      </c>
      <c r="X128" s="8" t="s">
        <v>1425</v>
      </c>
      <c r="Y128" s="8">
        <v>14</v>
      </c>
    </row>
    <row r="129" spans="13:25" x14ac:dyDescent="0.25">
      <c r="M129" s="7">
        <v>40365</v>
      </c>
      <c r="N129" s="8" t="s">
        <v>772</v>
      </c>
      <c r="O129" s="8">
        <v>23</v>
      </c>
      <c r="P129" s="8">
        <v>6.5</v>
      </c>
      <c r="V129" s="7">
        <v>40505</v>
      </c>
      <c r="W129" s="8" t="s">
        <v>3</v>
      </c>
      <c r="X129" s="8" t="s">
        <v>1427</v>
      </c>
      <c r="Y129" s="8">
        <v>22</v>
      </c>
    </row>
    <row r="130" spans="13:25" x14ac:dyDescent="0.25">
      <c r="M130" s="7">
        <v>40366</v>
      </c>
      <c r="N130" s="8" t="s">
        <v>771</v>
      </c>
      <c r="O130" s="8">
        <v>25</v>
      </c>
      <c r="P130" s="8">
        <v>5</v>
      </c>
      <c r="V130" s="7">
        <v>40787</v>
      </c>
      <c r="W130" s="8" t="s">
        <v>7</v>
      </c>
      <c r="X130" s="8" t="s">
        <v>1425</v>
      </c>
      <c r="Y130" s="8">
        <v>21</v>
      </c>
    </row>
    <row r="131" spans="13:25" x14ac:dyDescent="0.25">
      <c r="M131" s="7">
        <v>40367</v>
      </c>
      <c r="N131" s="8" t="s">
        <v>770</v>
      </c>
      <c r="O131" s="8">
        <v>8</v>
      </c>
      <c r="P131" s="8">
        <v>4.8</v>
      </c>
      <c r="V131" s="7">
        <v>40969</v>
      </c>
      <c r="W131" s="8" t="s">
        <v>1421</v>
      </c>
      <c r="X131" s="8" t="s">
        <v>1426</v>
      </c>
      <c r="Y131" s="8">
        <v>17</v>
      </c>
    </row>
    <row r="132" spans="13:25" x14ac:dyDescent="0.25">
      <c r="M132" s="7">
        <v>40368</v>
      </c>
      <c r="N132" s="8" t="s">
        <v>772</v>
      </c>
      <c r="O132" s="8">
        <v>8</v>
      </c>
      <c r="P132" s="8">
        <v>6.9</v>
      </c>
      <c r="V132" s="7">
        <v>40521</v>
      </c>
      <c r="W132" s="8" t="s">
        <v>4</v>
      </c>
      <c r="X132" s="8" t="s">
        <v>1417</v>
      </c>
      <c r="Y132" s="8">
        <v>13</v>
      </c>
    </row>
    <row r="133" spans="13:25" x14ac:dyDescent="0.25">
      <c r="M133" s="7">
        <v>40371</v>
      </c>
      <c r="N133" s="8" t="s">
        <v>773</v>
      </c>
      <c r="O133" s="8">
        <v>9</v>
      </c>
      <c r="P133" s="8">
        <v>5</v>
      </c>
      <c r="V133" s="7">
        <v>40691</v>
      </c>
      <c r="W133" s="8" t="s">
        <v>3</v>
      </c>
      <c r="X133" s="8" t="s">
        <v>1427</v>
      </c>
      <c r="Y133" s="8">
        <v>11</v>
      </c>
    </row>
    <row r="134" spans="13:25" x14ac:dyDescent="0.25">
      <c r="M134" s="7">
        <v>40372</v>
      </c>
      <c r="N134" s="8" t="s">
        <v>769</v>
      </c>
      <c r="O134" s="8">
        <v>23</v>
      </c>
      <c r="P134" s="8">
        <v>3.7</v>
      </c>
      <c r="V134" s="7">
        <v>40517</v>
      </c>
      <c r="W134" s="8" t="s">
        <v>135</v>
      </c>
      <c r="X134" s="8" t="s">
        <v>1417</v>
      </c>
      <c r="Y134" s="8">
        <v>17</v>
      </c>
    </row>
    <row r="135" spans="13:25" x14ac:dyDescent="0.25">
      <c r="M135" s="7">
        <v>40373</v>
      </c>
      <c r="N135" s="8" t="s">
        <v>768</v>
      </c>
      <c r="O135" s="8">
        <v>16</v>
      </c>
      <c r="P135" s="8">
        <v>5.9</v>
      </c>
      <c r="V135" s="7">
        <v>40817</v>
      </c>
      <c r="W135" s="8" t="s">
        <v>7</v>
      </c>
      <c r="X135" s="8" t="s">
        <v>1417</v>
      </c>
      <c r="Y135" s="8">
        <v>23</v>
      </c>
    </row>
    <row r="136" spans="13:25" x14ac:dyDescent="0.25">
      <c r="M136" s="7">
        <v>40374</v>
      </c>
      <c r="N136" s="8" t="s">
        <v>775</v>
      </c>
      <c r="O136" s="8">
        <v>9</v>
      </c>
      <c r="P136" s="8">
        <v>10.9</v>
      </c>
      <c r="V136" s="7">
        <v>40691</v>
      </c>
      <c r="W136" s="8" t="s">
        <v>7</v>
      </c>
      <c r="X136" s="8" t="s">
        <v>1422</v>
      </c>
      <c r="Y136" s="8">
        <v>18</v>
      </c>
    </row>
    <row r="137" spans="13:25" x14ac:dyDescent="0.25">
      <c r="M137" s="7">
        <v>40375</v>
      </c>
      <c r="N137" s="8" t="s">
        <v>770</v>
      </c>
      <c r="O137" s="8">
        <v>20</v>
      </c>
      <c r="P137" s="8">
        <v>4.7</v>
      </c>
      <c r="V137" s="7">
        <v>40660</v>
      </c>
      <c r="W137" s="8" t="s">
        <v>7</v>
      </c>
      <c r="X137" s="8" t="s">
        <v>1425</v>
      </c>
      <c r="Y137" s="8">
        <v>4</v>
      </c>
    </row>
    <row r="138" spans="13:25" x14ac:dyDescent="0.25">
      <c r="M138" s="7">
        <v>40378</v>
      </c>
      <c r="N138" s="8" t="s">
        <v>770</v>
      </c>
      <c r="O138" s="8">
        <v>6</v>
      </c>
      <c r="P138" s="8">
        <v>4.7</v>
      </c>
      <c r="V138" s="7">
        <v>40670</v>
      </c>
      <c r="W138" s="8" t="s">
        <v>3</v>
      </c>
      <c r="X138" s="8" t="s">
        <v>1427</v>
      </c>
      <c r="Y138" s="8">
        <v>14</v>
      </c>
    </row>
    <row r="139" spans="13:25" x14ac:dyDescent="0.25">
      <c r="M139" s="7">
        <v>40379</v>
      </c>
      <c r="N139" s="8" t="s">
        <v>773</v>
      </c>
      <c r="O139" s="8">
        <v>8</v>
      </c>
      <c r="P139" s="8">
        <v>5.0999999999999996</v>
      </c>
      <c r="V139" s="7">
        <v>40920</v>
      </c>
      <c r="W139" s="8" t="s">
        <v>3</v>
      </c>
      <c r="X139" s="8" t="s">
        <v>1415</v>
      </c>
      <c r="Y139" s="8">
        <v>5</v>
      </c>
    </row>
    <row r="140" spans="13:25" x14ac:dyDescent="0.25">
      <c r="M140" s="7">
        <v>40380</v>
      </c>
      <c r="N140" s="8" t="s">
        <v>769</v>
      </c>
      <c r="O140" s="8">
        <v>15</v>
      </c>
      <c r="P140" s="8">
        <v>3.6</v>
      </c>
      <c r="V140" s="7">
        <v>40589</v>
      </c>
      <c r="W140" s="8" t="s">
        <v>1421</v>
      </c>
      <c r="X140" s="8" t="s">
        <v>1417</v>
      </c>
      <c r="Y140" s="8">
        <v>12</v>
      </c>
    </row>
    <row r="141" spans="13:25" x14ac:dyDescent="0.25">
      <c r="M141" s="7">
        <v>40381</v>
      </c>
      <c r="N141" s="8" t="s">
        <v>775</v>
      </c>
      <c r="O141" s="8">
        <v>11</v>
      </c>
      <c r="P141" s="8">
        <v>10.4</v>
      </c>
      <c r="V141" s="7">
        <v>40479</v>
      </c>
      <c r="W141" s="8" t="s">
        <v>7</v>
      </c>
      <c r="X141" s="8" t="s">
        <v>1425</v>
      </c>
      <c r="Y141" s="8">
        <v>15</v>
      </c>
    </row>
    <row r="142" spans="13:25" x14ac:dyDescent="0.25">
      <c r="M142" s="7">
        <v>40382</v>
      </c>
      <c r="N142" s="8" t="s">
        <v>771</v>
      </c>
      <c r="O142" s="8">
        <v>12</v>
      </c>
      <c r="P142" s="8">
        <v>5.2</v>
      </c>
      <c r="V142" s="7">
        <v>40762</v>
      </c>
      <c r="W142" s="8" t="s">
        <v>4</v>
      </c>
      <c r="X142" s="8" t="s">
        <v>1415</v>
      </c>
      <c r="Y142" s="8">
        <v>12</v>
      </c>
    </row>
    <row r="143" spans="13:25" x14ac:dyDescent="0.25">
      <c r="M143" s="7">
        <v>40385</v>
      </c>
      <c r="N143" s="8" t="s">
        <v>770</v>
      </c>
      <c r="O143" s="8">
        <v>6</v>
      </c>
      <c r="P143" s="8">
        <v>4.9000000000000004</v>
      </c>
      <c r="V143" s="7">
        <v>40775</v>
      </c>
      <c r="W143" s="8" t="s">
        <v>1424</v>
      </c>
      <c r="X143" s="8" t="s">
        <v>1426</v>
      </c>
      <c r="Y143" s="8">
        <v>1</v>
      </c>
    </row>
    <row r="144" spans="13:25" x14ac:dyDescent="0.25">
      <c r="M144" s="7">
        <v>40386</v>
      </c>
      <c r="N144" s="8" t="s">
        <v>769</v>
      </c>
      <c r="O144" s="8">
        <v>9</v>
      </c>
      <c r="P144" s="8">
        <v>3.5</v>
      </c>
      <c r="V144" s="7">
        <v>40529</v>
      </c>
      <c r="W144" s="8" t="s">
        <v>4</v>
      </c>
      <c r="X144" s="8" t="s">
        <v>1427</v>
      </c>
      <c r="Y144" s="8">
        <v>5</v>
      </c>
    </row>
    <row r="145" spans="13:25" x14ac:dyDescent="0.25">
      <c r="M145" s="7">
        <v>40387</v>
      </c>
      <c r="N145" s="8" t="s">
        <v>767</v>
      </c>
      <c r="O145" s="8">
        <v>21</v>
      </c>
      <c r="P145" s="8">
        <v>2.9</v>
      </c>
      <c r="V145" s="7">
        <v>40725</v>
      </c>
      <c r="W145" s="8" t="s">
        <v>1424</v>
      </c>
      <c r="X145" s="8" t="s">
        <v>1427</v>
      </c>
      <c r="Y145" s="8">
        <v>22</v>
      </c>
    </row>
    <row r="146" spans="13:25" x14ac:dyDescent="0.25">
      <c r="M146" s="7">
        <v>40388</v>
      </c>
      <c r="N146" s="8" t="s">
        <v>770</v>
      </c>
      <c r="O146" s="8">
        <v>15</v>
      </c>
      <c r="P146" s="8">
        <v>4.2</v>
      </c>
      <c r="V146" s="7">
        <v>40840</v>
      </c>
      <c r="W146" s="8" t="s">
        <v>3</v>
      </c>
      <c r="X146" s="8" t="s">
        <v>1422</v>
      </c>
      <c r="Y146" s="8">
        <v>19</v>
      </c>
    </row>
    <row r="147" spans="13:25" x14ac:dyDescent="0.25">
      <c r="M147" s="7">
        <v>40389</v>
      </c>
      <c r="N147" s="8" t="s">
        <v>771</v>
      </c>
      <c r="O147" s="8">
        <v>25</v>
      </c>
      <c r="P147" s="8">
        <v>5.4</v>
      </c>
      <c r="V147" s="7">
        <v>40811</v>
      </c>
      <c r="W147" s="8" t="s">
        <v>1421</v>
      </c>
      <c r="X147" s="8" t="s">
        <v>1427</v>
      </c>
      <c r="Y147" s="8">
        <v>15</v>
      </c>
    </row>
    <row r="148" spans="13:25" x14ac:dyDescent="0.25">
      <c r="M148" s="7">
        <v>40392</v>
      </c>
      <c r="N148" s="8" t="s">
        <v>767</v>
      </c>
      <c r="O148" s="8">
        <v>13</v>
      </c>
      <c r="P148" s="8">
        <v>2.4</v>
      </c>
      <c r="V148" s="7">
        <v>40953</v>
      </c>
      <c r="W148" s="8" t="s">
        <v>1421</v>
      </c>
      <c r="X148" s="8" t="s">
        <v>1415</v>
      </c>
      <c r="Y148" s="8">
        <v>9</v>
      </c>
    </row>
    <row r="149" spans="13:25" x14ac:dyDescent="0.25">
      <c r="M149" s="7">
        <v>40393</v>
      </c>
      <c r="N149" s="8" t="s">
        <v>773</v>
      </c>
      <c r="O149" s="8">
        <v>8</v>
      </c>
      <c r="P149" s="8">
        <v>5.7</v>
      </c>
      <c r="V149" s="7">
        <v>40394</v>
      </c>
      <c r="W149" s="8" t="s">
        <v>1424</v>
      </c>
      <c r="X149" s="8" t="s">
        <v>1422</v>
      </c>
      <c r="Y149" s="8">
        <v>14</v>
      </c>
    </row>
    <row r="150" spans="13:25" x14ac:dyDescent="0.25">
      <c r="M150" s="7">
        <v>40394</v>
      </c>
      <c r="N150" s="8" t="s">
        <v>772</v>
      </c>
      <c r="O150" s="8">
        <v>13</v>
      </c>
      <c r="P150" s="8">
        <v>6.2</v>
      </c>
      <c r="V150" s="7">
        <v>40534</v>
      </c>
      <c r="W150" s="8" t="s">
        <v>4</v>
      </c>
      <c r="X150" s="8" t="s">
        <v>1426</v>
      </c>
      <c r="Y150" s="8">
        <v>1</v>
      </c>
    </row>
    <row r="151" spans="13:25" x14ac:dyDescent="0.25">
      <c r="M151" s="7">
        <v>40395</v>
      </c>
      <c r="N151" s="8" t="s">
        <v>773</v>
      </c>
      <c r="O151" s="8">
        <v>9</v>
      </c>
      <c r="P151" s="8">
        <v>5.2</v>
      </c>
      <c r="V151" s="7">
        <v>40322</v>
      </c>
      <c r="W151" s="8" t="s">
        <v>4</v>
      </c>
      <c r="X151" s="8" t="s">
        <v>1427</v>
      </c>
      <c r="Y151" s="8">
        <v>25</v>
      </c>
    </row>
    <row r="152" spans="13:25" x14ac:dyDescent="0.25">
      <c r="M152" s="7">
        <v>40396</v>
      </c>
      <c r="N152" s="8" t="s">
        <v>769</v>
      </c>
      <c r="O152" s="8">
        <v>23</v>
      </c>
      <c r="P152" s="8">
        <v>3.9</v>
      </c>
      <c r="V152" s="7">
        <v>40722</v>
      </c>
      <c r="W152" s="8" t="s">
        <v>3</v>
      </c>
      <c r="X152" s="8" t="s">
        <v>1422</v>
      </c>
      <c r="Y152" s="8">
        <v>22</v>
      </c>
    </row>
    <row r="153" spans="13:25" x14ac:dyDescent="0.25">
      <c r="M153" s="7">
        <v>40399</v>
      </c>
      <c r="N153" s="8" t="s">
        <v>773</v>
      </c>
      <c r="O153" s="8">
        <v>20</v>
      </c>
      <c r="P153" s="8">
        <v>5.2</v>
      </c>
      <c r="V153" s="7">
        <v>40351</v>
      </c>
      <c r="W153" s="8" t="s">
        <v>135</v>
      </c>
      <c r="X153" s="8" t="s">
        <v>1427</v>
      </c>
      <c r="Y153" s="8">
        <v>19</v>
      </c>
    </row>
    <row r="154" spans="13:25" x14ac:dyDescent="0.25">
      <c r="M154" s="7">
        <v>40400</v>
      </c>
      <c r="N154" s="8" t="s">
        <v>772</v>
      </c>
      <c r="O154" s="8">
        <v>8</v>
      </c>
      <c r="P154" s="8">
        <v>6</v>
      </c>
      <c r="V154" s="7">
        <v>40912</v>
      </c>
      <c r="W154" s="8" t="s">
        <v>1424</v>
      </c>
      <c r="X154" s="8" t="s">
        <v>1427</v>
      </c>
      <c r="Y154" s="8">
        <v>1</v>
      </c>
    </row>
    <row r="155" spans="13:25" x14ac:dyDescent="0.25">
      <c r="M155" s="7">
        <v>40401</v>
      </c>
      <c r="N155" s="8" t="s">
        <v>774</v>
      </c>
      <c r="O155" s="8">
        <v>21</v>
      </c>
      <c r="P155" s="8">
        <v>8.5</v>
      </c>
      <c r="V155" s="7">
        <v>40891</v>
      </c>
      <c r="W155" s="8" t="s">
        <v>3</v>
      </c>
      <c r="X155" s="8" t="s">
        <v>1422</v>
      </c>
      <c r="Y155" s="8">
        <v>14</v>
      </c>
    </row>
    <row r="156" spans="13:25" x14ac:dyDescent="0.25">
      <c r="M156" s="7">
        <v>40402</v>
      </c>
      <c r="N156" s="8" t="s">
        <v>775</v>
      </c>
      <c r="O156" s="8">
        <v>20</v>
      </c>
      <c r="P156" s="8">
        <v>10.5</v>
      </c>
      <c r="V156" s="7">
        <v>40755</v>
      </c>
      <c r="W156" s="8" t="s">
        <v>3</v>
      </c>
      <c r="X156" s="8" t="s">
        <v>1415</v>
      </c>
      <c r="Y156" s="8">
        <v>2</v>
      </c>
    </row>
    <row r="157" spans="13:25" x14ac:dyDescent="0.25">
      <c r="M157" s="7">
        <v>40403</v>
      </c>
      <c r="N157" s="8" t="s">
        <v>774</v>
      </c>
      <c r="O157" s="8">
        <v>17</v>
      </c>
      <c r="P157" s="8">
        <v>8.9</v>
      </c>
      <c r="V157" s="7">
        <v>40703</v>
      </c>
      <c r="W157" s="8" t="s">
        <v>135</v>
      </c>
      <c r="X157" s="8" t="s">
        <v>1415</v>
      </c>
      <c r="Y157" s="8">
        <v>20</v>
      </c>
    </row>
    <row r="158" spans="13:25" x14ac:dyDescent="0.25">
      <c r="M158" s="7">
        <v>40406</v>
      </c>
      <c r="N158" s="8" t="s">
        <v>774</v>
      </c>
      <c r="O158" s="8">
        <v>22</v>
      </c>
      <c r="P158" s="8">
        <v>8.1999999999999993</v>
      </c>
      <c r="V158" s="7">
        <v>40535</v>
      </c>
      <c r="W158" s="8" t="s">
        <v>1424</v>
      </c>
      <c r="X158" s="8" t="s">
        <v>1422</v>
      </c>
      <c r="Y158" s="8">
        <v>4</v>
      </c>
    </row>
    <row r="159" spans="13:25" x14ac:dyDescent="0.25">
      <c r="M159" s="7">
        <v>40407</v>
      </c>
      <c r="N159" s="8" t="s">
        <v>769</v>
      </c>
      <c r="O159" s="8">
        <v>7</v>
      </c>
      <c r="P159" s="8">
        <v>3.6</v>
      </c>
      <c r="V159" s="7">
        <v>40849</v>
      </c>
      <c r="W159" s="8" t="s">
        <v>1424</v>
      </c>
      <c r="X159" s="8" t="s">
        <v>1417</v>
      </c>
      <c r="Y159" s="8">
        <v>14</v>
      </c>
    </row>
    <row r="160" spans="13:25" x14ac:dyDescent="0.25">
      <c r="M160" s="7">
        <v>40408</v>
      </c>
      <c r="N160" s="8" t="s">
        <v>773</v>
      </c>
      <c r="O160" s="8">
        <v>10</v>
      </c>
      <c r="P160" s="8">
        <v>5.9</v>
      </c>
      <c r="V160" s="7">
        <v>40587</v>
      </c>
      <c r="W160" s="8" t="s">
        <v>1424</v>
      </c>
      <c r="X160" s="8" t="s">
        <v>1415</v>
      </c>
      <c r="Y160" s="8">
        <v>9</v>
      </c>
    </row>
    <row r="161" spans="13:25" x14ac:dyDescent="0.25">
      <c r="M161" s="7">
        <v>40409</v>
      </c>
      <c r="N161" s="8" t="s">
        <v>770</v>
      </c>
      <c r="O161" s="8">
        <v>8</v>
      </c>
      <c r="P161" s="8">
        <v>4</v>
      </c>
      <c r="V161" s="7">
        <v>40612</v>
      </c>
      <c r="W161" s="8" t="s">
        <v>4</v>
      </c>
      <c r="X161" s="8" t="s">
        <v>1425</v>
      </c>
      <c r="Y161" s="8">
        <v>4</v>
      </c>
    </row>
    <row r="162" spans="13:25" x14ac:dyDescent="0.25">
      <c r="M162" s="7">
        <v>40410</v>
      </c>
      <c r="N162" s="8" t="s">
        <v>773</v>
      </c>
      <c r="O162" s="8">
        <v>6</v>
      </c>
      <c r="P162" s="8">
        <v>5.9</v>
      </c>
      <c r="V162" s="7">
        <v>40714</v>
      </c>
      <c r="W162" s="8" t="s">
        <v>135</v>
      </c>
      <c r="X162" s="8" t="s">
        <v>1426</v>
      </c>
      <c r="Y162" s="8">
        <v>17</v>
      </c>
    </row>
    <row r="163" spans="13:25" x14ac:dyDescent="0.25">
      <c r="M163" s="7">
        <v>40413</v>
      </c>
      <c r="N163" s="8" t="s">
        <v>771</v>
      </c>
      <c r="O163" s="8">
        <v>11</v>
      </c>
      <c r="P163" s="8">
        <v>5.5</v>
      </c>
      <c r="V163" s="7">
        <v>40834</v>
      </c>
      <c r="W163" s="8" t="s">
        <v>1424</v>
      </c>
      <c r="X163" s="8" t="s">
        <v>1426</v>
      </c>
      <c r="Y163" s="8">
        <v>23</v>
      </c>
    </row>
    <row r="164" spans="13:25" x14ac:dyDescent="0.25">
      <c r="M164" s="7">
        <v>40414</v>
      </c>
      <c r="N164" s="8" t="s">
        <v>768</v>
      </c>
      <c r="O164" s="8">
        <v>20</v>
      </c>
      <c r="P164" s="8">
        <v>5.3</v>
      </c>
      <c r="V164" s="7">
        <v>40347</v>
      </c>
      <c r="W164" s="8" t="s">
        <v>135</v>
      </c>
      <c r="X164" s="8" t="s">
        <v>1422</v>
      </c>
      <c r="Y164" s="8">
        <v>2</v>
      </c>
    </row>
    <row r="165" spans="13:25" x14ac:dyDescent="0.25">
      <c r="M165" s="7">
        <v>40415</v>
      </c>
      <c r="N165" s="8" t="s">
        <v>772</v>
      </c>
      <c r="O165" s="8">
        <v>10</v>
      </c>
      <c r="P165" s="8">
        <v>6.6</v>
      </c>
      <c r="V165" s="7">
        <v>40797</v>
      </c>
      <c r="W165" s="8" t="s">
        <v>3</v>
      </c>
      <c r="X165" s="8" t="s">
        <v>1426</v>
      </c>
      <c r="Y165" s="8">
        <v>20</v>
      </c>
    </row>
    <row r="166" spans="13:25" x14ac:dyDescent="0.25">
      <c r="M166" s="7">
        <v>40416</v>
      </c>
      <c r="N166" s="8" t="s">
        <v>773</v>
      </c>
      <c r="O166" s="8">
        <v>11</v>
      </c>
      <c r="P166" s="8">
        <v>5.2</v>
      </c>
      <c r="V166" s="7">
        <v>40785</v>
      </c>
      <c r="W166" s="8" t="s">
        <v>7</v>
      </c>
      <c r="X166" s="8" t="s">
        <v>1417</v>
      </c>
      <c r="Y166" s="8">
        <v>1</v>
      </c>
    </row>
    <row r="167" spans="13:25" x14ac:dyDescent="0.25">
      <c r="V167" s="7">
        <v>40440</v>
      </c>
      <c r="W167" s="8" t="s">
        <v>7</v>
      </c>
      <c r="X167" s="8" t="s">
        <v>1422</v>
      </c>
      <c r="Y167" s="8">
        <v>4</v>
      </c>
    </row>
    <row r="168" spans="13:25" x14ac:dyDescent="0.25">
      <c r="V168" s="7">
        <v>40618</v>
      </c>
      <c r="W168" s="8" t="s">
        <v>3</v>
      </c>
      <c r="X168" s="8" t="s">
        <v>1425</v>
      </c>
      <c r="Y168" s="8">
        <v>17</v>
      </c>
    </row>
    <row r="169" spans="13:25" x14ac:dyDescent="0.25">
      <c r="V169" s="7">
        <v>40689</v>
      </c>
      <c r="W169" s="8" t="s">
        <v>135</v>
      </c>
      <c r="X169" s="8" t="s">
        <v>1415</v>
      </c>
      <c r="Y169" s="8">
        <v>8</v>
      </c>
    </row>
    <row r="170" spans="13:25" x14ac:dyDescent="0.25">
      <c r="V170" s="7">
        <v>40900</v>
      </c>
      <c r="W170" s="8" t="s">
        <v>4</v>
      </c>
      <c r="X170" s="8" t="s">
        <v>1422</v>
      </c>
      <c r="Y170" s="8">
        <v>4</v>
      </c>
    </row>
    <row r="171" spans="13:25" x14ac:dyDescent="0.25">
      <c r="V171" s="7">
        <v>40961</v>
      </c>
      <c r="W171" s="8" t="s">
        <v>3</v>
      </c>
      <c r="X171" s="8" t="s">
        <v>1415</v>
      </c>
      <c r="Y171" s="8">
        <v>18</v>
      </c>
    </row>
    <row r="172" spans="13:25" x14ac:dyDescent="0.25">
      <c r="V172" s="7">
        <v>40684</v>
      </c>
      <c r="W172" s="8" t="s">
        <v>135</v>
      </c>
      <c r="X172" s="8" t="s">
        <v>1415</v>
      </c>
      <c r="Y172" s="8">
        <v>11</v>
      </c>
    </row>
    <row r="173" spans="13:25" x14ac:dyDescent="0.25">
      <c r="V173" s="7">
        <v>40463</v>
      </c>
      <c r="W173" s="8" t="s">
        <v>3</v>
      </c>
      <c r="X173" s="8" t="s">
        <v>1417</v>
      </c>
      <c r="Y173" s="8">
        <v>21</v>
      </c>
    </row>
    <row r="174" spans="13:25" x14ac:dyDescent="0.25">
      <c r="V174" s="7">
        <v>40939</v>
      </c>
      <c r="W174" s="8" t="s">
        <v>135</v>
      </c>
      <c r="X174" s="8" t="s">
        <v>1426</v>
      </c>
      <c r="Y174" s="8">
        <v>21</v>
      </c>
    </row>
    <row r="175" spans="13:25" x14ac:dyDescent="0.25">
      <c r="V175" s="7">
        <v>40338</v>
      </c>
      <c r="W175" s="8" t="s">
        <v>7</v>
      </c>
      <c r="X175" s="8" t="s">
        <v>1427</v>
      </c>
      <c r="Y175" s="8">
        <v>3</v>
      </c>
    </row>
    <row r="176" spans="13:25" x14ac:dyDescent="0.25">
      <c r="V176" s="7">
        <v>40413</v>
      </c>
      <c r="W176" s="8" t="s">
        <v>3</v>
      </c>
      <c r="X176" s="8" t="s">
        <v>1422</v>
      </c>
      <c r="Y176" s="8">
        <v>24</v>
      </c>
    </row>
    <row r="177" spans="22:25" x14ac:dyDescent="0.25">
      <c r="V177" s="7">
        <v>40453</v>
      </c>
      <c r="W177" s="8" t="s">
        <v>4</v>
      </c>
      <c r="X177" s="8" t="s">
        <v>1422</v>
      </c>
      <c r="Y177" s="8">
        <v>14</v>
      </c>
    </row>
    <row r="178" spans="22:25" x14ac:dyDescent="0.25">
      <c r="V178" s="7">
        <v>40652</v>
      </c>
      <c r="W178" s="8" t="s">
        <v>7</v>
      </c>
      <c r="X178" s="8" t="s">
        <v>1426</v>
      </c>
      <c r="Y178" s="8">
        <v>14</v>
      </c>
    </row>
    <row r="179" spans="22:25" x14ac:dyDescent="0.25">
      <c r="V179" s="7">
        <v>40509</v>
      </c>
      <c r="W179" s="8" t="s">
        <v>3</v>
      </c>
      <c r="X179" s="8" t="s">
        <v>1425</v>
      </c>
      <c r="Y179" s="8">
        <v>1</v>
      </c>
    </row>
    <row r="180" spans="22:25" x14ac:dyDescent="0.25">
      <c r="V180" s="7">
        <v>40610</v>
      </c>
      <c r="W180" s="8" t="s">
        <v>1421</v>
      </c>
      <c r="X180" s="8" t="s">
        <v>1417</v>
      </c>
      <c r="Y180" s="8">
        <v>24</v>
      </c>
    </row>
    <row r="181" spans="22:25" x14ac:dyDescent="0.25">
      <c r="V181" s="7">
        <v>40807</v>
      </c>
      <c r="W181" s="8" t="s">
        <v>1424</v>
      </c>
      <c r="X181" s="8" t="s">
        <v>1427</v>
      </c>
      <c r="Y181" s="8">
        <v>7</v>
      </c>
    </row>
    <row r="182" spans="22:25" x14ac:dyDescent="0.25">
      <c r="V182" s="7">
        <v>40333</v>
      </c>
      <c r="W182" s="8" t="s">
        <v>3</v>
      </c>
      <c r="X182" s="8" t="s">
        <v>1415</v>
      </c>
      <c r="Y182" s="8">
        <v>12</v>
      </c>
    </row>
    <row r="183" spans="22:25" x14ac:dyDescent="0.25">
      <c r="V183" s="7">
        <v>40861</v>
      </c>
      <c r="W183" s="8" t="s">
        <v>7</v>
      </c>
      <c r="X183" s="8" t="s">
        <v>1422</v>
      </c>
      <c r="Y183" s="8">
        <v>2</v>
      </c>
    </row>
    <row r="184" spans="22:25" x14ac:dyDescent="0.25">
      <c r="V184" s="7">
        <v>40387</v>
      </c>
      <c r="W184" s="8" t="s">
        <v>7</v>
      </c>
      <c r="X184" s="8" t="s">
        <v>1415</v>
      </c>
      <c r="Y184" s="8">
        <v>3</v>
      </c>
    </row>
    <row r="185" spans="22:25" x14ac:dyDescent="0.25">
      <c r="V185" s="7">
        <v>40818</v>
      </c>
      <c r="W185" s="8" t="s">
        <v>4</v>
      </c>
      <c r="X185" s="8" t="s">
        <v>1417</v>
      </c>
      <c r="Y185" s="8">
        <v>12</v>
      </c>
    </row>
    <row r="186" spans="22:25" x14ac:dyDescent="0.25">
      <c r="V186" s="7">
        <v>40368</v>
      </c>
      <c r="W186" s="8" t="s">
        <v>7</v>
      </c>
      <c r="X186" s="8" t="s">
        <v>1422</v>
      </c>
      <c r="Y186" s="8">
        <v>1</v>
      </c>
    </row>
    <row r="187" spans="22:25" x14ac:dyDescent="0.25">
      <c r="V187" s="7">
        <v>40819</v>
      </c>
      <c r="W187" s="8" t="s">
        <v>1421</v>
      </c>
      <c r="X187" s="8" t="s">
        <v>1425</v>
      </c>
      <c r="Y187" s="8">
        <v>1</v>
      </c>
    </row>
    <row r="188" spans="22:25" x14ac:dyDescent="0.25">
      <c r="V188" s="7">
        <v>40943</v>
      </c>
      <c r="W188" s="8" t="s">
        <v>1424</v>
      </c>
      <c r="X188" s="8" t="s">
        <v>1427</v>
      </c>
      <c r="Y188" s="8">
        <v>22</v>
      </c>
    </row>
    <row r="189" spans="22:25" x14ac:dyDescent="0.25">
      <c r="V189" s="7">
        <v>40685</v>
      </c>
      <c r="W189" s="8" t="s">
        <v>1424</v>
      </c>
      <c r="X189" s="8" t="s">
        <v>1422</v>
      </c>
      <c r="Y189" s="8">
        <v>7</v>
      </c>
    </row>
    <row r="190" spans="22:25" x14ac:dyDescent="0.25">
      <c r="V190" s="7">
        <v>40432</v>
      </c>
      <c r="W190" s="8" t="s">
        <v>7</v>
      </c>
      <c r="X190" s="8" t="s">
        <v>1425</v>
      </c>
      <c r="Y190" s="8">
        <v>3</v>
      </c>
    </row>
    <row r="191" spans="22:25" x14ac:dyDescent="0.25">
      <c r="V191" s="7">
        <v>40941</v>
      </c>
      <c r="W191" s="8" t="s">
        <v>1424</v>
      </c>
      <c r="X191" s="8" t="s">
        <v>1427</v>
      </c>
      <c r="Y191" s="8">
        <v>2</v>
      </c>
    </row>
    <row r="192" spans="22:25" x14ac:dyDescent="0.25">
      <c r="V192" s="7">
        <v>40586</v>
      </c>
      <c r="W192" s="8" t="s">
        <v>7</v>
      </c>
      <c r="X192" s="8" t="s">
        <v>1427</v>
      </c>
      <c r="Y192" s="8">
        <v>16</v>
      </c>
    </row>
    <row r="193" spans="22:25" x14ac:dyDescent="0.25">
      <c r="V193" s="7">
        <v>40874</v>
      </c>
      <c r="W193" s="8" t="s">
        <v>1421</v>
      </c>
      <c r="X193" s="8" t="s">
        <v>1426</v>
      </c>
      <c r="Y193" s="8">
        <v>25</v>
      </c>
    </row>
    <row r="194" spans="22:25" x14ac:dyDescent="0.25">
      <c r="V194" s="7">
        <v>40596</v>
      </c>
      <c r="W194" s="8" t="s">
        <v>1421</v>
      </c>
      <c r="X194" s="8" t="s">
        <v>1415</v>
      </c>
      <c r="Y194" s="8">
        <v>22</v>
      </c>
    </row>
    <row r="195" spans="22:25" x14ac:dyDescent="0.25">
      <c r="V195" s="7">
        <v>40881</v>
      </c>
      <c r="W195" s="8" t="s">
        <v>4</v>
      </c>
      <c r="X195" s="8" t="s">
        <v>1425</v>
      </c>
      <c r="Y195" s="8">
        <v>6</v>
      </c>
    </row>
    <row r="196" spans="22:25" x14ac:dyDescent="0.25">
      <c r="V196" s="7">
        <v>40606</v>
      </c>
      <c r="W196" s="8" t="s">
        <v>135</v>
      </c>
      <c r="X196" s="8" t="s">
        <v>1417</v>
      </c>
      <c r="Y196" s="8">
        <v>13</v>
      </c>
    </row>
    <row r="197" spans="22:25" x14ac:dyDescent="0.25">
      <c r="V197" s="7">
        <v>40639</v>
      </c>
      <c r="W197" s="8" t="s">
        <v>4</v>
      </c>
      <c r="X197" s="8" t="s">
        <v>1427</v>
      </c>
      <c r="Y197" s="8">
        <v>22</v>
      </c>
    </row>
    <row r="198" spans="22:25" x14ac:dyDescent="0.25">
      <c r="V198" s="7">
        <v>40916</v>
      </c>
      <c r="W198" s="8" t="s">
        <v>3</v>
      </c>
      <c r="X198" s="8" t="s">
        <v>1427</v>
      </c>
      <c r="Y198" s="8">
        <v>9</v>
      </c>
    </row>
    <row r="199" spans="22:25" x14ac:dyDescent="0.25">
      <c r="V199" s="7">
        <v>40880</v>
      </c>
      <c r="W199" s="8" t="s">
        <v>1421</v>
      </c>
      <c r="X199" s="8" t="s">
        <v>1425</v>
      </c>
      <c r="Y199" s="8">
        <v>6</v>
      </c>
    </row>
    <row r="200" spans="22:25" x14ac:dyDescent="0.25">
      <c r="V200" s="7">
        <v>40613</v>
      </c>
      <c r="W200" s="8" t="s">
        <v>3</v>
      </c>
      <c r="X200" s="8" t="s">
        <v>1422</v>
      </c>
      <c r="Y200" s="8">
        <v>1</v>
      </c>
    </row>
    <row r="201" spans="22:25" x14ac:dyDescent="0.25">
      <c r="V201" s="7">
        <v>40311</v>
      </c>
      <c r="W201" s="8" t="s">
        <v>3</v>
      </c>
      <c r="X201" s="8" t="s">
        <v>1426</v>
      </c>
      <c r="Y201" s="8">
        <v>14</v>
      </c>
    </row>
    <row r="202" spans="22:25" x14ac:dyDescent="0.25">
      <c r="V202" s="7">
        <v>40343</v>
      </c>
      <c r="W202" s="8" t="s">
        <v>1421</v>
      </c>
      <c r="X202" s="8" t="s">
        <v>1415</v>
      </c>
      <c r="Y202" s="8">
        <v>22</v>
      </c>
    </row>
    <row r="203" spans="22:25" x14ac:dyDescent="0.25">
      <c r="V203" s="7">
        <v>40835</v>
      </c>
      <c r="W203" s="8" t="s">
        <v>3</v>
      </c>
      <c r="X203" s="8" t="s">
        <v>1422</v>
      </c>
      <c r="Y203" s="8">
        <v>14</v>
      </c>
    </row>
    <row r="204" spans="22:25" x14ac:dyDescent="0.25">
      <c r="V204" s="7">
        <v>40828</v>
      </c>
      <c r="W204" s="8" t="s">
        <v>4</v>
      </c>
      <c r="X204" s="8" t="s">
        <v>1425</v>
      </c>
      <c r="Y204" s="8">
        <v>14</v>
      </c>
    </row>
    <row r="205" spans="22:25" x14ac:dyDescent="0.25">
      <c r="V205" s="7">
        <v>40894</v>
      </c>
      <c r="W205" s="8" t="s">
        <v>135</v>
      </c>
      <c r="X205" s="8" t="s">
        <v>1425</v>
      </c>
      <c r="Y205" s="8">
        <v>1</v>
      </c>
    </row>
    <row r="206" spans="22:25" x14ac:dyDescent="0.25">
      <c r="V206" s="7">
        <v>40669</v>
      </c>
      <c r="W206" s="8" t="s">
        <v>135</v>
      </c>
      <c r="X206" s="8" t="s">
        <v>1415</v>
      </c>
      <c r="Y206" s="8">
        <v>6</v>
      </c>
    </row>
    <row r="207" spans="22:25" x14ac:dyDescent="0.25">
      <c r="V207" s="7">
        <v>40900</v>
      </c>
      <c r="W207" s="8" t="s">
        <v>7</v>
      </c>
      <c r="X207" s="8" t="s">
        <v>1427</v>
      </c>
      <c r="Y207" s="8">
        <v>16</v>
      </c>
    </row>
    <row r="208" spans="22:25" x14ac:dyDescent="0.25">
      <c r="V208" s="7">
        <v>40910</v>
      </c>
      <c r="W208" s="8" t="s">
        <v>7</v>
      </c>
      <c r="X208" s="8" t="s">
        <v>1427</v>
      </c>
      <c r="Y208" s="8">
        <v>19</v>
      </c>
    </row>
    <row r="209" spans="22:25" x14ac:dyDescent="0.25">
      <c r="V209" s="7">
        <v>40904</v>
      </c>
      <c r="W209" s="8" t="s">
        <v>1424</v>
      </c>
      <c r="X209" s="8" t="s">
        <v>1426</v>
      </c>
      <c r="Y209" s="8">
        <v>8</v>
      </c>
    </row>
    <row r="210" spans="22:25" x14ac:dyDescent="0.25">
      <c r="V210" s="7">
        <v>40470</v>
      </c>
      <c r="W210" s="8" t="s">
        <v>1424</v>
      </c>
      <c r="X210" s="8" t="s">
        <v>1422</v>
      </c>
      <c r="Y210" s="8">
        <v>20</v>
      </c>
    </row>
    <row r="211" spans="22:25" x14ac:dyDescent="0.25">
      <c r="V211" s="7">
        <v>40703</v>
      </c>
      <c r="W211" s="8" t="s">
        <v>7</v>
      </c>
      <c r="X211" s="8" t="s">
        <v>1426</v>
      </c>
      <c r="Y211" s="8">
        <v>16</v>
      </c>
    </row>
    <row r="212" spans="22:25" x14ac:dyDescent="0.25">
      <c r="V212" s="7">
        <v>40482</v>
      </c>
      <c r="W212" s="8" t="s">
        <v>7</v>
      </c>
      <c r="X212" s="8" t="s">
        <v>1427</v>
      </c>
      <c r="Y212" s="8">
        <v>19</v>
      </c>
    </row>
    <row r="213" spans="22:25" x14ac:dyDescent="0.25">
      <c r="V213" s="7">
        <v>40352</v>
      </c>
      <c r="W213" s="8" t="s">
        <v>4</v>
      </c>
      <c r="X213" s="8" t="s">
        <v>1425</v>
      </c>
      <c r="Y213" s="8">
        <v>21</v>
      </c>
    </row>
    <row r="214" spans="22:25" x14ac:dyDescent="0.25">
      <c r="V214" s="7">
        <v>40308</v>
      </c>
      <c r="W214" s="8" t="s">
        <v>3</v>
      </c>
      <c r="X214" s="8" t="s">
        <v>1417</v>
      </c>
      <c r="Y214" s="8">
        <v>21</v>
      </c>
    </row>
    <row r="215" spans="22:25" x14ac:dyDescent="0.25">
      <c r="V215" s="7">
        <v>40582</v>
      </c>
      <c r="W215" s="8" t="s">
        <v>1424</v>
      </c>
      <c r="X215" s="8" t="s">
        <v>1425</v>
      </c>
      <c r="Y215" s="8">
        <v>7</v>
      </c>
    </row>
    <row r="216" spans="22:25" x14ac:dyDescent="0.25">
      <c r="V216" s="7">
        <v>40380</v>
      </c>
      <c r="W216" s="8" t="s">
        <v>1421</v>
      </c>
      <c r="X216" s="8" t="s">
        <v>1417</v>
      </c>
      <c r="Y216" s="8">
        <v>24</v>
      </c>
    </row>
    <row r="217" spans="22:25" x14ac:dyDescent="0.25">
      <c r="V217" s="7">
        <v>40812</v>
      </c>
      <c r="W217" s="8" t="s">
        <v>1424</v>
      </c>
      <c r="X217" s="8" t="s">
        <v>1422</v>
      </c>
      <c r="Y217" s="8">
        <v>23</v>
      </c>
    </row>
    <row r="218" spans="22:25" x14ac:dyDescent="0.25">
      <c r="V218" s="7">
        <v>40983</v>
      </c>
      <c r="W218" s="8" t="s">
        <v>3</v>
      </c>
      <c r="X218" s="8" t="s">
        <v>1417</v>
      </c>
      <c r="Y218" s="8">
        <v>16</v>
      </c>
    </row>
    <row r="219" spans="22:25" x14ac:dyDescent="0.25">
      <c r="V219" s="7">
        <v>40907</v>
      </c>
      <c r="W219" s="8" t="s">
        <v>4</v>
      </c>
      <c r="X219" s="8" t="s">
        <v>1422</v>
      </c>
      <c r="Y219" s="8">
        <v>21</v>
      </c>
    </row>
    <row r="220" spans="22:25" x14ac:dyDescent="0.25">
      <c r="V220" s="7">
        <v>40391</v>
      </c>
      <c r="W220" s="8" t="s">
        <v>4</v>
      </c>
      <c r="X220" s="8" t="s">
        <v>1422</v>
      </c>
      <c r="Y220" s="8">
        <v>5</v>
      </c>
    </row>
    <row r="221" spans="22:25" x14ac:dyDescent="0.25">
      <c r="V221" s="7">
        <v>40434</v>
      </c>
      <c r="W221" s="8" t="s">
        <v>7</v>
      </c>
      <c r="X221" s="8" t="s">
        <v>1417</v>
      </c>
      <c r="Y221" s="8">
        <v>6</v>
      </c>
    </row>
    <row r="222" spans="22:25" x14ac:dyDescent="0.25">
      <c r="V222" s="7">
        <v>40693</v>
      </c>
      <c r="W222" s="8" t="s">
        <v>1424</v>
      </c>
      <c r="X222" s="8" t="s">
        <v>1426</v>
      </c>
      <c r="Y222" s="8">
        <v>24</v>
      </c>
    </row>
    <row r="223" spans="22:25" x14ac:dyDescent="0.25">
      <c r="V223" s="7">
        <v>40390</v>
      </c>
      <c r="W223" s="8" t="s">
        <v>135</v>
      </c>
      <c r="X223" s="8" t="s">
        <v>1415</v>
      </c>
      <c r="Y223" s="8">
        <v>13</v>
      </c>
    </row>
    <row r="224" spans="22:25" x14ac:dyDescent="0.25">
      <c r="V224" s="7">
        <v>40834</v>
      </c>
      <c r="W224" s="8" t="s">
        <v>7</v>
      </c>
      <c r="X224" s="8" t="s">
        <v>1427</v>
      </c>
      <c r="Y224" s="8">
        <v>16</v>
      </c>
    </row>
    <row r="225" spans="22:25" x14ac:dyDescent="0.25">
      <c r="V225" s="7">
        <v>40801</v>
      </c>
      <c r="W225" s="8" t="s">
        <v>7</v>
      </c>
      <c r="X225" s="8" t="s">
        <v>1427</v>
      </c>
      <c r="Y225" s="8">
        <v>12</v>
      </c>
    </row>
    <row r="226" spans="22:25" x14ac:dyDescent="0.25">
      <c r="V226" s="7">
        <v>40885</v>
      </c>
      <c r="W226" s="8" t="s">
        <v>3</v>
      </c>
      <c r="X226" s="8" t="s">
        <v>1422</v>
      </c>
      <c r="Y226" s="8">
        <v>7</v>
      </c>
    </row>
    <row r="227" spans="22:25" x14ac:dyDescent="0.25">
      <c r="V227" s="7">
        <v>40430</v>
      </c>
      <c r="W227" s="8" t="s">
        <v>1424</v>
      </c>
      <c r="X227" s="8" t="s">
        <v>1426</v>
      </c>
      <c r="Y227" s="8">
        <v>2</v>
      </c>
    </row>
    <row r="228" spans="22:25" x14ac:dyDescent="0.25">
      <c r="V228" s="7">
        <v>40522</v>
      </c>
      <c r="W228" s="8" t="s">
        <v>4</v>
      </c>
      <c r="X228" s="8" t="s">
        <v>1425</v>
      </c>
      <c r="Y228" s="8">
        <v>23</v>
      </c>
    </row>
    <row r="229" spans="22:25" x14ac:dyDescent="0.25">
      <c r="V229" s="7">
        <v>40479</v>
      </c>
      <c r="W229" s="8" t="s">
        <v>7</v>
      </c>
      <c r="X229" s="8" t="s">
        <v>1422</v>
      </c>
      <c r="Y229" s="8">
        <v>7</v>
      </c>
    </row>
    <row r="230" spans="22:25" x14ac:dyDescent="0.25">
      <c r="V230" s="7">
        <v>40641</v>
      </c>
      <c r="W230" s="8" t="s">
        <v>4</v>
      </c>
      <c r="X230" s="8" t="s">
        <v>1427</v>
      </c>
      <c r="Y230" s="8">
        <v>21</v>
      </c>
    </row>
    <row r="231" spans="22:25" x14ac:dyDescent="0.25">
      <c r="V231" s="7">
        <v>40689</v>
      </c>
      <c r="W231" s="8" t="s">
        <v>3</v>
      </c>
      <c r="X231" s="8" t="s">
        <v>1426</v>
      </c>
      <c r="Y231" s="8">
        <v>1</v>
      </c>
    </row>
    <row r="232" spans="22:25" x14ac:dyDescent="0.25">
      <c r="V232" s="7">
        <v>40375</v>
      </c>
      <c r="W232" s="8" t="s">
        <v>4</v>
      </c>
      <c r="X232" s="8" t="s">
        <v>1426</v>
      </c>
      <c r="Y232" s="8">
        <v>15</v>
      </c>
    </row>
    <row r="233" spans="22:25" x14ac:dyDescent="0.25">
      <c r="V233" s="7">
        <v>40958</v>
      </c>
      <c r="W233" s="8" t="s">
        <v>4</v>
      </c>
      <c r="X233" s="8" t="s">
        <v>1417</v>
      </c>
      <c r="Y233" s="8">
        <v>16</v>
      </c>
    </row>
    <row r="234" spans="22:25" x14ac:dyDescent="0.25">
      <c r="V234" s="7">
        <v>40380</v>
      </c>
      <c r="W234" s="8" t="s">
        <v>1421</v>
      </c>
      <c r="X234" s="8" t="s">
        <v>1415</v>
      </c>
      <c r="Y234" s="8">
        <v>11</v>
      </c>
    </row>
    <row r="235" spans="22:25" x14ac:dyDescent="0.25">
      <c r="V235" s="7">
        <v>40339</v>
      </c>
      <c r="W235" s="8" t="s">
        <v>1424</v>
      </c>
      <c r="X235" s="8" t="s">
        <v>1427</v>
      </c>
      <c r="Y235" s="8">
        <v>3</v>
      </c>
    </row>
    <row r="236" spans="22:25" x14ac:dyDescent="0.25">
      <c r="V236" s="7">
        <v>40630</v>
      </c>
      <c r="W236" s="8" t="s">
        <v>1421</v>
      </c>
      <c r="X236" s="8" t="s">
        <v>1422</v>
      </c>
      <c r="Y236" s="8">
        <v>1</v>
      </c>
    </row>
    <row r="237" spans="22:25" x14ac:dyDescent="0.25">
      <c r="V237" s="7">
        <v>40808</v>
      </c>
      <c r="W237" s="8" t="s">
        <v>7</v>
      </c>
      <c r="X237" s="8" t="s">
        <v>1417</v>
      </c>
      <c r="Y237" s="8">
        <v>21</v>
      </c>
    </row>
    <row r="238" spans="22:25" x14ac:dyDescent="0.25">
      <c r="V238" s="7">
        <v>40645</v>
      </c>
      <c r="W238" s="8" t="s">
        <v>1421</v>
      </c>
      <c r="X238" s="8" t="s">
        <v>1426</v>
      </c>
      <c r="Y238" s="8">
        <v>12</v>
      </c>
    </row>
    <row r="239" spans="22:25" x14ac:dyDescent="0.25">
      <c r="V239" s="7">
        <v>40486</v>
      </c>
      <c r="W239" s="8" t="s">
        <v>1421</v>
      </c>
      <c r="X239" s="8" t="s">
        <v>1415</v>
      </c>
      <c r="Y239" s="8">
        <v>25</v>
      </c>
    </row>
    <row r="240" spans="22:25" x14ac:dyDescent="0.25">
      <c r="V240" s="7">
        <v>40674</v>
      </c>
      <c r="W240" s="8" t="s">
        <v>135</v>
      </c>
      <c r="X240" s="8" t="s">
        <v>1415</v>
      </c>
      <c r="Y240" s="8">
        <v>8</v>
      </c>
    </row>
    <row r="241" spans="22:25" x14ac:dyDescent="0.25">
      <c r="V241" s="7">
        <v>40973</v>
      </c>
      <c r="W241" s="8" t="s">
        <v>4</v>
      </c>
      <c r="X241" s="8" t="s">
        <v>1427</v>
      </c>
      <c r="Y241" s="8">
        <v>20</v>
      </c>
    </row>
    <row r="242" spans="22:25" x14ac:dyDescent="0.25">
      <c r="V242" s="7">
        <v>40372</v>
      </c>
      <c r="W242" s="8" t="s">
        <v>1421</v>
      </c>
      <c r="X242" s="8" t="s">
        <v>1422</v>
      </c>
      <c r="Y242" s="8">
        <v>14</v>
      </c>
    </row>
    <row r="243" spans="22:25" x14ac:dyDescent="0.25">
      <c r="V243" s="7">
        <v>40716</v>
      </c>
      <c r="W243" s="8" t="s">
        <v>1424</v>
      </c>
      <c r="X243" s="8" t="s">
        <v>1426</v>
      </c>
      <c r="Y243" s="8">
        <v>2</v>
      </c>
    </row>
    <row r="244" spans="22:25" x14ac:dyDescent="0.25">
      <c r="V244" s="7">
        <v>40351</v>
      </c>
      <c r="W244" s="8" t="s">
        <v>4</v>
      </c>
      <c r="X244" s="8" t="s">
        <v>1417</v>
      </c>
      <c r="Y244" s="8">
        <v>18</v>
      </c>
    </row>
    <row r="245" spans="22:25" x14ac:dyDescent="0.25">
      <c r="V245" s="7">
        <v>40659</v>
      </c>
      <c r="W245" s="8" t="s">
        <v>135</v>
      </c>
      <c r="X245" s="8" t="s">
        <v>1422</v>
      </c>
      <c r="Y245" s="8">
        <v>18</v>
      </c>
    </row>
    <row r="246" spans="22:25" x14ac:dyDescent="0.25">
      <c r="V246" s="7">
        <v>40356</v>
      </c>
      <c r="W246" s="8" t="s">
        <v>1421</v>
      </c>
      <c r="X246" s="8" t="s">
        <v>1425</v>
      </c>
      <c r="Y246" s="8">
        <v>7</v>
      </c>
    </row>
    <row r="247" spans="22:25" x14ac:dyDescent="0.25">
      <c r="V247" s="7">
        <v>40889</v>
      </c>
      <c r="W247" s="8" t="s">
        <v>1424</v>
      </c>
      <c r="X247" s="8" t="s">
        <v>1427</v>
      </c>
      <c r="Y247" s="8">
        <v>25</v>
      </c>
    </row>
    <row r="248" spans="22:25" x14ac:dyDescent="0.25">
      <c r="V248" s="7">
        <v>40785</v>
      </c>
      <c r="W248" s="8" t="s">
        <v>3</v>
      </c>
      <c r="X248" s="8" t="s">
        <v>1415</v>
      </c>
      <c r="Y248" s="8">
        <v>13</v>
      </c>
    </row>
    <row r="249" spans="22:25" x14ac:dyDescent="0.25">
      <c r="V249" s="7">
        <v>40553</v>
      </c>
      <c r="W249" s="8" t="s">
        <v>1424</v>
      </c>
      <c r="X249" s="8" t="s">
        <v>1427</v>
      </c>
      <c r="Y249" s="8">
        <v>4</v>
      </c>
    </row>
    <row r="250" spans="22:25" x14ac:dyDescent="0.25">
      <c r="V250" s="7">
        <v>40789</v>
      </c>
      <c r="W250" s="8" t="s">
        <v>1424</v>
      </c>
      <c r="X250" s="8" t="s">
        <v>1425</v>
      </c>
      <c r="Y250" s="8">
        <v>18</v>
      </c>
    </row>
    <row r="251" spans="22:25" x14ac:dyDescent="0.25">
      <c r="V251" s="7">
        <v>40409</v>
      </c>
      <c r="W251" s="8" t="s">
        <v>1421</v>
      </c>
      <c r="X251" s="8" t="s">
        <v>1425</v>
      </c>
      <c r="Y251" s="8">
        <v>4</v>
      </c>
    </row>
    <row r="252" spans="22:25" x14ac:dyDescent="0.25">
      <c r="V252" s="7">
        <v>40447</v>
      </c>
      <c r="W252" s="8" t="s">
        <v>1421</v>
      </c>
      <c r="X252" s="8" t="s">
        <v>1427</v>
      </c>
      <c r="Y252" s="8">
        <v>13</v>
      </c>
    </row>
    <row r="253" spans="22:25" x14ac:dyDescent="0.25">
      <c r="V253" s="7">
        <v>40749</v>
      </c>
      <c r="W253" s="8" t="s">
        <v>1424</v>
      </c>
      <c r="X253" s="8" t="s">
        <v>1427</v>
      </c>
      <c r="Y253" s="8">
        <v>5</v>
      </c>
    </row>
    <row r="254" spans="22:25" x14ac:dyDescent="0.25">
      <c r="V254" s="7">
        <v>40359</v>
      </c>
      <c r="W254" s="8" t="s">
        <v>1421</v>
      </c>
      <c r="X254" s="8" t="s">
        <v>1415</v>
      </c>
      <c r="Y254" s="8">
        <v>9</v>
      </c>
    </row>
    <row r="255" spans="22:25" x14ac:dyDescent="0.25">
      <c r="V255" s="7">
        <v>40995</v>
      </c>
      <c r="W255" s="8" t="s">
        <v>1421</v>
      </c>
      <c r="X255" s="8" t="s">
        <v>1426</v>
      </c>
      <c r="Y255" s="8">
        <v>1</v>
      </c>
    </row>
    <row r="256" spans="22:25" x14ac:dyDescent="0.25">
      <c r="V256" s="7">
        <v>40467</v>
      </c>
      <c r="W256" s="8" t="s">
        <v>4</v>
      </c>
      <c r="X256" s="8" t="s">
        <v>1427</v>
      </c>
      <c r="Y256" s="8">
        <v>21</v>
      </c>
    </row>
    <row r="257" spans="22:25" x14ac:dyDescent="0.25">
      <c r="V257" s="7">
        <v>40647</v>
      </c>
      <c r="W257" s="8" t="s">
        <v>1421</v>
      </c>
      <c r="X257" s="8" t="s">
        <v>1425</v>
      </c>
      <c r="Y257" s="8">
        <v>19</v>
      </c>
    </row>
    <row r="258" spans="22:25" x14ac:dyDescent="0.25">
      <c r="V258" s="7">
        <v>40308</v>
      </c>
      <c r="W258" s="8" t="s">
        <v>1421</v>
      </c>
      <c r="X258" s="8" t="s">
        <v>1427</v>
      </c>
      <c r="Y258" s="8">
        <v>7</v>
      </c>
    </row>
    <row r="259" spans="22:25" x14ac:dyDescent="0.25">
      <c r="V259" s="7">
        <v>40400</v>
      </c>
      <c r="W259" s="8" t="s">
        <v>3</v>
      </c>
      <c r="X259" s="8" t="s">
        <v>1426</v>
      </c>
      <c r="Y259" s="8">
        <v>5</v>
      </c>
    </row>
    <row r="260" spans="22:25" x14ac:dyDescent="0.25">
      <c r="V260" s="7">
        <v>40898</v>
      </c>
      <c r="W260" s="8" t="s">
        <v>7</v>
      </c>
      <c r="X260" s="8" t="s">
        <v>1415</v>
      </c>
      <c r="Y260" s="8">
        <v>23</v>
      </c>
    </row>
    <row r="261" spans="22:25" x14ac:dyDescent="0.25">
      <c r="V261" s="7">
        <v>40927</v>
      </c>
      <c r="W261" s="8" t="s">
        <v>1424</v>
      </c>
      <c r="X261" s="8" t="s">
        <v>1417</v>
      </c>
      <c r="Y261" s="8">
        <v>8</v>
      </c>
    </row>
    <row r="262" spans="22:25" x14ac:dyDescent="0.25">
      <c r="V262" s="7">
        <v>40707</v>
      </c>
      <c r="W262" s="8" t="s">
        <v>4</v>
      </c>
      <c r="X262" s="8" t="s">
        <v>1426</v>
      </c>
      <c r="Y262" s="8">
        <v>10</v>
      </c>
    </row>
    <row r="263" spans="22:25" x14ac:dyDescent="0.25">
      <c r="V263" s="7">
        <v>40518</v>
      </c>
      <c r="W263" s="8" t="s">
        <v>135</v>
      </c>
      <c r="X263" s="8" t="s">
        <v>1425</v>
      </c>
      <c r="Y263" s="8">
        <v>10</v>
      </c>
    </row>
    <row r="264" spans="22:25" x14ac:dyDescent="0.25">
      <c r="V264" s="7">
        <v>40906</v>
      </c>
      <c r="W264" s="8" t="s">
        <v>7</v>
      </c>
      <c r="X264" s="8" t="s">
        <v>1415</v>
      </c>
      <c r="Y264" s="8">
        <v>24</v>
      </c>
    </row>
    <row r="265" spans="22:25" x14ac:dyDescent="0.25">
      <c r="V265" s="7">
        <v>40947</v>
      </c>
      <c r="W265" s="8" t="s">
        <v>3</v>
      </c>
      <c r="X265" s="8" t="s">
        <v>1415</v>
      </c>
      <c r="Y265" s="8">
        <v>5</v>
      </c>
    </row>
    <row r="266" spans="22:25" x14ac:dyDescent="0.25">
      <c r="V266" s="7">
        <v>40625</v>
      </c>
      <c r="W266" s="8" t="s">
        <v>7</v>
      </c>
      <c r="X266" s="8" t="s">
        <v>1417</v>
      </c>
      <c r="Y266" s="8">
        <v>25</v>
      </c>
    </row>
    <row r="267" spans="22:25" x14ac:dyDescent="0.25">
      <c r="V267" s="7">
        <v>40856</v>
      </c>
      <c r="W267" s="8" t="s">
        <v>3</v>
      </c>
      <c r="X267" s="8" t="s">
        <v>1422</v>
      </c>
      <c r="Y267" s="8">
        <v>5</v>
      </c>
    </row>
    <row r="268" spans="22:25" x14ac:dyDescent="0.25">
      <c r="V268" s="7">
        <v>40781</v>
      </c>
      <c r="W268" s="8" t="s">
        <v>135</v>
      </c>
      <c r="X268" s="8" t="s">
        <v>1417</v>
      </c>
      <c r="Y268" s="8">
        <v>3</v>
      </c>
    </row>
    <row r="269" spans="22:25" x14ac:dyDescent="0.25">
      <c r="V269" s="7">
        <v>40808</v>
      </c>
      <c r="W269" s="8" t="s">
        <v>7</v>
      </c>
      <c r="X269" s="8" t="s">
        <v>1426</v>
      </c>
      <c r="Y269" s="8">
        <v>4</v>
      </c>
    </row>
    <row r="270" spans="22:25" x14ac:dyDescent="0.25">
      <c r="V270" s="7">
        <v>41001</v>
      </c>
      <c r="W270" s="8" t="s">
        <v>3</v>
      </c>
      <c r="X270" s="8" t="s">
        <v>1417</v>
      </c>
      <c r="Y270" s="8">
        <v>1</v>
      </c>
    </row>
    <row r="271" spans="22:25" x14ac:dyDescent="0.25">
      <c r="V271" s="7">
        <v>40900</v>
      </c>
      <c r="W271" s="8" t="s">
        <v>1421</v>
      </c>
      <c r="X271" s="8" t="s">
        <v>1427</v>
      </c>
      <c r="Y271" s="8">
        <v>20</v>
      </c>
    </row>
    <row r="272" spans="22:25" x14ac:dyDescent="0.25">
      <c r="V272" s="7">
        <v>40430</v>
      </c>
      <c r="W272" s="8" t="s">
        <v>3</v>
      </c>
      <c r="X272" s="8" t="s">
        <v>1426</v>
      </c>
      <c r="Y272" s="8">
        <v>5</v>
      </c>
    </row>
    <row r="273" spans="22:25" x14ac:dyDescent="0.25">
      <c r="V273" s="7">
        <v>40459</v>
      </c>
      <c r="W273" s="8" t="s">
        <v>135</v>
      </c>
      <c r="X273" s="8" t="s">
        <v>1426</v>
      </c>
      <c r="Y273" s="8">
        <v>18</v>
      </c>
    </row>
    <row r="274" spans="22:25" x14ac:dyDescent="0.25">
      <c r="V274" s="7">
        <v>40531</v>
      </c>
      <c r="W274" s="8" t="s">
        <v>135</v>
      </c>
      <c r="X274" s="8" t="s">
        <v>1422</v>
      </c>
      <c r="Y274" s="8">
        <v>4</v>
      </c>
    </row>
    <row r="275" spans="22:25" x14ac:dyDescent="0.25">
      <c r="V275" s="7">
        <v>40336</v>
      </c>
      <c r="W275" s="8" t="s">
        <v>4</v>
      </c>
      <c r="X275" s="8" t="s">
        <v>1415</v>
      </c>
      <c r="Y275" s="8">
        <v>11</v>
      </c>
    </row>
    <row r="276" spans="22:25" x14ac:dyDescent="0.25">
      <c r="V276" s="7">
        <v>40737</v>
      </c>
      <c r="W276" s="8" t="s">
        <v>7</v>
      </c>
      <c r="X276" s="8" t="s">
        <v>1427</v>
      </c>
      <c r="Y276" s="8">
        <v>16</v>
      </c>
    </row>
    <row r="277" spans="22:25" x14ac:dyDescent="0.25">
      <c r="V277" s="7">
        <v>40332</v>
      </c>
      <c r="W277" s="8" t="s">
        <v>1421</v>
      </c>
      <c r="X277" s="8" t="s">
        <v>1425</v>
      </c>
      <c r="Y277" s="8">
        <v>22</v>
      </c>
    </row>
    <row r="278" spans="22:25" x14ac:dyDescent="0.25">
      <c r="V278" s="7">
        <v>40636</v>
      </c>
      <c r="W278" s="8" t="s">
        <v>7</v>
      </c>
      <c r="X278" s="8" t="s">
        <v>1425</v>
      </c>
      <c r="Y278" s="8">
        <v>6</v>
      </c>
    </row>
    <row r="279" spans="22:25" x14ac:dyDescent="0.25">
      <c r="V279" s="7">
        <v>40727</v>
      </c>
      <c r="W279" s="8" t="s">
        <v>135</v>
      </c>
      <c r="X279" s="8" t="s">
        <v>1426</v>
      </c>
      <c r="Y279" s="8">
        <v>11</v>
      </c>
    </row>
    <row r="280" spans="22:25" x14ac:dyDescent="0.25">
      <c r="V280" s="7">
        <v>40333</v>
      </c>
      <c r="W280" s="8" t="s">
        <v>7</v>
      </c>
      <c r="X280" s="8" t="s">
        <v>1427</v>
      </c>
      <c r="Y280" s="8">
        <v>24</v>
      </c>
    </row>
    <row r="281" spans="22:25" x14ac:dyDescent="0.25">
      <c r="V281" s="7">
        <v>40902</v>
      </c>
      <c r="W281" s="8" t="s">
        <v>135</v>
      </c>
      <c r="X281" s="8" t="s">
        <v>1422</v>
      </c>
      <c r="Y281" s="8">
        <v>18</v>
      </c>
    </row>
    <row r="282" spans="22:25" x14ac:dyDescent="0.25">
      <c r="V282" s="7">
        <v>40570</v>
      </c>
      <c r="W282" s="8" t="s">
        <v>1421</v>
      </c>
      <c r="X282" s="8" t="s">
        <v>1415</v>
      </c>
      <c r="Y282" s="8">
        <v>3</v>
      </c>
    </row>
    <row r="283" spans="22:25" x14ac:dyDescent="0.25">
      <c r="V283" s="7">
        <v>40316</v>
      </c>
      <c r="W283" s="8" t="s">
        <v>4</v>
      </c>
      <c r="X283" s="8" t="s">
        <v>1426</v>
      </c>
      <c r="Y283" s="8">
        <v>1</v>
      </c>
    </row>
    <row r="284" spans="22:25" x14ac:dyDescent="0.25">
      <c r="V284" s="7">
        <v>40960</v>
      </c>
      <c r="W284" s="8" t="s">
        <v>1421</v>
      </c>
      <c r="X284" s="8" t="s">
        <v>1425</v>
      </c>
      <c r="Y284" s="8">
        <v>13</v>
      </c>
    </row>
    <row r="285" spans="22:25" x14ac:dyDescent="0.25">
      <c r="V285" s="7">
        <v>40906</v>
      </c>
      <c r="W285" s="8" t="s">
        <v>3</v>
      </c>
      <c r="X285" s="8" t="s">
        <v>1426</v>
      </c>
      <c r="Y285" s="8">
        <v>2</v>
      </c>
    </row>
    <row r="286" spans="22:25" x14ac:dyDescent="0.25">
      <c r="V286" s="7">
        <v>40923</v>
      </c>
      <c r="W286" s="8" t="s">
        <v>1421</v>
      </c>
      <c r="X286" s="8" t="s">
        <v>1422</v>
      </c>
      <c r="Y286" s="8">
        <v>22</v>
      </c>
    </row>
    <row r="287" spans="22:25" x14ac:dyDescent="0.25">
      <c r="V287" s="7">
        <v>40331</v>
      </c>
      <c r="W287" s="8" t="s">
        <v>135</v>
      </c>
      <c r="X287" s="8" t="s">
        <v>1425</v>
      </c>
      <c r="Y287" s="8">
        <v>21</v>
      </c>
    </row>
    <row r="288" spans="22:25" x14ac:dyDescent="0.25">
      <c r="V288" s="7">
        <v>40881</v>
      </c>
      <c r="W288" s="8" t="s">
        <v>135</v>
      </c>
      <c r="X288" s="8" t="s">
        <v>1417</v>
      </c>
      <c r="Y288" s="8">
        <v>11</v>
      </c>
    </row>
    <row r="289" spans="22:25" x14ac:dyDescent="0.25">
      <c r="V289" s="7">
        <v>40676</v>
      </c>
      <c r="W289" s="8" t="s">
        <v>135</v>
      </c>
      <c r="X289" s="8" t="s">
        <v>1417</v>
      </c>
      <c r="Y289" s="8">
        <v>21</v>
      </c>
    </row>
    <row r="290" spans="22:25" x14ac:dyDescent="0.25">
      <c r="V290" s="7">
        <v>40809</v>
      </c>
      <c r="W290" s="8" t="s">
        <v>1424</v>
      </c>
      <c r="X290" s="8" t="s">
        <v>1422</v>
      </c>
      <c r="Y290" s="8">
        <v>1</v>
      </c>
    </row>
    <row r="291" spans="22:25" x14ac:dyDescent="0.25">
      <c r="V291" s="7">
        <v>40543</v>
      </c>
      <c r="W291" s="8" t="s">
        <v>3</v>
      </c>
      <c r="X291" s="8" t="s">
        <v>1426</v>
      </c>
      <c r="Y291" s="8">
        <v>18</v>
      </c>
    </row>
    <row r="292" spans="22:25" x14ac:dyDescent="0.25">
      <c r="V292" s="7">
        <v>40417</v>
      </c>
      <c r="W292" s="8" t="s">
        <v>7</v>
      </c>
      <c r="X292" s="8" t="s">
        <v>1415</v>
      </c>
      <c r="Y292" s="8">
        <v>7</v>
      </c>
    </row>
    <row r="293" spans="22:25" x14ac:dyDescent="0.25">
      <c r="V293" s="7">
        <v>40887</v>
      </c>
      <c r="W293" s="8" t="s">
        <v>4</v>
      </c>
      <c r="X293" s="8" t="s">
        <v>1427</v>
      </c>
      <c r="Y293" s="8">
        <v>13</v>
      </c>
    </row>
    <row r="294" spans="22:25" x14ac:dyDescent="0.25">
      <c r="V294" s="7">
        <v>41000</v>
      </c>
      <c r="W294" s="8" t="s">
        <v>135</v>
      </c>
      <c r="X294" s="8" t="s">
        <v>1427</v>
      </c>
      <c r="Y294" s="8">
        <v>7</v>
      </c>
    </row>
    <row r="295" spans="22:25" x14ac:dyDescent="0.25">
      <c r="V295" s="7">
        <v>40738</v>
      </c>
      <c r="W295" s="8" t="s">
        <v>1421</v>
      </c>
      <c r="X295" s="8" t="s">
        <v>1415</v>
      </c>
      <c r="Y295" s="8">
        <v>18</v>
      </c>
    </row>
    <row r="296" spans="22:25" x14ac:dyDescent="0.25">
      <c r="V296" s="7">
        <v>40682</v>
      </c>
      <c r="W296" s="8" t="s">
        <v>3</v>
      </c>
      <c r="X296" s="8" t="s">
        <v>1422</v>
      </c>
      <c r="Y296" s="8">
        <v>14</v>
      </c>
    </row>
    <row r="297" spans="22:25" x14ac:dyDescent="0.25">
      <c r="V297" s="7">
        <v>40759</v>
      </c>
      <c r="W297" s="8" t="s">
        <v>1421</v>
      </c>
      <c r="X297" s="8" t="s">
        <v>1415</v>
      </c>
      <c r="Y297" s="8">
        <v>17</v>
      </c>
    </row>
    <row r="298" spans="22:25" x14ac:dyDescent="0.25">
      <c r="V298" s="7">
        <v>40388</v>
      </c>
      <c r="W298" s="8" t="s">
        <v>7</v>
      </c>
      <c r="X298" s="8" t="s">
        <v>1427</v>
      </c>
      <c r="Y298" s="8">
        <v>20</v>
      </c>
    </row>
    <row r="299" spans="22:25" x14ac:dyDescent="0.25">
      <c r="V299" s="7">
        <v>40768</v>
      </c>
      <c r="W299" s="8" t="s">
        <v>1424</v>
      </c>
      <c r="X299" s="8" t="s">
        <v>1427</v>
      </c>
      <c r="Y299" s="8">
        <v>17</v>
      </c>
    </row>
    <row r="300" spans="22:25" x14ac:dyDescent="0.25">
      <c r="V300" s="7">
        <v>40621</v>
      </c>
      <c r="W300" s="8" t="s">
        <v>4</v>
      </c>
      <c r="X300" s="8" t="s">
        <v>1422</v>
      </c>
      <c r="Y300" s="8">
        <v>3</v>
      </c>
    </row>
    <row r="301" spans="22:25" x14ac:dyDescent="0.25">
      <c r="V301" s="7">
        <v>40867</v>
      </c>
      <c r="W301" s="8" t="s">
        <v>7</v>
      </c>
      <c r="X301" s="8" t="s">
        <v>1415</v>
      </c>
      <c r="Y301" s="8">
        <v>20</v>
      </c>
    </row>
    <row r="302" spans="22:25" x14ac:dyDescent="0.25">
      <c r="V302" s="7">
        <v>40360</v>
      </c>
      <c r="W302" s="8" t="s">
        <v>7</v>
      </c>
      <c r="X302" s="8" t="s">
        <v>1427</v>
      </c>
      <c r="Y302" s="8">
        <v>14</v>
      </c>
    </row>
    <row r="303" spans="22:25" x14ac:dyDescent="0.25">
      <c r="V303" s="7">
        <v>40865</v>
      </c>
      <c r="W303" s="8" t="s">
        <v>1424</v>
      </c>
      <c r="X303" s="8" t="s">
        <v>1425</v>
      </c>
      <c r="Y303" s="8">
        <v>24</v>
      </c>
    </row>
    <row r="304" spans="22:25" x14ac:dyDescent="0.25">
      <c r="V304" s="7">
        <v>40910</v>
      </c>
      <c r="W304" s="8" t="s">
        <v>1424</v>
      </c>
      <c r="X304" s="8" t="s">
        <v>1425</v>
      </c>
      <c r="Y304" s="8">
        <v>7</v>
      </c>
    </row>
    <row r="305" spans="22:25" x14ac:dyDescent="0.25">
      <c r="V305" s="7">
        <v>40705</v>
      </c>
      <c r="W305" s="8" t="s">
        <v>3</v>
      </c>
      <c r="X305" s="8" t="s">
        <v>1427</v>
      </c>
      <c r="Y305" s="8">
        <v>16</v>
      </c>
    </row>
    <row r="306" spans="22:25" x14ac:dyDescent="0.25">
      <c r="V306" s="7">
        <v>40980</v>
      </c>
      <c r="W306" s="8" t="s">
        <v>135</v>
      </c>
      <c r="X306" s="8" t="s">
        <v>1425</v>
      </c>
      <c r="Y306" s="8">
        <v>3</v>
      </c>
    </row>
    <row r="307" spans="22:25" x14ac:dyDescent="0.25">
      <c r="V307" s="7">
        <v>40863</v>
      </c>
      <c r="W307" s="8" t="s">
        <v>135</v>
      </c>
      <c r="X307" s="8" t="s">
        <v>1425</v>
      </c>
      <c r="Y307" s="8">
        <v>10</v>
      </c>
    </row>
    <row r="308" spans="22:25" x14ac:dyDescent="0.25">
      <c r="V308" s="7">
        <v>40621</v>
      </c>
      <c r="W308" s="8" t="s">
        <v>135</v>
      </c>
      <c r="X308" s="8" t="s">
        <v>1422</v>
      </c>
      <c r="Y308" s="8">
        <v>1</v>
      </c>
    </row>
    <row r="309" spans="22:25" x14ac:dyDescent="0.25">
      <c r="V309" s="7">
        <v>40843</v>
      </c>
      <c r="W309" s="8" t="s">
        <v>4</v>
      </c>
      <c r="X309" s="8" t="s">
        <v>1417</v>
      </c>
      <c r="Y309" s="8">
        <v>1</v>
      </c>
    </row>
    <row r="310" spans="22:25" x14ac:dyDescent="0.25">
      <c r="V310" s="7">
        <v>40323</v>
      </c>
      <c r="W310" s="8" t="s">
        <v>7</v>
      </c>
      <c r="X310" s="8" t="s">
        <v>1422</v>
      </c>
      <c r="Y310" s="8">
        <v>10</v>
      </c>
    </row>
    <row r="311" spans="22:25" x14ac:dyDescent="0.25">
      <c r="V311" s="7">
        <v>40368</v>
      </c>
      <c r="W311" s="8" t="s">
        <v>135</v>
      </c>
      <c r="X311" s="8" t="s">
        <v>1415</v>
      </c>
      <c r="Y311" s="8">
        <v>12</v>
      </c>
    </row>
    <row r="312" spans="22:25" x14ac:dyDescent="0.25">
      <c r="V312" s="7">
        <v>40871</v>
      </c>
      <c r="W312" s="8" t="s">
        <v>135</v>
      </c>
      <c r="X312" s="8" t="s">
        <v>1425</v>
      </c>
      <c r="Y312" s="8">
        <v>15</v>
      </c>
    </row>
    <row r="313" spans="22:25" x14ac:dyDescent="0.25">
      <c r="V313" s="7">
        <v>40356</v>
      </c>
      <c r="W313" s="8" t="s">
        <v>7</v>
      </c>
      <c r="X313" s="8" t="s">
        <v>1417</v>
      </c>
      <c r="Y313" s="8">
        <v>5</v>
      </c>
    </row>
    <row r="314" spans="22:25" x14ac:dyDescent="0.25">
      <c r="V314" s="7">
        <v>40497</v>
      </c>
      <c r="W314" s="8" t="s">
        <v>7</v>
      </c>
      <c r="X314" s="8" t="s">
        <v>1415</v>
      </c>
      <c r="Y314" s="8">
        <v>5</v>
      </c>
    </row>
    <row r="315" spans="22:25" x14ac:dyDescent="0.25">
      <c r="V315" s="7">
        <v>40548</v>
      </c>
      <c r="W315" s="8" t="s">
        <v>4</v>
      </c>
      <c r="X315" s="8" t="s">
        <v>1422</v>
      </c>
      <c r="Y315" s="8">
        <v>6</v>
      </c>
    </row>
    <row r="316" spans="22:25" x14ac:dyDescent="0.25">
      <c r="V316" s="7">
        <v>40620</v>
      </c>
      <c r="W316" s="8" t="s">
        <v>1424</v>
      </c>
      <c r="X316" s="8" t="s">
        <v>1426</v>
      </c>
      <c r="Y316" s="8">
        <v>13</v>
      </c>
    </row>
    <row r="317" spans="22:25" x14ac:dyDescent="0.25">
      <c r="V317" s="7">
        <v>40478</v>
      </c>
      <c r="W317" s="8" t="s">
        <v>1424</v>
      </c>
      <c r="X317" s="8" t="s">
        <v>1426</v>
      </c>
      <c r="Y317" s="8">
        <v>18</v>
      </c>
    </row>
    <row r="318" spans="22:25" x14ac:dyDescent="0.25">
      <c r="V318" s="7">
        <v>40579</v>
      </c>
      <c r="W318" s="8" t="s">
        <v>7</v>
      </c>
      <c r="X318" s="8" t="s">
        <v>1417</v>
      </c>
      <c r="Y318" s="8">
        <v>3</v>
      </c>
    </row>
    <row r="319" spans="22:25" x14ac:dyDescent="0.25">
      <c r="V319" s="7">
        <v>40802</v>
      </c>
      <c r="W319" s="8" t="s">
        <v>3</v>
      </c>
      <c r="X319" s="8" t="s">
        <v>1417</v>
      </c>
      <c r="Y319" s="8">
        <v>5</v>
      </c>
    </row>
    <row r="320" spans="22:25" x14ac:dyDescent="0.25">
      <c r="V320" s="7">
        <v>40725</v>
      </c>
      <c r="W320" s="8" t="s">
        <v>135</v>
      </c>
      <c r="X320" s="8" t="s">
        <v>1425</v>
      </c>
      <c r="Y320" s="8">
        <v>20</v>
      </c>
    </row>
    <row r="321" spans="22:25" x14ac:dyDescent="0.25">
      <c r="V321" s="7">
        <v>40897</v>
      </c>
      <c r="W321" s="8" t="s">
        <v>135</v>
      </c>
      <c r="X321" s="8" t="s">
        <v>1417</v>
      </c>
      <c r="Y321" s="8">
        <v>14</v>
      </c>
    </row>
    <row r="322" spans="22:25" x14ac:dyDescent="0.25">
      <c r="V322" s="7">
        <v>40517</v>
      </c>
      <c r="W322" s="8" t="s">
        <v>135</v>
      </c>
      <c r="X322" s="8" t="s">
        <v>1427</v>
      </c>
      <c r="Y322" s="8">
        <v>13</v>
      </c>
    </row>
    <row r="323" spans="22:25" x14ac:dyDescent="0.25">
      <c r="V323" s="7">
        <v>40758</v>
      </c>
      <c r="W323" s="8" t="s">
        <v>7</v>
      </c>
      <c r="X323" s="8" t="s">
        <v>1415</v>
      </c>
      <c r="Y323" s="8">
        <v>13</v>
      </c>
    </row>
    <row r="324" spans="22:25" x14ac:dyDescent="0.25">
      <c r="V324" s="7">
        <v>40412</v>
      </c>
      <c r="W324" s="8" t="s">
        <v>7</v>
      </c>
      <c r="X324" s="8" t="s">
        <v>1415</v>
      </c>
      <c r="Y324" s="8">
        <v>11</v>
      </c>
    </row>
    <row r="325" spans="22:25" x14ac:dyDescent="0.25">
      <c r="V325" s="7">
        <v>40713</v>
      </c>
      <c r="W325" s="8" t="s">
        <v>3</v>
      </c>
      <c r="X325" s="8" t="s">
        <v>1427</v>
      </c>
      <c r="Y325" s="8">
        <v>25</v>
      </c>
    </row>
    <row r="326" spans="22:25" x14ac:dyDescent="0.25">
      <c r="V326" s="7">
        <v>40529</v>
      </c>
      <c r="W326" s="8" t="s">
        <v>3</v>
      </c>
      <c r="X326" s="8" t="s">
        <v>1422</v>
      </c>
      <c r="Y326" s="8">
        <v>14</v>
      </c>
    </row>
    <row r="327" spans="22:25" x14ac:dyDescent="0.25">
      <c r="V327" s="7">
        <v>40450</v>
      </c>
      <c r="W327" s="8" t="s">
        <v>4</v>
      </c>
      <c r="X327" s="8" t="s">
        <v>1417</v>
      </c>
      <c r="Y327" s="8">
        <v>7</v>
      </c>
    </row>
    <row r="328" spans="22:25" x14ac:dyDescent="0.25">
      <c r="V328" s="7">
        <v>40659</v>
      </c>
      <c r="W328" s="8" t="s">
        <v>1424</v>
      </c>
      <c r="X328" s="8" t="s">
        <v>1427</v>
      </c>
      <c r="Y328" s="8">
        <v>7</v>
      </c>
    </row>
    <row r="329" spans="22:25" x14ac:dyDescent="0.25">
      <c r="V329" s="7">
        <v>40623</v>
      </c>
      <c r="W329" s="8" t="s">
        <v>1424</v>
      </c>
      <c r="X329" s="8" t="s">
        <v>1415</v>
      </c>
      <c r="Y329" s="8">
        <v>17</v>
      </c>
    </row>
    <row r="330" spans="22:25" x14ac:dyDescent="0.25">
      <c r="V330" s="7">
        <v>40899</v>
      </c>
      <c r="W330" s="8" t="s">
        <v>7</v>
      </c>
      <c r="X330" s="8" t="s">
        <v>1427</v>
      </c>
      <c r="Y330" s="8">
        <v>18</v>
      </c>
    </row>
    <row r="331" spans="22:25" x14ac:dyDescent="0.25">
      <c r="V331" s="7">
        <v>40405</v>
      </c>
      <c r="W331" s="8" t="s">
        <v>3</v>
      </c>
      <c r="X331" s="8" t="s">
        <v>1415</v>
      </c>
      <c r="Y331" s="8">
        <v>20</v>
      </c>
    </row>
    <row r="332" spans="22:25" x14ac:dyDescent="0.25">
      <c r="V332" s="7">
        <v>40338</v>
      </c>
      <c r="W332" s="8" t="s">
        <v>135</v>
      </c>
      <c r="X332" s="8" t="s">
        <v>1427</v>
      </c>
      <c r="Y332" s="8">
        <v>7</v>
      </c>
    </row>
    <row r="333" spans="22:25" x14ac:dyDescent="0.25">
      <c r="V333" s="7">
        <v>40522</v>
      </c>
      <c r="W333" s="8" t="s">
        <v>4</v>
      </c>
      <c r="X333" s="8" t="s">
        <v>1425</v>
      </c>
      <c r="Y333" s="8">
        <v>20</v>
      </c>
    </row>
    <row r="334" spans="22:25" x14ac:dyDescent="0.25">
      <c r="V334" s="7">
        <v>40904</v>
      </c>
      <c r="W334" s="8" t="s">
        <v>1421</v>
      </c>
      <c r="X334" s="8" t="s">
        <v>1417</v>
      </c>
      <c r="Y334" s="8">
        <v>11</v>
      </c>
    </row>
    <row r="335" spans="22:25" x14ac:dyDescent="0.25">
      <c r="V335" s="7">
        <v>40919</v>
      </c>
      <c r="W335" s="8" t="s">
        <v>1424</v>
      </c>
      <c r="X335" s="8" t="s">
        <v>1426</v>
      </c>
      <c r="Y335" s="8">
        <v>14</v>
      </c>
    </row>
    <row r="336" spans="22:25" x14ac:dyDescent="0.25">
      <c r="V336" s="7">
        <v>40872</v>
      </c>
      <c r="W336" s="8" t="s">
        <v>7</v>
      </c>
      <c r="X336" s="8" t="s">
        <v>1427</v>
      </c>
      <c r="Y336" s="8">
        <v>4</v>
      </c>
    </row>
    <row r="337" spans="22:25" x14ac:dyDescent="0.25">
      <c r="V337" s="7">
        <v>40402</v>
      </c>
      <c r="W337" s="8" t="s">
        <v>1424</v>
      </c>
      <c r="X337" s="8" t="s">
        <v>1417</v>
      </c>
      <c r="Y337" s="8">
        <v>2</v>
      </c>
    </row>
    <row r="338" spans="22:25" x14ac:dyDescent="0.25">
      <c r="V338" s="7">
        <v>40775</v>
      </c>
      <c r="W338" s="8" t="s">
        <v>1424</v>
      </c>
      <c r="X338" s="8" t="s">
        <v>1417</v>
      </c>
      <c r="Y338" s="8">
        <v>13</v>
      </c>
    </row>
    <row r="339" spans="22:25" x14ac:dyDescent="0.25">
      <c r="V339" s="7">
        <v>40627</v>
      </c>
      <c r="W339" s="8" t="s">
        <v>7</v>
      </c>
      <c r="X339" s="8" t="s">
        <v>1415</v>
      </c>
      <c r="Y339" s="8">
        <v>2</v>
      </c>
    </row>
    <row r="340" spans="22:25" x14ac:dyDescent="0.25">
      <c r="V340" s="7">
        <v>40342</v>
      </c>
      <c r="W340" s="8" t="s">
        <v>7</v>
      </c>
      <c r="X340" s="8" t="s">
        <v>1425</v>
      </c>
      <c r="Y340" s="8">
        <v>13</v>
      </c>
    </row>
    <row r="341" spans="22:25" x14ac:dyDescent="0.25">
      <c r="V341" s="7">
        <v>40970</v>
      </c>
      <c r="W341" s="8" t="s">
        <v>1421</v>
      </c>
      <c r="X341" s="8" t="s">
        <v>1417</v>
      </c>
      <c r="Y341" s="8">
        <v>11</v>
      </c>
    </row>
    <row r="342" spans="22:25" x14ac:dyDescent="0.25">
      <c r="V342" s="7">
        <v>40347</v>
      </c>
      <c r="W342" s="8" t="s">
        <v>1421</v>
      </c>
      <c r="X342" s="8" t="s">
        <v>1427</v>
      </c>
      <c r="Y342" s="8">
        <v>9</v>
      </c>
    </row>
    <row r="343" spans="22:25" x14ac:dyDescent="0.25">
      <c r="V343" s="7">
        <v>40370</v>
      </c>
      <c r="W343" s="8" t="s">
        <v>3</v>
      </c>
      <c r="X343" s="8" t="s">
        <v>1422</v>
      </c>
      <c r="Y343" s="8">
        <v>18</v>
      </c>
    </row>
    <row r="344" spans="22:25" x14ac:dyDescent="0.25">
      <c r="V344" s="7">
        <v>40830</v>
      </c>
      <c r="W344" s="8" t="s">
        <v>4</v>
      </c>
      <c r="X344" s="8" t="s">
        <v>1427</v>
      </c>
      <c r="Y344" s="8">
        <v>25</v>
      </c>
    </row>
    <row r="345" spans="22:25" x14ac:dyDescent="0.25">
      <c r="V345" s="7">
        <v>40410</v>
      </c>
      <c r="W345" s="8" t="s">
        <v>135</v>
      </c>
      <c r="X345" s="8" t="s">
        <v>1426</v>
      </c>
      <c r="Y345" s="8">
        <v>18</v>
      </c>
    </row>
    <row r="346" spans="22:25" x14ac:dyDescent="0.25">
      <c r="V346" s="7">
        <v>40664</v>
      </c>
      <c r="W346" s="8" t="s">
        <v>1421</v>
      </c>
      <c r="X346" s="8" t="s">
        <v>1427</v>
      </c>
      <c r="Y346" s="8">
        <v>3</v>
      </c>
    </row>
    <row r="347" spans="22:25" x14ac:dyDescent="0.25">
      <c r="V347" s="7">
        <v>40895</v>
      </c>
      <c r="W347" s="8" t="s">
        <v>4</v>
      </c>
      <c r="X347" s="8" t="s">
        <v>1426</v>
      </c>
      <c r="Y347" s="8">
        <v>1</v>
      </c>
    </row>
    <row r="348" spans="22:25" x14ac:dyDescent="0.25">
      <c r="V348" s="7">
        <v>40865</v>
      </c>
      <c r="W348" s="8" t="s">
        <v>4</v>
      </c>
      <c r="X348" s="8" t="s">
        <v>1427</v>
      </c>
      <c r="Y348" s="8">
        <v>13</v>
      </c>
    </row>
    <row r="349" spans="22:25" x14ac:dyDescent="0.25">
      <c r="V349" s="7">
        <v>40998</v>
      </c>
      <c r="W349" s="8" t="s">
        <v>135</v>
      </c>
      <c r="X349" s="8" t="s">
        <v>1422</v>
      </c>
      <c r="Y349" s="8">
        <v>11</v>
      </c>
    </row>
    <row r="350" spans="22:25" x14ac:dyDescent="0.25">
      <c r="V350" s="7">
        <v>40427</v>
      </c>
      <c r="W350" s="8" t="s">
        <v>1421</v>
      </c>
      <c r="X350" s="8" t="s">
        <v>1417</v>
      </c>
      <c r="Y350" s="8">
        <v>24</v>
      </c>
    </row>
    <row r="351" spans="22:25" x14ac:dyDescent="0.25">
      <c r="V351" s="7">
        <v>40933</v>
      </c>
      <c r="W351" s="8" t="s">
        <v>3</v>
      </c>
      <c r="X351" s="8" t="s">
        <v>1422</v>
      </c>
      <c r="Y351" s="8">
        <v>15</v>
      </c>
    </row>
    <row r="352" spans="22:25" x14ac:dyDescent="0.25">
      <c r="V352" s="7">
        <v>40478</v>
      </c>
      <c r="W352" s="8" t="s">
        <v>4</v>
      </c>
      <c r="X352" s="8" t="s">
        <v>1425</v>
      </c>
      <c r="Y352" s="8">
        <v>19</v>
      </c>
    </row>
    <row r="353" spans="22:25" x14ac:dyDescent="0.25">
      <c r="V353" s="7">
        <v>40360</v>
      </c>
      <c r="W353" s="8" t="s">
        <v>3</v>
      </c>
      <c r="X353" s="8" t="s">
        <v>1422</v>
      </c>
      <c r="Y353" s="8">
        <v>10</v>
      </c>
    </row>
    <row r="354" spans="22:25" x14ac:dyDescent="0.25">
      <c r="V354" s="7">
        <v>40749</v>
      </c>
      <c r="W354" s="8" t="s">
        <v>3</v>
      </c>
      <c r="X354" s="8" t="s">
        <v>1427</v>
      </c>
      <c r="Y354" s="8">
        <v>14</v>
      </c>
    </row>
    <row r="355" spans="22:25" x14ac:dyDescent="0.25">
      <c r="V355" s="7">
        <v>40632</v>
      </c>
      <c r="W355" s="8" t="s">
        <v>135</v>
      </c>
      <c r="X355" s="8" t="s">
        <v>1425</v>
      </c>
      <c r="Y355" s="8">
        <v>16</v>
      </c>
    </row>
    <row r="356" spans="22:25" x14ac:dyDescent="0.25">
      <c r="V356" s="7">
        <v>40614</v>
      </c>
      <c r="W356" s="8" t="s">
        <v>4</v>
      </c>
      <c r="X356" s="8" t="s">
        <v>1422</v>
      </c>
      <c r="Y356" s="8">
        <v>9</v>
      </c>
    </row>
    <row r="357" spans="22:25" x14ac:dyDescent="0.25">
      <c r="V357" s="7">
        <v>40470</v>
      </c>
      <c r="W357" s="8" t="s">
        <v>1421</v>
      </c>
      <c r="X357" s="8" t="s">
        <v>1427</v>
      </c>
      <c r="Y357" s="8">
        <v>1</v>
      </c>
    </row>
    <row r="358" spans="22:25" x14ac:dyDescent="0.25">
      <c r="V358" s="7">
        <v>40335</v>
      </c>
      <c r="W358" s="8" t="s">
        <v>7</v>
      </c>
      <c r="X358" s="8" t="s">
        <v>1422</v>
      </c>
      <c r="Y358" s="8">
        <v>18</v>
      </c>
    </row>
    <row r="359" spans="22:25" x14ac:dyDescent="0.25">
      <c r="V359" s="7">
        <v>40312</v>
      </c>
      <c r="W359" s="8" t="s">
        <v>135</v>
      </c>
      <c r="X359" s="8" t="s">
        <v>1415</v>
      </c>
      <c r="Y359" s="8">
        <v>23</v>
      </c>
    </row>
    <row r="360" spans="22:25" x14ac:dyDescent="0.25">
      <c r="V360" s="7">
        <v>40674</v>
      </c>
      <c r="W360" s="8" t="s">
        <v>135</v>
      </c>
      <c r="X360" s="8" t="s">
        <v>1417</v>
      </c>
      <c r="Y360" s="8">
        <v>8</v>
      </c>
    </row>
    <row r="361" spans="22:25" x14ac:dyDescent="0.25">
      <c r="V361" s="7">
        <v>40517</v>
      </c>
      <c r="W361" s="8" t="s">
        <v>135</v>
      </c>
      <c r="X361" s="8" t="s">
        <v>1417</v>
      </c>
      <c r="Y361" s="8">
        <v>5</v>
      </c>
    </row>
    <row r="362" spans="22:25" x14ac:dyDescent="0.25">
      <c r="V362" s="7">
        <v>40700</v>
      </c>
      <c r="W362" s="8" t="s">
        <v>1421</v>
      </c>
      <c r="X362" s="8" t="s">
        <v>1422</v>
      </c>
      <c r="Y362" s="8">
        <v>14</v>
      </c>
    </row>
    <row r="363" spans="22:25" x14ac:dyDescent="0.25">
      <c r="V363" s="7">
        <v>40456</v>
      </c>
      <c r="W363" s="8" t="s">
        <v>4</v>
      </c>
      <c r="X363" s="8" t="s">
        <v>1426</v>
      </c>
      <c r="Y363" s="8">
        <v>1</v>
      </c>
    </row>
    <row r="364" spans="22:25" x14ac:dyDescent="0.25">
      <c r="V364" s="7">
        <v>40804</v>
      </c>
      <c r="W364" s="8" t="s">
        <v>135</v>
      </c>
      <c r="X364" s="8" t="s">
        <v>1427</v>
      </c>
      <c r="Y364" s="8">
        <v>23</v>
      </c>
    </row>
    <row r="365" spans="22:25" x14ac:dyDescent="0.25">
      <c r="V365" s="7">
        <v>40591</v>
      </c>
      <c r="W365" s="8" t="s">
        <v>135</v>
      </c>
      <c r="X365" s="8" t="s">
        <v>1425</v>
      </c>
      <c r="Y365" s="8">
        <v>13</v>
      </c>
    </row>
    <row r="366" spans="22:25" x14ac:dyDescent="0.25">
      <c r="V366" s="7">
        <v>40726</v>
      </c>
      <c r="W366" s="8" t="s">
        <v>4</v>
      </c>
      <c r="X366" s="8" t="s">
        <v>1425</v>
      </c>
      <c r="Y366" s="8">
        <v>6</v>
      </c>
    </row>
    <row r="367" spans="22:25" x14ac:dyDescent="0.25">
      <c r="V367" s="7">
        <v>40610</v>
      </c>
      <c r="W367" s="8" t="s">
        <v>1424</v>
      </c>
      <c r="X367" s="8" t="s">
        <v>1427</v>
      </c>
      <c r="Y367" s="8">
        <v>4</v>
      </c>
    </row>
    <row r="368" spans="22:25" x14ac:dyDescent="0.25">
      <c r="V368" s="7">
        <v>40350</v>
      </c>
      <c r="W368" s="8" t="s">
        <v>7</v>
      </c>
      <c r="X368" s="8" t="s">
        <v>1422</v>
      </c>
      <c r="Y368" s="8">
        <v>19</v>
      </c>
    </row>
    <row r="369" spans="22:25" x14ac:dyDescent="0.25">
      <c r="V369" s="7">
        <v>40812</v>
      </c>
      <c r="W369" s="8" t="s">
        <v>1424</v>
      </c>
      <c r="X369" s="8" t="s">
        <v>1422</v>
      </c>
      <c r="Y369" s="8">
        <v>3</v>
      </c>
    </row>
    <row r="370" spans="22:25" x14ac:dyDescent="0.25">
      <c r="V370" s="7">
        <v>40890</v>
      </c>
      <c r="W370" s="8" t="s">
        <v>135</v>
      </c>
      <c r="X370" s="8" t="s">
        <v>1417</v>
      </c>
      <c r="Y370" s="8">
        <v>24</v>
      </c>
    </row>
    <row r="371" spans="22:25" x14ac:dyDescent="0.25">
      <c r="V371" s="7">
        <v>40546</v>
      </c>
      <c r="W371" s="8" t="s">
        <v>1424</v>
      </c>
      <c r="X371" s="8" t="s">
        <v>1427</v>
      </c>
      <c r="Y371" s="8">
        <v>11</v>
      </c>
    </row>
    <row r="372" spans="22:25" x14ac:dyDescent="0.25">
      <c r="V372" s="7">
        <v>40810</v>
      </c>
      <c r="W372" s="8" t="s">
        <v>1424</v>
      </c>
      <c r="X372" s="8" t="s">
        <v>1425</v>
      </c>
      <c r="Y372" s="8">
        <v>18</v>
      </c>
    </row>
    <row r="373" spans="22:25" x14ac:dyDescent="0.25">
      <c r="V373" s="7">
        <v>40545</v>
      </c>
      <c r="W373" s="8" t="s">
        <v>7</v>
      </c>
      <c r="X373" s="8" t="s">
        <v>1426</v>
      </c>
      <c r="Y373" s="8">
        <v>15</v>
      </c>
    </row>
    <row r="374" spans="22:25" x14ac:dyDescent="0.25">
      <c r="V374" s="7">
        <v>40687</v>
      </c>
      <c r="W374" s="8" t="s">
        <v>3</v>
      </c>
      <c r="X374" s="8" t="s">
        <v>1426</v>
      </c>
      <c r="Y374" s="8">
        <v>3</v>
      </c>
    </row>
    <row r="375" spans="22:25" x14ac:dyDescent="0.25">
      <c r="V375" s="7">
        <v>40919</v>
      </c>
      <c r="W375" s="8" t="s">
        <v>135</v>
      </c>
      <c r="X375" s="8" t="s">
        <v>1425</v>
      </c>
      <c r="Y375" s="8">
        <v>22</v>
      </c>
    </row>
    <row r="376" spans="22:25" x14ac:dyDescent="0.25">
      <c r="V376" s="7">
        <v>40556</v>
      </c>
      <c r="W376" s="8" t="s">
        <v>135</v>
      </c>
      <c r="X376" s="8" t="s">
        <v>1415</v>
      </c>
      <c r="Y376" s="8">
        <v>16</v>
      </c>
    </row>
    <row r="377" spans="22:25" x14ac:dyDescent="0.25">
      <c r="V377" s="7">
        <v>40777</v>
      </c>
      <c r="W377" s="8" t="s">
        <v>4</v>
      </c>
      <c r="X377" s="8" t="s">
        <v>1425</v>
      </c>
      <c r="Y377" s="8">
        <v>12</v>
      </c>
    </row>
    <row r="378" spans="22:25" x14ac:dyDescent="0.25">
      <c r="V378" s="7">
        <v>40666</v>
      </c>
      <c r="W378" s="8" t="s">
        <v>4</v>
      </c>
      <c r="X378" s="8" t="s">
        <v>1422</v>
      </c>
      <c r="Y378" s="8">
        <v>25</v>
      </c>
    </row>
    <row r="379" spans="22:25" x14ac:dyDescent="0.25">
      <c r="V379" s="7">
        <v>40443</v>
      </c>
      <c r="W379" s="8" t="s">
        <v>1421</v>
      </c>
      <c r="X379" s="8" t="s">
        <v>1427</v>
      </c>
      <c r="Y379" s="8">
        <v>12</v>
      </c>
    </row>
    <row r="380" spans="22:25" x14ac:dyDescent="0.25">
      <c r="V380" s="7">
        <v>40729</v>
      </c>
      <c r="W380" s="8" t="s">
        <v>4</v>
      </c>
      <c r="X380" s="8" t="s">
        <v>1425</v>
      </c>
      <c r="Y380" s="8">
        <v>21</v>
      </c>
    </row>
    <row r="381" spans="22:25" x14ac:dyDescent="0.25">
      <c r="V381" s="7">
        <v>40631</v>
      </c>
      <c r="W381" s="8" t="s">
        <v>7</v>
      </c>
      <c r="X381" s="8" t="s">
        <v>1426</v>
      </c>
      <c r="Y381" s="8">
        <v>24</v>
      </c>
    </row>
    <row r="382" spans="22:25" x14ac:dyDescent="0.25">
      <c r="V382" s="7">
        <v>40890</v>
      </c>
      <c r="W382" s="8" t="s">
        <v>1421</v>
      </c>
      <c r="X382" s="8" t="s">
        <v>1422</v>
      </c>
      <c r="Y382" s="8">
        <v>15</v>
      </c>
    </row>
    <row r="383" spans="22:25" x14ac:dyDescent="0.25">
      <c r="V383" s="7">
        <v>40658</v>
      </c>
      <c r="W383" s="8" t="s">
        <v>4</v>
      </c>
      <c r="X383" s="8" t="s">
        <v>1427</v>
      </c>
      <c r="Y383" s="8">
        <v>20</v>
      </c>
    </row>
    <row r="384" spans="22:25" x14ac:dyDescent="0.25">
      <c r="V384" s="7">
        <v>40503</v>
      </c>
      <c r="W384" s="8" t="s">
        <v>3</v>
      </c>
      <c r="X384" s="8" t="s">
        <v>1417</v>
      </c>
      <c r="Y384" s="8">
        <v>7</v>
      </c>
    </row>
    <row r="385" spans="22:25" x14ac:dyDescent="0.25">
      <c r="V385" s="7">
        <v>40688</v>
      </c>
      <c r="W385" s="8" t="s">
        <v>4</v>
      </c>
      <c r="X385" s="8" t="s">
        <v>1415</v>
      </c>
      <c r="Y385" s="8">
        <v>13</v>
      </c>
    </row>
    <row r="386" spans="22:25" x14ac:dyDescent="0.25">
      <c r="V386" s="7">
        <v>40507</v>
      </c>
      <c r="W386" s="8" t="s">
        <v>4</v>
      </c>
      <c r="X386" s="8" t="s">
        <v>1426</v>
      </c>
      <c r="Y386" s="8">
        <v>6</v>
      </c>
    </row>
    <row r="387" spans="22:25" x14ac:dyDescent="0.25">
      <c r="V387" s="7">
        <v>40948</v>
      </c>
      <c r="W387" s="8" t="s">
        <v>1424</v>
      </c>
      <c r="X387" s="8" t="s">
        <v>1417</v>
      </c>
      <c r="Y387" s="8">
        <v>13</v>
      </c>
    </row>
    <row r="388" spans="22:25" x14ac:dyDescent="0.25">
      <c r="V388" s="7">
        <v>40788</v>
      </c>
      <c r="W388" s="8" t="s">
        <v>1424</v>
      </c>
      <c r="X388" s="8" t="s">
        <v>1417</v>
      </c>
      <c r="Y388" s="8">
        <v>22</v>
      </c>
    </row>
    <row r="389" spans="22:25" x14ac:dyDescent="0.25">
      <c r="V389" s="7">
        <v>40372</v>
      </c>
      <c r="W389" s="8" t="s">
        <v>7</v>
      </c>
      <c r="X389" s="8" t="s">
        <v>1427</v>
      </c>
      <c r="Y389" s="8">
        <v>2</v>
      </c>
    </row>
    <row r="390" spans="22:25" x14ac:dyDescent="0.25">
      <c r="V390" s="7">
        <v>40767</v>
      </c>
      <c r="W390" s="8" t="s">
        <v>3</v>
      </c>
      <c r="X390" s="8" t="s">
        <v>1415</v>
      </c>
      <c r="Y390" s="8">
        <v>17</v>
      </c>
    </row>
    <row r="391" spans="22:25" x14ac:dyDescent="0.25">
      <c r="V391" s="7">
        <v>40422</v>
      </c>
      <c r="W391" s="8" t="s">
        <v>7</v>
      </c>
      <c r="X391" s="8" t="s">
        <v>1427</v>
      </c>
      <c r="Y391" s="8">
        <v>2</v>
      </c>
    </row>
    <row r="392" spans="22:25" x14ac:dyDescent="0.25">
      <c r="V392" s="7">
        <v>40565</v>
      </c>
      <c r="W392" s="8" t="s">
        <v>3</v>
      </c>
      <c r="X392" s="8" t="s">
        <v>1422</v>
      </c>
      <c r="Y392" s="8">
        <v>6</v>
      </c>
    </row>
    <row r="393" spans="22:25" x14ac:dyDescent="0.25">
      <c r="V393" s="7">
        <v>40901</v>
      </c>
      <c r="W393" s="8" t="s">
        <v>1424</v>
      </c>
      <c r="X393" s="8" t="s">
        <v>1426</v>
      </c>
      <c r="Y393" s="8">
        <v>1</v>
      </c>
    </row>
    <row r="394" spans="22:25" x14ac:dyDescent="0.25">
      <c r="V394" s="7">
        <v>40910</v>
      </c>
      <c r="W394" s="8" t="s">
        <v>4</v>
      </c>
      <c r="X394" s="8" t="s">
        <v>1422</v>
      </c>
      <c r="Y394" s="8">
        <v>2</v>
      </c>
    </row>
    <row r="395" spans="22:25" x14ac:dyDescent="0.25">
      <c r="V395" s="7">
        <v>40481</v>
      </c>
      <c r="W395" s="8" t="s">
        <v>135</v>
      </c>
      <c r="X395" s="8" t="s">
        <v>1425</v>
      </c>
      <c r="Y395" s="8">
        <v>8</v>
      </c>
    </row>
    <row r="396" spans="22:25" x14ac:dyDescent="0.25">
      <c r="V396" s="7">
        <v>40980</v>
      </c>
      <c r="W396" s="8" t="s">
        <v>1421</v>
      </c>
      <c r="X396" s="8" t="s">
        <v>1417</v>
      </c>
      <c r="Y396" s="8">
        <v>11</v>
      </c>
    </row>
    <row r="397" spans="22:25" x14ac:dyDescent="0.25">
      <c r="V397" s="7">
        <v>40957</v>
      </c>
      <c r="W397" s="8" t="s">
        <v>1424</v>
      </c>
      <c r="X397" s="8" t="s">
        <v>1425</v>
      </c>
      <c r="Y397" s="8">
        <v>24</v>
      </c>
    </row>
    <row r="398" spans="22:25" x14ac:dyDescent="0.25">
      <c r="V398" s="7">
        <v>40744</v>
      </c>
      <c r="W398" s="8" t="s">
        <v>4</v>
      </c>
      <c r="X398" s="8" t="s">
        <v>1425</v>
      </c>
      <c r="Y398" s="8">
        <v>19</v>
      </c>
    </row>
    <row r="399" spans="22:25" x14ac:dyDescent="0.25">
      <c r="V399" s="7">
        <v>40342</v>
      </c>
      <c r="W399" s="8" t="s">
        <v>135</v>
      </c>
      <c r="X399" s="8" t="s">
        <v>1427</v>
      </c>
      <c r="Y399" s="8">
        <v>15</v>
      </c>
    </row>
    <row r="400" spans="22:25" x14ac:dyDescent="0.25">
      <c r="V400" s="7">
        <v>40387</v>
      </c>
      <c r="W400" s="8" t="s">
        <v>4</v>
      </c>
      <c r="X400" s="8" t="s">
        <v>1422</v>
      </c>
      <c r="Y400" s="8">
        <v>2</v>
      </c>
    </row>
    <row r="401" spans="22:25" x14ac:dyDescent="0.25">
      <c r="V401" s="7">
        <v>40647</v>
      </c>
      <c r="W401" s="8" t="s">
        <v>3</v>
      </c>
      <c r="X401" s="8" t="s">
        <v>1425</v>
      </c>
      <c r="Y401" s="8">
        <v>24</v>
      </c>
    </row>
    <row r="402" spans="22:25" x14ac:dyDescent="0.25">
      <c r="V402" s="7">
        <v>40838</v>
      </c>
      <c r="W402" s="8" t="s">
        <v>4</v>
      </c>
      <c r="X402" s="8" t="s">
        <v>1427</v>
      </c>
      <c r="Y402" s="8">
        <v>4</v>
      </c>
    </row>
    <row r="403" spans="22:25" x14ac:dyDescent="0.25">
      <c r="V403" s="7">
        <v>40532</v>
      </c>
      <c r="W403" s="8" t="s">
        <v>1424</v>
      </c>
      <c r="X403" s="8" t="s">
        <v>1426</v>
      </c>
      <c r="Y403" s="8">
        <v>25</v>
      </c>
    </row>
    <row r="404" spans="22:25" x14ac:dyDescent="0.25">
      <c r="V404" s="7">
        <v>40326</v>
      </c>
      <c r="W404" s="8" t="s">
        <v>1421</v>
      </c>
      <c r="X404" s="8" t="s">
        <v>1422</v>
      </c>
      <c r="Y404" s="8">
        <v>4</v>
      </c>
    </row>
    <row r="405" spans="22:25" x14ac:dyDescent="0.25">
      <c r="V405" s="7">
        <v>40519</v>
      </c>
      <c r="W405" s="8" t="s">
        <v>135</v>
      </c>
      <c r="X405" s="8" t="s">
        <v>1425</v>
      </c>
      <c r="Y405" s="8">
        <v>14</v>
      </c>
    </row>
    <row r="406" spans="22:25" x14ac:dyDescent="0.25">
      <c r="V406" s="7">
        <v>40843</v>
      </c>
      <c r="W406" s="8" t="s">
        <v>135</v>
      </c>
      <c r="X406" s="8" t="s">
        <v>1417</v>
      </c>
      <c r="Y406" s="8">
        <v>18</v>
      </c>
    </row>
    <row r="407" spans="22:25" x14ac:dyDescent="0.25">
      <c r="V407" s="7">
        <v>40905</v>
      </c>
      <c r="W407" s="8" t="s">
        <v>135</v>
      </c>
      <c r="X407" s="8" t="s">
        <v>1426</v>
      </c>
      <c r="Y407" s="8">
        <v>20</v>
      </c>
    </row>
    <row r="408" spans="22:25" x14ac:dyDescent="0.25">
      <c r="V408" s="7">
        <v>40807</v>
      </c>
      <c r="W408" s="8" t="s">
        <v>3</v>
      </c>
      <c r="X408" s="8" t="s">
        <v>1426</v>
      </c>
      <c r="Y408" s="8">
        <v>11</v>
      </c>
    </row>
    <row r="409" spans="22:25" x14ac:dyDescent="0.25">
      <c r="V409" s="7">
        <v>40787</v>
      </c>
      <c r="W409" s="8" t="s">
        <v>135</v>
      </c>
      <c r="X409" s="8" t="s">
        <v>1417</v>
      </c>
      <c r="Y409" s="8">
        <v>21</v>
      </c>
    </row>
    <row r="410" spans="22:25" x14ac:dyDescent="0.25">
      <c r="V410" s="7">
        <v>40331</v>
      </c>
      <c r="W410" s="8" t="s">
        <v>7</v>
      </c>
      <c r="X410" s="8" t="s">
        <v>1426</v>
      </c>
      <c r="Y410" s="8">
        <v>12</v>
      </c>
    </row>
    <row r="411" spans="22:25" x14ac:dyDescent="0.25">
      <c r="V411" s="7">
        <v>40938</v>
      </c>
      <c r="W411" s="8" t="s">
        <v>1424</v>
      </c>
      <c r="X411" s="8" t="s">
        <v>1422</v>
      </c>
      <c r="Y411" s="8">
        <v>7</v>
      </c>
    </row>
    <row r="412" spans="22:25" x14ac:dyDescent="0.25">
      <c r="V412" s="7">
        <v>40940</v>
      </c>
      <c r="W412" s="8" t="s">
        <v>4</v>
      </c>
      <c r="X412" s="8" t="s">
        <v>1427</v>
      </c>
      <c r="Y412" s="8">
        <v>16</v>
      </c>
    </row>
    <row r="413" spans="22:25" x14ac:dyDescent="0.25">
      <c r="V413" s="7">
        <v>40754</v>
      </c>
      <c r="W413" s="8" t="s">
        <v>1421</v>
      </c>
      <c r="X413" s="8" t="s">
        <v>1425</v>
      </c>
      <c r="Y413" s="8">
        <v>3</v>
      </c>
    </row>
    <row r="414" spans="22:25" x14ac:dyDescent="0.25">
      <c r="V414" s="7">
        <v>40572</v>
      </c>
      <c r="W414" s="8" t="s">
        <v>4</v>
      </c>
      <c r="X414" s="8" t="s">
        <v>1415</v>
      </c>
      <c r="Y414" s="8">
        <v>2</v>
      </c>
    </row>
    <row r="415" spans="22:25" x14ac:dyDescent="0.25">
      <c r="V415" s="7">
        <v>40907</v>
      </c>
      <c r="W415" s="8" t="s">
        <v>4</v>
      </c>
      <c r="X415" s="8" t="s">
        <v>1427</v>
      </c>
      <c r="Y415" s="8">
        <v>9</v>
      </c>
    </row>
    <row r="416" spans="22:25" x14ac:dyDescent="0.25">
      <c r="V416" s="7">
        <v>41006</v>
      </c>
      <c r="W416" s="8" t="s">
        <v>7</v>
      </c>
      <c r="X416" s="8" t="s">
        <v>1422</v>
      </c>
      <c r="Y416" s="8">
        <v>10</v>
      </c>
    </row>
    <row r="417" spans="22:25" x14ac:dyDescent="0.25">
      <c r="V417" s="7">
        <v>40732</v>
      </c>
      <c r="W417" s="8" t="s">
        <v>1424</v>
      </c>
      <c r="X417" s="8" t="s">
        <v>1426</v>
      </c>
      <c r="Y417" s="8">
        <v>15</v>
      </c>
    </row>
    <row r="418" spans="22:25" x14ac:dyDescent="0.25">
      <c r="V418" s="7">
        <v>40587</v>
      </c>
      <c r="W418" s="8" t="s">
        <v>1421</v>
      </c>
      <c r="X418" s="8" t="s">
        <v>1427</v>
      </c>
      <c r="Y418" s="8">
        <v>8</v>
      </c>
    </row>
    <row r="419" spans="22:25" x14ac:dyDescent="0.25">
      <c r="V419" s="7">
        <v>40921</v>
      </c>
      <c r="W419" s="8" t="s">
        <v>1421</v>
      </c>
      <c r="X419" s="8" t="s">
        <v>1422</v>
      </c>
      <c r="Y419" s="8">
        <v>25</v>
      </c>
    </row>
    <row r="420" spans="22:25" x14ac:dyDescent="0.25">
      <c r="V420" s="7">
        <v>40573</v>
      </c>
      <c r="W420" s="8" t="s">
        <v>1421</v>
      </c>
      <c r="X420" s="8" t="s">
        <v>1415</v>
      </c>
      <c r="Y420" s="8">
        <v>22</v>
      </c>
    </row>
    <row r="421" spans="22:25" x14ac:dyDescent="0.25">
      <c r="V421" s="7">
        <v>40956</v>
      </c>
      <c r="W421" s="8" t="s">
        <v>7</v>
      </c>
      <c r="X421" s="8" t="s">
        <v>1427</v>
      </c>
      <c r="Y421" s="8">
        <v>24</v>
      </c>
    </row>
    <row r="422" spans="22:25" x14ac:dyDescent="0.25">
      <c r="V422" s="7">
        <v>40460</v>
      </c>
      <c r="W422" s="8" t="s">
        <v>3</v>
      </c>
      <c r="X422" s="8" t="s">
        <v>1417</v>
      </c>
      <c r="Y422" s="8">
        <v>2</v>
      </c>
    </row>
    <row r="423" spans="22:25" x14ac:dyDescent="0.25">
      <c r="V423" s="7">
        <v>40923</v>
      </c>
      <c r="W423" s="8" t="s">
        <v>1424</v>
      </c>
      <c r="X423" s="8" t="s">
        <v>1422</v>
      </c>
      <c r="Y423" s="8">
        <v>12</v>
      </c>
    </row>
    <row r="424" spans="22:25" x14ac:dyDescent="0.25">
      <c r="V424" s="7">
        <v>40347</v>
      </c>
      <c r="W424" s="8" t="s">
        <v>135</v>
      </c>
      <c r="X424" s="8" t="s">
        <v>1415</v>
      </c>
      <c r="Y424" s="8">
        <v>10</v>
      </c>
    </row>
    <row r="425" spans="22:25" x14ac:dyDescent="0.25">
      <c r="V425" s="7">
        <v>40880</v>
      </c>
      <c r="W425" s="8" t="s">
        <v>3</v>
      </c>
      <c r="X425" s="8" t="s">
        <v>1425</v>
      </c>
      <c r="Y425" s="8">
        <v>2</v>
      </c>
    </row>
    <row r="426" spans="22:25" x14ac:dyDescent="0.25">
      <c r="V426" s="7">
        <v>40985</v>
      </c>
      <c r="W426" s="8" t="s">
        <v>1421</v>
      </c>
      <c r="X426" s="8" t="s">
        <v>1427</v>
      </c>
      <c r="Y426" s="8">
        <v>25</v>
      </c>
    </row>
    <row r="427" spans="22:25" x14ac:dyDescent="0.25">
      <c r="V427" s="7">
        <v>40555</v>
      </c>
      <c r="W427" s="8" t="s">
        <v>135</v>
      </c>
      <c r="X427" s="8" t="s">
        <v>1422</v>
      </c>
      <c r="Y427" s="8">
        <v>14</v>
      </c>
    </row>
    <row r="428" spans="22:25" x14ac:dyDescent="0.25">
      <c r="V428" s="7">
        <v>40348</v>
      </c>
      <c r="W428" s="8" t="s">
        <v>7</v>
      </c>
      <c r="X428" s="8" t="s">
        <v>1426</v>
      </c>
      <c r="Y428" s="8">
        <v>25</v>
      </c>
    </row>
    <row r="429" spans="22:25" x14ac:dyDescent="0.25">
      <c r="V429" s="7">
        <v>40560</v>
      </c>
      <c r="W429" s="8" t="s">
        <v>3</v>
      </c>
      <c r="X429" s="8" t="s">
        <v>1426</v>
      </c>
      <c r="Y429" s="8">
        <v>1</v>
      </c>
    </row>
    <row r="430" spans="22:25" x14ac:dyDescent="0.25">
      <c r="V430" s="7">
        <v>40982</v>
      </c>
      <c r="W430" s="8" t="s">
        <v>1424</v>
      </c>
      <c r="X430" s="8" t="s">
        <v>1417</v>
      </c>
      <c r="Y430" s="8">
        <v>1</v>
      </c>
    </row>
    <row r="431" spans="22:25" x14ac:dyDescent="0.25">
      <c r="V431" s="7">
        <v>40884</v>
      </c>
      <c r="W431" s="8" t="s">
        <v>3</v>
      </c>
      <c r="X431" s="8" t="s">
        <v>1426</v>
      </c>
      <c r="Y431" s="8">
        <v>10</v>
      </c>
    </row>
    <row r="432" spans="22:25" x14ac:dyDescent="0.25">
      <c r="V432" s="7">
        <v>40347</v>
      </c>
      <c r="W432" s="8" t="s">
        <v>1424</v>
      </c>
      <c r="X432" s="8" t="s">
        <v>1427</v>
      </c>
      <c r="Y432" s="8">
        <v>19</v>
      </c>
    </row>
    <row r="433" spans="22:25" x14ac:dyDescent="0.25">
      <c r="V433" s="7">
        <v>40431</v>
      </c>
      <c r="W433" s="8" t="s">
        <v>135</v>
      </c>
      <c r="X433" s="8" t="s">
        <v>1425</v>
      </c>
      <c r="Y433" s="8">
        <v>4</v>
      </c>
    </row>
    <row r="434" spans="22:25" x14ac:dyDescent="0.25">
      <c r="V434" s="7">
        <v>40992</v>
      </c>
      <c r="W434" s="8" t="s">
        <v>1424</v>
      </c>
      <c r="X434" s="8" t="s">
        <v>1425</v>
      </c>
      <c r="Y434" s="8">
        <v>22</v>
      </c>
    </row>
    <row r="435" spans="22:25" x14ac:dyDescent="0.25">
      <c r="V435" s="7">
        <v>40803</v>
      </c>
      <c r="W435" s="8" t="s">
        <v>1424</v>
      </c>
      <c r="X435" s="8" t="s">
        <v>1422</v>
      </c>
      <c r="Y435" s="8">
        <v>17</v>
      </c>
    </row>
    <row r="436" spans="22:25" x14ac:dyDescent="0.25">
      <c r="V436" s="7">
        <v>40838</v>
      </c>
      <c r="W436" s="8" t="s">
        <v>1421</v>
      </c>
      <c r="X436" s="8" t="s">
        <v>1415</v>
      </c>
      <c r="Y436" s="8">
        <v>18</v>
      </c>
    </row>
    <row r="437" spans="22:25" x14ac:dyDescent="0.25">
      <c r="V437" s="7">
        <v>40665</v>
      </c>
      <c r="W437" s="8" t="s">
        <v>1421</v>
      </c>
      <c r="X437" s="8" t="s">
        <v>1426</v>
      </c>
      <c r="Y437" s="8">
        <v>21</v>
      </c>
    </row>
    <row r="438" spans="22:25" x14ac:dyDescent="0.25">
      <c r="V438" s="7">
        <v>40767</v>
      </c>
      <c r="W438" s="8" t="s">
        <v>3</v>
      </c>
      <c r="X438" s="8" t="s">
        <v>1426</v>
      </c>
      <c r="Y438" s="8">
        <v>7</v>
      </c>
    </row>
    <row r="439" spans="22:25" x14ac:dyDescent="0.25">
      <c r="V439" s="7">
        <v>40701</v>
      </c>
      <c r="W439" s="8" t="s">
        <v>1421</v>
      </c>
      <c r="X439" s="8" t="s">
        <v>1417</v>
      </c>
      <c r="Y439" s="8">
        <v>16</v>
      </c>
    </row>
    <row r="440" spans="22:25" x14ac:dyDescent="0.25">
      <c r="V440" s="7">
        <v>40714</v>
      </c>
      <c r="W440" s="8" t="s">
        <v>3</v>
      </c>
      <c r="X440" s="8" t="s">
        <v>1422</v>
      </c>
      <c r="Y440" s="8">
        <v>25</v>
      </c>
    </row>
    <row r="441" spans="22:25" x14ac:dyDescent="0.25">
      <c r="V441" s="7">
        <v>40362</v>
      </c>
      <c r="W441" s="8" t="s">
        <v>1424</v>
      </c>
      <c r="X441" s="8" t="s">
        <v>1422</v>
      </c>
      <c r="Y441" s="8">
        <v>1</v>
      </c>
    </row>
    <row r="442" spans="22:25" x14ac:dyDescent="0.25">
      <c r="V442" s="7">
        <v>40549</v>
      </c>
      <c r="W442" s="8" t="s">
        <v>135</v>
      </c>
      <c r="X442" s="8" t="s">
        <v>1415</v>
      </c>
      <c r="Y442" s="8">
        <v>13</v>
      </c>
    </row>
    <row r="443" spans="22:25" x14ac:dyDescent="0.25">
      <c r="V443" s="7">
        <v>40331</v>
      </c>
      <c r="W443" s="8" t="s">
        <v>4</v>
      </c>
      <c r="X443" s="8" t="s">
        <v>1417</v>
      </c>
      <c r="Y443" s="8">
        <v>1</v>
      </c>
    </row>
    <row r="444" spans="22:25" x14ac:dyDescent="0.25">
      <c r="V444" s="7">
        <v>40659</v>
      </c>
      <c r="W444" s="8" t="s">
        <v>7</v>
      </c>
      <c r="X444" s="8" t="s">
        <v>1427</v>
      </c>
      <c r="Y444" s="8">
        <v>13</v>
      </c>
    </row>
    <row r="445" spans="22:25" x14ac:dyDescent="0.25">
      <c r="V445" s="7">
        <v>40941</v>
      </c>
      <c r="W445" s="8" t="s">
        <v>4</v>
      </c>
      <c r="X445" s="8" t="s">
        <v>1426</v>
      </c>
      <c r="Y445" s="8">
        <v>13</v>
      </c>
    </row>
    <row r="446" spans="22:25" x14ac:dyDescent="0.25">
      <c r="V446" s="7">
        <v>40994</v>
      </c>
      <c r="W446" s="8" t="s">
        <v>7</v>
      </c>
      <c r="X446" s="8" t="s">
        <v>1426</v>
      </c>
      <c r="Y446" s="8">
        <v>2</v>
      </c>
    </row>
    <row r="447" spans="22:25" x14ac:dyDescent="0.25">
      <c r="V447" s="7">
        <v>40999</v>
      </c>
      <c r="W447" s="8" t="s">
        <v>1424</v>
      </c>
      <c r="X447" s="8" t="s">
        <v>1427</v>
      </c>
      <c r="Y447" s="8">
        <v>13</v>
      </c>
    </row>
    <row r="448" spans="22:25" x14ac:dyDescent="0.25">
      <c r="V448" s="7">
        <v>40922</v>
      </c>
      <c r="W448" s="8" t="s">
        <v>3</v>
      </c>
      <c r="X448" s="8" t="s">
        <v>1425</v>
      </c>
      <c r="Y448" s="8">
        <v>8</v>
      </c>
    </row>
    <row r="449" spans="22:25" x14ac:dyDescent="0.25">
      <c r="V449" s="7">
        <v>40647</v>
      </c>
      <c r="W449" s="8" t="s">
        <v>7</v>
      </c>
      <c r="X449" s="8" t="s">
        <v>1426</v>
      </c>
      <c r="Y449" s="8">
        <v>4</v>
      </c>
    </row>
    <row r="450" spans="22:25" x14ac:dyDescent="0.25">
      <c r="V450" s="7">
        <v>40829</v>
      </c>
      <c r="W450" s="8" t="s">
        <v>1421</v>
      </c>
      <c r="X450" s="8" t="s">
        <v>1415</v>
      </c>
      <c r="Y450" s="8">
        <v>23</v>
      </c>
    </row>
    <row r="451" spans="22:25" x14ac:dyDescent="0.25">
      <c r="V451" s="7">
        <v>40566</v>
      </c>
      <c r="W451" s="8" t="s">
        <v>1424</v>
      </c>
      <c r="X451" s="8" t="s">
        <v>1425</v>
      </c>
      <c r="Y451" s="8">
        <v>7</v>
      </c>
    </row>
    <row r="452" spans="22:25" x14ac:dyDescent="0.25">
      <c r="V452" s="7">
        <v>40670</v>
      </c>
      <c r="W452" s="8" t="s">
        <v>1424</v>
      </c>
      <c r="X452" s="8" t="s">
        <v>1415</v>
      </c>
      <c r="Y452" s="8">
        <v>19</v>
      </c>
    </row>
    <row r="453" spans="22:25" x14ac:dyDescent="0.25">
      <c r="V453" s="7">
        <v>40893</v>
      </c>
      <c r="W453" s="8" t="s">
        <v>1424</v>
      </c>
      <c r="X453" s="8" t="s">
        <v>1422</v>
      </c>
      <c r="Y453" s="8">
        <v>17</v>
      </c>
    </row>
    <row r="454" spans="22:25" x14ac:dyDescent="0.25">
      <c r="V454" s="7">
        <v>40372</v>
      </c>
      <c r="W454" s="8" t="s">
        <v>1424</v>
      </c>
      <c r="X454" s="8" t="s">
        <v>1417</v>
      </c>
      <c r="Y454" s="8">
        <v>4</v>
      </c>
    </row>
    <row r="455" spans="22:25" x14ac:dyDescent="0.25">
      <c r="V455" s="7">
        <v>40313</v>
      </c>
      <c r="W455" s="8" t="s">
        <v>7</v>
      </c>
      <c r="X455" s="8" t="s">
        <v>1426</v>
      </c>
      <c r="Y455" s="8">
        <v>11</v>
      </c>
    </row>
    <row r="456" spans="22:25" x14ac:dyDescent="0.25">
      <c r="V456" s="7">
        <v>40896</v>
      </c>
      <c r="W456" s="8" t="s">
        <v>1421</v>
      </c>
      <c r="X456" s="8" t="s">
        <v>1425</v>
      </c>
      <c r="Y456" s="8">
        <v>6</v>
      </c>
    </row>
    <row r="457" spans="22:25" x14ac:dyDescent="0.25">
      <c r="V457" s="7">
        <v>40952</v>
      </c>
      <c r="W457" s="8" t="s">
        <v>135</v>
      </c>
      <c r="X457" s="8" t="s">
        <v>1422</v>
      </c>
      <c r="Y457" s="8">
        <v>23</v>
      </c>
    </row>
    <row r="458" spans="22:25" x14ac:dyDescent="0.25">
      <c r="V458" s="7">
        <v>40631</v>
      </c>
      <c r="W458" s="8" t="s">
        <v>4</v>
      </c>
      <c r="X458" s="8" t="s">
        <v>1417</v>
      </c>
      <c r="Y458" s="8">
        <v>19</v>
      </c>
    </row>
    <row r="459" spans="22:25" x14ac:dyDescent="0.25">
      <c r="V459" s="7">
        <v>40427</v>
      </c>
      <c r="W459" s="8" t="s">
        <v>135</v>
      </c>
      <c r="X459" s="8" t="s">
        <v>1415</v>
      </c>
      <c r="Y459" s="8">
        <v>20</v>
      </c>
    </row>
    <row r="460" spans="22:25" x14ac:dyDescent="0.25">
      <c r="V460" s="7">
        <v>40405</v>
      </c>
      <c r="W460" s="8" t="s">
        <v>4</v>
      </c>
      <c r="X460" s="8" t="s">
        <v>1417</v>
      </c>
      <c r="Y460" s="8">
        <v>11</v>
      </c>
    </row>
    <row r="461" spans="22:25" x14ac:dyDescent="0.25">
      <c r="V461" s="7">
        <v>40456</v>
      </c>
      <c r="W461" s="8" t="s">
        <v>135</v>
      </c>
      <c r="X461" s="8" t="s">
        <v>1417</v>
      </c>
      <c r="Y461" s="8">
        <v>5</v>
      </c>
    </row>
    <row r="462" spans="22:25" x14ac:dyDescent="0.25">
      <c r="V462" s="7">
        <v>40587</v>
      </c>
      <c r="W462" s="8" t="s">
        <v>3</v>
      </c>
      <c r="X462" s="8" t="s">
        <v>1422</v>
      </c>
      <c r="Y462" s="8">
        <v>16</v>
      </c>
    </row>
    <row r="463" spans="22:25" x14ac:dyDescent="0.25">
      <c r="V463" s="7">
        <v>40544</v>
      </c>
      <c r="W463" s="8" t="s">
        <v>1424</v>
      </c>
      <c r="X463" s="8" t="s">
        <v>1417</v>
      </c>
      <c r="Y463" s="8">
        <v>2</v>
      </c>
    </row>
    <row r="464" spans="22:25" x14ac:dyDescent="0.25">
      <c r="V464" s="7">
        <v>40732</v>
      </c>
      <c r="W464" s="8" t="s">
        <v>7</v>
      </c>
      <c r="X464" s="8" t="s">
        <v>1417</v>
      </c>
      <c r="Y464" s="8">
        <v>11</v>
      </c>
    </row>
    <row r="465" spans="22:25" x14ac:dyDescent="0.25">
      <c r="V465" s="7">
        <v>40386</v>
      </c>
      <c r="W465" s="8" t="s">
        <v>135</v>
      </c>
      <c r="X465" s="8" t="s">
        <v>1417</v>
      </c>
      <c r="Y465" s="8">
        <v>9</v>
      </c>
    </row>
    <row r="466" spans="22:25" x14ac:dyDescent="0.25">
      <c r="V466" s="7">
        <v>40545</v>
      </c>
      <c r="W466" s="8" t="s">
        <v>1424</v>
      </c>
      <c r="X466" s="8" t="s">
        <v>1427</v>
      </c>
      <c r="Y466" s="8">
        <v>3</v>
      </c>
    </row>
    <row r="467" spans="22:25" x14ac:dyDescent="0.25">
      <c r="V467" s="7">
        <v>40593</v>
      </c>
      <c r="W467" s="8" t="s">
        <v>4</v>
      </c>
      <c r="X467" s="8" t="s">
        <v>1427</v>
      </c>
      <c r="Y467" s="8">
        <v>13</v>
      </c>
    </row>
    <row r="468" spans="22:25" x14ac:dyDescent="0.25">
      <c r="V468" s="7">
        <v>40365</v>
      </c>
      <c r="W468" s="8" t="s">
        <v>1421</v>
      </c>
      <c r="X468" s="8" t="s">
        <v>1415</v>
      </c>
      <c r="Y468" s="8">
        <v>18</v>
      </c>
    </row>
    <row r="469" spans="22:25" x14ac:dyDescent="0.25">
      <c r="V469" s="7">
        <v>40474</v>
      </c>
      <c r="W469" s="8" t="s">
        <v>1421</v>
      </c>
      <c r="X469" s="8" t="s">
        <v>1415</v>
      </c>
      <c r="Y469" s="8">
        <v>9</v>
      </c>
    </row>
    <row r="470" spans="22:25" x14ac:dyDescent="0.25">
      <c r="V470" s="7">
        <v>40603</v>
      </c>
      <c r="W470" s="8" t="s">
        <v>7</v>
      </c>
      <c r="X470" s="8" t="s">
        <v>1422</v>
      </c>
      <c r="Y470" s="8">
        <v>5</v>
      </c>
    </row>
    <row r="471" spans="22:25" x14ac:dyDescent="0.25">
      <c r="V471" s="7">
        <v>40727</v>
      </c>
      <c r="W471" s="8" t="s">
        <v>3</v>
      </c>
      <c r="X471" s="8" t="s">
        <v>1417</v>
      </c>
      <c r="Y471" s="8">
        <v>1</v>
      </c>
    </row>
    <row r="472" spans="22:25" x14ac:dyDescent="0.25">
      <c r="V472" s="7">
        <v>40999</v>
      </c>
      <c r="W472" s="8" t="s">
        <v>7</v>
      </c>
      <c r="X472" s="8" t="s">
        <v>1417</v>
      </c>
      <c r="Y472" s="8">
        <v>6</v>
      </c>
    </row>
    <row r="473" spans="22:25" x14ac:dyDescent="0.25">
      <c r="V473" s="7">
        <v>40372</v>
      </c>
      <c r="W473" s="8" t="s">
        <v>1421</v>
      </c>
      <c r="X473" s="8" t="s">
        <v>1425</v>
      </c>
      <c r="Y473" s="8">
        <v>7</v>
      </c>
    </row>
    <row r="474" spans="22:25" x14ac:dyDescent="0.25">
      <c r="V474" s="7">
        <v>40315</v>
      </c>
      <c r="W474" s="8" t="s">
        <v>135</v>
      </c>
      <c r="X474" s="8" t="s">
        <v>1427</v>
      </c>
      <c r="Y474" s="8">
        <v>24</v>
      </c>
    </row>
    <row r="475" spans="22:25" x14ac:dyDescent="0.25">
      <c r="V475" s="7">
        <v>40726</v>
      </c>
      <c r="W475" s="8" t="s">
        <v>7</v>
      </c>
      <c r="X475" s="8" t="s">
        <v>1415</v>
      </c>
      <c r="Y475" s="8">
        <v>15</v>
      </c>
    </row>
    <row r="476" spans="22:25" x14ac:dyDescent="0.25">
      <c r="V476" s="7">
        <v>40565</v>
      </c>
      <c r="W476" s="8" t="s">
        <v>4</v>
      </c>
      <c r="X476" s="8" t="s">
        <v>1422</v>
      </c>
      <c r="Y476" s="8">
        <v>12</v>
      </c>
    </row>
    <row r="477" spans="22:25" x14ac:dyDescent="0.25">
      <c r="V477" s="7">
        <v>40734</v>
      </c>
      <c r="W477" s="8" t="s">
        <v>1424</v>
      </c>
      <c r="X477" s="8" t="s">
        <v>1426</v>
      </c>
      <c r="Y477" s="8">
        <v>1</v>
      </c>
    </row>
    <row r="478" spans="22:25" x14ac:dyDescent="0.25">
      <c r="V478" s="7">
        <v>40628</v>
      </c>
      <c r="W478" s="8" t="s">
        <v>1421</v>
      </c>
      <c r="X478" s="8" t="s">
        <v>1426</v>
      </c>
      <c r="Y478" s="8">
        <v>12</v>
      </c>
    </row>
    <row r="479" spans="22:25" x14ac:dyDescent="0.25">
      <c r="V479" s="7">
        <v>40400</v>
      </c>
      <c r="W479" s="8" t="s">
        <v>4</v>
      </c>
      <c r="X479" s="8" t="s">
        <v>1425</v>
      </c>
      <c r="Y479" s="8">
        <v>9</v>
      </c>
    </row>
    <row r="480" spans="22:25" x14ac:dyDescent="0.25">
      <c r="V480" s="7">
        <v>40412</v>
      </c>
      <c r="W480" s="8" t="s">
        <v>1424</v>
      </c>
      <c r="X480" s="8" t="s">
        <v>1415</v>
      </c>
      <c r="Y480" s="8">
        <v>1</v>
      </c>
    </row>
    <row r="481" spans="22:25" x14ac:dyDescent="0.25">
      <c r="V481" s="7">
        <v>40914</v>
      </c>
      <c r="W481" s="8" t="s">
        <v>4</v>
      </c>
      <c r="X481" s="8" t="s">
        <v>1426</v>
      </c>
      <c r="Y481" s="8">
        <v>4</v>
      </c>
    </row>
    <row r="482" spans="22:25" x14ac:dyDescent="0.25">
      <c r="V482" s="7">
        <v>40666</v>
      </c>
      <c r="W482" s="8" t="s">
        <v>135</v>
      </c>
      <c r="X482" s="8" t="s">
        <v>1422</v>
      </c>
      <c r="Y482" s="8">
        <v>20</v>
      </c>
    </row>
    <row r="483" spans="22:25" x14ac:dyDescent="0.25">
      <c r="V483" s="7">
        <v>40995</v>
      </c>
      <c r="W483" s="8" t="s">
        <v>3</v>
      </c>
      <c r="X483" s="8" t="s">
        <v>1422</v>
      </c>
      <c r="Y483" s="8">
        <v>19</v>
      </c>
    </row>
    <row r="484" spans="22:25" x14ac:dyDescent="0.25">
      <c r="V484" s="7">
        <v>40769</v>
      </c>
      <c r="W484" s="8" t="s">
        <v>1421</v>
      </c>
      <c r="X484" s="8" t="s">
        <v>1417</v>
      </c>
      <c r="Y484" s="8">
        <v>4</v>
      </c>
    </row>
    <row r="485" spans="22:25" x14ac:dyDescent="0.25">
      <c r="V485" s="7">
        <v>40519</v>
      </c>
      <c r="W485" s="8" t="s">
        <v>4</v>
      </c>
      <c r="X485" s="8" t="s">
        <v>1425</v>
      </c>
      <c r="Y485" s="8">
        <v>4</v>
      </c>
    </row>
    <row r="486" spans="22:25" x14ac:dyDescent="0.25">
      <c r="V486" s="7">
        <v>40688</v>
      </c>
      <c r="W486" s="8" t="s">
        <v>3</v>
      </c>
      <c r="X486" s="8" t="s">
        <v>1415</v>
      </c>
      <c r="Y486" s="8">
        <v>23</v>
      </c>
    </row>
    <row r="487" spans="22:25" x14ac:dyDescent="0.25">
      <c r="V487" s="7">
        <v>40504</v>
      </c>
      <c r="W487" s="8" t="s">
        <v>135</v>
      </c>
      <c r="X487" s="8" t="s">
        <v>1415</v>
      </c>
      <c r="Y487" s="8">
        <v>17</v>
      </c>
    </row>
    <row r="488" spans="22:25" x14ac:dyDescent="0.25">
      <c r="V488" s="7">
        <v>40650</v>
      </c>
      <c r="W488" s="8" t="s">
        <v>7</v>
      </c>
      <c r="X488" s="8" t="s">
        <v>1426</v>
      </c>
      <c r="Y488" s="8">
        <v>21</v>
      </c>
    </row>
    <row r="489" spans="22:25" x14ac:dyDescent="0.25">
      <c r="V489" s="7">
        <v>40986</v>
      </c>
      <c r="W489" s="8" t="s">
        <v>1424</v>
      </c>
      <c r="X489" s="8" t="s">
        <v>1415</v>
      </c>
      <c r="Y489" s="8">
        <v>19</v>
      </c>
    </row>
    <row r="490" spans="22:25" x14ac:dyDescent="0.25">
      <c r="V490" s="7">
        <v>40444</v>
      </c>
      <c r="W490" s="8" t="s">
        <v>1424</v>
      </c>
      <c r="X490" s="8" t="s">
        <v>1426</v>
      </c>
      <c r="Y490" s="8">
        <v>17</v>
      </c>
    </row>
    <row r="491" spans="22:25" x14ac:dyDescent="0.25">
      <c r="V491" s="7">
        <v>40749</v>
      </c>
      <c r="W491" s="8" t="s">
        <v>7</v>
      </c>
      <c r="X491" s="8" t="s">
        <v>1427</v>
      </c>
      <c r="Y491" s="8">
        <v>24</v>
      </c>
    </row>
    <row r="492" spans="22:25" x14ac:dyDescent="0.25">
      <c r="V492" s="7">
        <v>40747</v>
      </c>
      <c r="W492" s="8" t="s">
        <v>7</v>
      </c>
      <c r="X492" s="8" t="s">
        <v>1426</v>
      </c>
      <c r="Y492" s="8">
        <v>21</v>
      </c>
    </row>
    <row r="493" spans="22:25" x14ac:dyDescent="0.25">
      <c r="V493" s="7">
        <v>40815</v>
      </c>
      <c r="W493" s="8" t="s">
        <v>1421</v>
      </c>
      <c r="X493" s="8" t="s">
        <v>1417</v>
      </c>
      <c r="Y493" s="8">
        <v>20</v>
      </c>
    </row>
    <row r="494" spans="22:25" x14ac:dyDescent="0.25">
      <c r="V494" s="7">
        <v>40397</v>
      </c>
      <c r="W494" s="8" t="s">
        <v>3</v>
      </c>
      <c r="X494" s="8" t="s">
        <v>1415</v>
      </c>
      <c r="Y494" s="8">
        <v>19</v>
      </c>
    </row>
    <row r="495" spans="22:25" x14ac:dyDescent="0.25">
      <c r="V495" s="7">
        <v>40419</v>
      </c>
      <c r="W495" s="8" t="s">
        <v>135</v>
      </c>
      <c r="X495" s="8" t="s">
        <v>1426</v>
      </c>
      <c r="Y495" s="8">
        <v>19</v>
      </c>
    </row>
    <row r="496" spans="22:25" x14ac:dyDescent="0.25">
      <c r="V496" s="7">
        <v>40491</v>
      </c>
      <c r="W496" s="8" t="s">
        <v>3</v>
      </c>
      <c r="X496" s="8" t="s">
        <v>1425</v>
      </c>
      <c r="Y496" s="8">
        <v>25</v>
      </c>
    </row>
    <row r="497" spans="22:25" x14ac:dyDescent="0.25">
      <c r="V497" s="7">
        <v>40842</v>
      </c>
      <c r="W497" s="8" t="s">
        <v>4</v>
      </c>
      <c r="X497" s="8" t="s">
        <v>1417</v>
      </c>
      <c r="Y497" s="8">
        <v>8</v>
      </c>
    </row>
    <row r="498" spans="22:25" x14ac:dyDescent="0.25">
      <c r="V498" s="7">
        <v>40803</v>
      </c>
      <c r="W498" s="8" t="s">
        <v>1424</v>
      </c>
      <c r="X498" s="8" t="s">
        <v>1422</v>
      </c>
      <c r="Y498" s="8">
        <v>7</v>
      </c>
    </row>
    <row r="499" spans="22:25" x14ac:dyDescent="0.25">
      <c r="V499" s="7">
        <v>40588</v>
      </c>
      <c r="W499" s="8" t="s">
        <v>3</v>
      </c>
      <c r="X499" s="8" t="s">
        <v>1417</v>
      </c>
      <c r="Y499" s="8">
        <v>22</v>
      </c>
    </row>
    <row r="500" spans="22:25" x14ac:dyDescent="0.25">
      <c r="V500" s="7">
        <v>40583</v>
      </c>
      <c r="W500" s="8" t="s">
        <v>7</v>
      </c>
      <c r="X500" s="8" t="s">
        <v>1425</v>
      </c>
      <c r="Y500" s="8">
        <v>16</v>
      </c>
    </row>
    <row r="501" spans="22:25" x14ac:dyDescent="0.25">
      <c r="V501" s="7">
        <v>40941</v>
      </c>
      <c r="W501" s="8" t="s">
        <v>1421</v>
      </c>
      <c r="X501" s="8" t="s">
        <v>1426</v>
      </c>
      <c r="Y501" s="8">
        <v>10</v>
      </c>
    </row>
    <row r="502" spans="22:25" x14ac:dyDescent="0.25">
      <c r="V502" s="7">
        <v>40331</v>
      </c>
      <c r="W502" s="8" t="s">
        <v>135</v>
      </c>
      <c r="X502" s="8" t="s">
        <v>1426</v>
      </c>
      <c r="Y502" s="8">
        <v>16</v>
      </c>
    </row>
    <row r="503" spans="22:25" x14ac:dyDescent="0.25">
      <c r="V503" s="7">
        <v>40510</v>
      </c>
      <c r="W503" s="8" t="s">
        <v>4</v>
      </c>
      <c r="X503" s="8" t="s">
        <v>1415</v>
      </c>
      <c r="Y503" s="8">
        <v>6</v>
      </c>
    </row>
    <row r="504" spans="22:25" x14ac:dyDescent="0.25">
      <c r="V504" s="7">
        <v>40406</v>
      </c>
      <c r="W504" s="8" t="s">
        <v>1424</v>
      </c>
      <c r="X504" s="8" t="s">
        <v>1417</v>
      </c>
      <c r="Y504" s="8">
        <v>13</v>
      </c>
    </row>
    <row r="505" spans="22:25" x14ac:dyDescent="0.25">
      <c r="V505" s="7">
        <v>40799</v>
      </c>
      <c r="W505" s="8" t="s">
        <v>4</v>
      </c>
      <c r="X505" s="8" t="s">
        <v>1417</v>
      </c>
      <c r="Y505" s="8">
        <v>14</v>
      </c>
    </row>
    <row r="506" spans="22:25" x14ac:dyDescent="0.25">
      <c r="V506" s="7">
        <v>40729</v>
      </c>
      <c r="W506" s="8" t="s">
        <v>1424</v>
      </c>
      <c r="X506" s="8" t="s">
        <v>1427</v>
      </c>
      <c r="Y506" s="8">
        <v>2</v>
      </c>
    </row>
    <row r="507" spans="22:25" x14ac:dyDescent="0.25">
      <c r="V507" s="7">
        <v>40684</v>
      </c>
      <c r="W507" s="8" t="s">
        <v>1421</v>
      </c>
      <c r="X507" s="8" t="s">
        <v>1425</v>
      </c>
      <c r="Y507" s="8">
        <v>19</v>
      </c>
    </row>
    <row r="508" spans="22:25" x14ac:dyDescent="0.25">
      <c r="V508" s="7">
        <v>40403</v>
      </c>
      <c r="W508" s="8" t="s">
        <v>4</v>
      </c>
      <c r="X508" s="8" t="s">
        <v>1415</v>
      </c>
      <c r="Y508" s="8">
        <v>7</v>
      </c>
    </row>
    <row r="509" spans="22:25" x14ac:dyDescent="0.25">
      <c r="V509" s="7">
        <v>40954</v>
      </c>
      <c r="W509" s="8" t="s">
        <v>1421</v>
      </c>
      <c r="X509" s="8" t="s">
        <v>1425</v>
      </c>
      <c r="Y509" s="8">
        <v>8</v>
      </c>
    </row>
    <row r="510" spans="22:25" x14ac:dyDescent="0.25">
      <c r="V510" s="7">
        <v>40499</v>
      </c>
      <c r="W510" s="8" t="s">
        <v>1424</v>
      </c>
      <c r="X510" s="8" t="s">
        <v>1417</v>
      </c>
      <c r="Y510" s="8">
        <v>4</v>
      </c>
    </row>
    <row r="511" spans="22:25" x14ac:dyDescent="0.25">
      <c r="V511" s="7">
        <v>40718</v>
      </c>
      <c r="W511" s="8" t="s">
        <v>1424</v>
      </c>
      <c r="X511" s="8" t="s">
        <v>1425</v>
      </c>
      <c r="Y511" s="8">
        <v>9</v>
      </c>
    </row>
    <row r="512" spans="22:25" x14ac:dyDescent="0.25">
      <c r="V512" s="7">
        <v>40428</v>
      </c>
      <c r="W512" s="8" t="s">
        <v>3</v>
      </c>
      <c r="X512" s="8" t="s">
        <v>1422</v>
      </c>
      <c r="Y512" s="8">
        <v>24</v>
      </c>
    </row>
    <row r="513" spans="22:25" x14ac:dyDescent="0.25">
      <c r="V513" s="7">
        <v>40526</v>
      </c>
      <c r="W513" s="8" t="s">
        <v>4</v>
      </c>
      <c r="X513" s="8" t="s">
        <v>1417</v>
      </c>
      <c r="Y513" s="8">
        <v>15</v>
      </c>
    </row>
    <row r="514" spans="22:25" x14ac:dyDescent="0.25">
      <c r="V514" s="7">
        <v>40312</v>
      </c>
      <c r="W514" s="8" t="s">
        <v>135</v>
      </c>
      <c r="X514" s="8" t="s">
        <v>1426</v>
      </c>
      <c r="Y514" s="8">
        <v>10</v>
      </c>
    </row>
    <row r="515" spans="22:25" x14ac:dyDescent="0.25">
      <c r="V515" s="7">
        <v>40570</v>
      </c>
      <c r="W515" s="8" t="s">
        <v>1424</v>
      </c>
      <c r="X515" s="8" t="s">
        <v>1427</v>
      </c>
      <c r="Y515" s="8">
        <v>14</v>
      </c>
    </row>
    <row r="516" spans="22:25" x14ac:dyDescent="0.25">
      <c r="V516" s="7">
        <v>40656</v>
      </c>
      <c r="W516" s="8" t="s">
        <v>3</v>
      </c>
      <c r="X516" s="8" t="s">
        <v>1425</v>
      </c>
      <c r="Y516" s="8">
        <v>24</v>
      </c>
    </row>
    <row r="517" spans="22:25" x14ac:dyDescent="0.25">
      <c r="V517" s="7">
        <v>40795</v>
      </c>
      <c r="W517" s="8" t="s">
        <v>3</v>
      </c>
      <c r="X517" s="8" t="s">
        <v>1422</v>
      </c>
      <c r="Y517" s="8">
        <v>9</v>
      </c>
    </row>
    <row r="518" spans="22:25" x14ac:dyDescent="0.25">
      <c r="V518" s="7">
        <v>40585</v>
      </c>
      <c r="W518" s="8" t="s">
        <v>1424</v>
      </c>
      <c r="X518" s="8" t="s">
        <v>1427</v>
      </c>
      <c r="Y518" s="8">
        <v>21</v>
      </c>
    </row>
    <row r="519" spans="22:25" x14ac:dyDescent="0.25">
      <c r="V519" s="7">
        <v>40530</v>
      </c>
      <c r="W519" s="8" t="s">
        <v>7</v>
      </c>
      <c r="X519" s="8" t="s">
        <v>1426</v>
      </c>
      <c r="Y519" s="8">
        <v>7</v>
      </c>
    </row>
    <row r="520" spans="22:25" x14ac:dyDescent="0.25">
      <c r="V520" s="7">
        <v>40713</v>
      </c>
      <c r="W520" s="8" t="s">
        <v>7</v>
      </c>
      <c r="X520" s="8" t="s">
        <v>1425</v>
      </c>
      <c r="Y520" s="8">
        <v>2</v>
      </c>
    </row>
    <row r="521" spans="22:25" x14ac:dyDescent="0.25">
      <c r="V521" s="7">
        <v>40513</v>
      </c>
      <c r="W521" s="8" t="s">
        <v>135</v>
      </c>
      <c r="X521" s="8" t="s">
        <v>1417</v>
      </c>
      <c r="Y521" s="8">
        <v>4</v>
      </c>
    </row>
    <row r="522" spans="22:25" x14ac:dyDescent="0.25">
      <c r="V522" s="7">
        <v>40499</v>
      </c>
      <c r="W522" s="8" t="s">
        <v>7</v>
      </c>
      <c r="X522" s="8" t="s">
        <v>1427</v>
      </c>
      <c r="Y522" s="8">
        <v>6</v>
      </c>
    </row>
    <row r="523" spans="22:25" x14ac:dyDescent="0.25">
      <c r="V523" s="7">
        <v>40792</v>
      </c>
      <c r="W523" s="8" t="s">
        <v>3</v>
      </c>
      <c r="X523" s="8" t="s">
        <v>1426</v>
      </c>
      <c r="Y523" s="8">
        <v>2</v>
      </c>
    </row>
    <row r="524" spans="22:25" x14ac:dyDescent="0.25">
      <c r="V524" s="7">
        <v>40936</v>
      </c>
      <c r="W524" s="8" t="s">
        <v>1421</v>
      </c>
      <c r="X524" s="8" t="s">
        <v>1415</v>
      </c>
      <c r="Y524" s="8">
        <v>23</v>
      </c>
    </row>
    <row r="525" spans="22:25" x14ac:dyDescent="0.25">
      <c r="V525" s="7">
        <v>40919</v>
      </c>
      <c r="W525" s="8" t="s">
        <v>135</v>
      </c>
      <c r="X525" s="8" t="s">
        <v>1417</v>
      </c>
      <c r="Y525" s="8">
        <v>5</v>
      </c>
    </row>
    <row r="526" spans="22:25" x14ac:dyDescent="0.25">
      <c r="V526" s="7">
        <v>40593</v>
      </c>
      <c r="W526" s="8" t="s">
        <v>1421</v>
      </c>
      <c r="X526" s="8" t="s">
        <v>1427</v>
      </c>
      <c r="Y526" s="8">
        <v>11</v>
      </c>
    </row>
    <row r="527" spans="22:25" x14ac:dyDescent="0.25">
      <c r="V527" s="7">
        <v>40443</v>
      </c>
      <c r="W527" s="8" t="s">
        <v>4</v>
      </c>
      <c r="X527" s="8" t="s">
        <v>1426</v>
      </c>
      <c r="Y527" s="8">
        <v>24</v>
      </c>
    </row>
    <row r="528" spans="22:25" x14ac:dyDescent="0.25">
      <c r="V528" s="7">
        <v>40312</v>
      </c>
      <c r="W528" s="8" t="s">
        <v>4</v>
      </c>
      <c r="X528" s="8" t="s">
        <v>1422</v>
      </c>
      <c r="Y528" s="8">
        <v>22</v>
      </c>
    </row>
    <row r="529" spans="22:25" x14ac:dyDescent="0.25">
      <c r="V529" s="7">
        <v>40459</v>
      </c>
      <c r="W529" s="8" t="s">
        <v>135</v>
      </c>
      <c r="X529" s="8" t="s">
        <v>1417</v>
      </c>
      <c r="Y529" s="8">
        <v>18</v>
      </c>
    </row>
    <row r="530" spans="22:25" x14ac:dyDescent="0.25">
      <c r="V530" s="7">
        <v>40451</v>
      </c>
      <c r="W530" s="8" t="s">
        <v>1424</v>
      </c>
      <c r="X530" s="8" t="s">
        <v>1415</v>
      </c>
      <c r="Y530" s="8">
        <v>3</v>
      </c>
    </row>
    <row r="531" spans="22:25" x14ac:dyDescent="0.25">
      <c r="V531" s="7">
        <v>40785</v>
      </c>
      <c r="W531" s="8" t="s">
        <v>1424</v>
      </c>
      <c r="X531" s="8" t="s">
        <v>1417</v>
      </c>
      <c r="Y531" s="8">
        <v>9</v>
      </c>
    </row>
    <row r="532" spans="22:25" x14ac:dyDescent="0.25">
      <c r="V532" s="7">
        <v>40498</v>
      </c>
      <c r="W532" s="8" t="s">
        <v>4</v>
      </c>
      <c r="X532" s="8" t="s">
        <v>1425</v>
      </c>
      <c r="Y532" s="8">
        <v>23</v>
      </c>
    </row>
    <row r="533" spans="22:25" x14ac:dyDescent="0.25">
      <c r="V533" s="7">
        <v>40477</v>
      </c>
      <c r="W533" s="8" t="s">
        <v>1421</v>
      </c>
      <c r="X533" s="8" t="s">
        <v>1427</v>
      </c>
      <c r="Y533" s="8">
        <v>10</v>
      </c>
    </row>
    <row r="534" spans="22:25" x14ac:dyDescent="0.25">
      <c r="V534" s="7">
        <v>40850</v>
      </c>
      <c r="W534" s="8" t="s">
        <v>135</v>
      </c>
      <c r="X534" s="8" t="s">
        <v>1415</v>
      </c>
      <c r="Y534" s="8">
        <v>24</v>
      </c>
    </row>
    <row r="535" spans="22:25" x14ac:dyDescent="0.25">
      <c r="V535" s="7">
        <v>40751</v>
      </c>
      <c r="W535" s="8" t="s">
        <v>4</v>
      </c>
      <c r="X535" s="8" t="s">
        <v>1425</v>
      </c>
      <c r="Y535" s="8">
        <v>24</v>
      </c>
    </row>
    <row r="536" spans="22:25" x14ac:dyDescent="0.25">
      <c r="V536" s="7">
        <v>40630</v>
      </c>
      <c r="W536" s="8" t="s">
        <v>1421</v>
      </c>
      <c r="X536" s="8" t="s">
        <v>1426</v>
      </c>
      <c r="Y536" s="8">
        <v>25</v>
      </c>
    </row>
    <row r="537" spans="22:25" x14ac:dyDescent="0.25">
      <c r="V537" s="7">
        <v>40579</v>
      </c>
      <c r="W537" s="8" t="s">
        <v>7</v>
      </c>
      <c r="X537" s="8" t="s">
        <v>1426</v>
      </c>
      <c r="Y537" s="8">
        <v>2</v>
      </c>
    </row>
    <row r="538" spans="22:25" x14ac:dyDescent="0.25">
      <c r="V538" s="7">
        <v>40774</v>
      </c>
      <c r="W538" s="8" t="s">
        <v>1421</v>
      </c>
      <c r="X538" s="8" t="s">
        <v>1425</v>
      </c>
      <c r="Y538" s="8">
        <v>2</v>
      </c>
    </row>
    <row r="539" spans="22:25" x14ac:dyDescent="0.25">
      <c r="V539" s="7">
        <v>40895</v>
      </c>
      <c r="W539" s="8" t="s">
        <v>1421</v>
      </c>
      <c r="X539" s="8" t="s">
        <v>1415</v>
      </c>
      <c r="Y539" s="8">
        <v>3</v>
      </c>
    </row>
    <row r="540" spans="22:25" x14ac:dyDescent="0.25">
      <c r="V540" s="7">
        <v>40981</v>
      </c>
      <c r="W540" s="8" t="s">
        <v>4</v>
      </c>
      <c r="X540" s="8" t="s">
        <v>1427</v>
      </c>
      <c r="Y540" s="8">
        <v>2</v>
      </c>
    </row>
    <row r="541" spans="22:25" x14ac:dyDescent="0.25">
      <c r="V541" s="7">
        <v>40328</v>
      </c>
      <c r="W541" s="8" t="s">
        <v>4</v>
      </c>
      <c r="X541" s="8" t="s">
        <v>1427</v>
      </c>
      <c r="Y541" s="8">
        <v>13</v>
      </c>
    </row>
    <row r="542" spans="22:25" x14ac:dyDescent="0.25">
      <c r="V542" s="7">
        <v>40643</v>
      </c>
      <c r="W542" s="8" t="s">
        <v>1424</v>
      </c>
      <c r="X542" s="8" t="s">
        <v>1426</v>
      </c>
      <c r="Y542" s="8">
        <v>10</v>
      </c>
    </row>
    <row r="543" spans="22:25" x14ac:dyDescent="0.25">
      <c r="V543" s="7">
        <v>40548</v>
      </c>
      <c r="W543" s="8" t="s">
        <v>7</v>
      </c>
      <c r="X543" s="8" t="s">
        <v>1426</v>
      </c>
      <c r="Y543" s="8">
        <v>19</v>
      </c>
    </row>
    <row r="544" spans="22:25" x14ac:dyDescent="0.25">
      <c r="V544" s="7">
        <v>40776</v>
      </c>
      <c r="W544" s="8" t="s">
        <v>1421</v>
      </c>
      <c r="X544" s="8" t="s">
        <v>1426</v>
      </c>
      <c r="Y544" s="8">
        <v>3</v>
      </c>
    </row>
    <row r="545" spans="22:25" x14ac:dyDescent="0.25">
      <c r="V545" s="7">
        <v>40971</v>
      </c>
      <c r="W545" s="8" t="s">
        <v>1424</v>
      </c>
      <c r="X545" s="8" t="s">
        <v>1422</v>
      </c>
      <c r="Y545" s="8">
        <v>10</v>
      </c>
    </row>
    <row r="546" spans="22:25" x14ac:dyDescent="0.25">
      <c r="V546" s="7">
        <v>40850</v>
      </c>
      <c r="W546" s="8" t="s">
        <v>1421</v>
      </c>
      <c r="X546" s="8" t="s">
        <v>1425</v>
      </c>
      <c r="Y546" s="8">
        <v>13</v>
      </c>
    </row>
    <row r="547" spans="22:25" x14ac:dyDescent="0.25">
      <c r="V547" s="7">
        <v>40820</v>
      </c>
      <c r="W547" s="8" t="s">
        <v>3</v>
      </c>
      <c r="X547" s="8" t="s">
        <v>1415</v>
      </c>
      <c r="Y547" s="8">
        <v>19</v>
      </c>
    </row>
    <row r="548" spans="22:25" x14ac:dyDescent="0.25">
      <c r="V548" s="7">
        <v>40662</v>
      </c>
      <c r="W548" s="8" t="s">
        <v>4</v>
      </c>
      <c r="X548" s="8" t="s">
        <v>1417</v>
      </c>
      <c r="Y548" s="8">
        <v>13</v>
      </c>
    </row>
    <row r="549" spans="22:25" x14ac:dyDescent="0.25">
      <c r="V549" s="7">
        <v>40583</v>
      </c>
      <c r="W549" s="8" t="s">
        <v>1421</v>
      </c>
      <c r="X549" s="8" t="s">
        <v>1426</v>
      </c>
      <c r="Y549" s="8">
        <v>17</v>
      </c>
    </row>
    <row r="550" spans="22:25" x14ac:dyDescent="0.25">
      <c r="V550" s="7">
        <v>40330</v>
      </c>
      <c r="W550" s="8" t="s">
        <v>1424</v>
      </c>
      <c r="X550" s="8" t="s">
        <v>1425</v>
      </c>
      <c r="Y550" s="8">
        <v>4</v>
      </c>
    </row>
    <row r="551" spans="22:25" x14ac:dyDescent="0.25">
      <c r="V551" s="7">
        <v>40868</v>
      </c>
      <c r="W551" s="8" t="s">
        <v>1424</v>
      </c>
      <c r="X551" s="8" t="s">
        <v>1422</v>
      </c>
      <c r="Y551" s="8">
        <v>7</v>
      </c>
    </row>
    <row r="552" spans="22:25" x14ac:dyDescent="0.25">
      <c r="V552" s="7">
        <v>40329</v>
      </c>
      <c r="W552" s="8" t="s">
        <v>4</v>
      </c>
      <c r="X552" s="8" t="s">
        <v>1415</v>
      </c>
      <c r="Y552" s="8">
        <v>16</v>
      </c>
    </row>
    <row r="553" spans="22:25" x14ac:dyDescent="0.25">
      <c r="V553" s="7">
        <v>40802</v>
      </c>
      <c r="W553" s="8" t="s">
        <v>4</v>
      </c>
      <c r="X553" s="8" t="s">
        <v>1427</v>
      </c>
      <c r="Y553" s="8">
        <v>14</v>
      </c>
    </row>
    <row r="554" spans="22:25" x14ac:dyDescent="0.25">
      <c r="V554" s="7">
        <v>40637</v>
      </c>
      <c r="W554" s="8" t="s">
        <v>135</v>
      </c>
      <c r="X554" s="8" t="s">
        <v>1415</v>
      </c>
      <c r="Y554" s="8">
        <v>6</v>
      </c>
    </row>
    <row r="555" spans="22:25" x14ac:dyDescent="0.25">
      <c r="V555" s="7">
        <v>40789</v>
      </c>
      <c r="W555" s="8" t="s">
        <v>135</v>
      </c>
      <c r="X555" s="8" t="s">
        <v>1415</v>
      </c>
      <c r="Y555" s="8">
        <v>1</v>
      </c>
    </row>
    <row r="556" spans="22:25" x14ac:dyDescent="0.25">
      <c r="V556" s="7">
        <v>40397</v>
      </c>
      <c r="W556" s="8" t="s">
        <v>1424</v>
      </c>
      <c r="X556" s="8" t="s">
        <v>1415</v>
      </c>
      <c r="Y556" s="8">
        <v>15</v>
      </c>
    </row>
    <row r="557" spans="22:25" x14ac:dyDescent="0.25">
      <c r="V557" s="7">
        <v>40558</v>
      </c>
      <c r="W557" s="8" t="s">
        <v>3</v>
      </c>
      <c r="X557" s="8" t="s">
        <v>1417</v>
      </c>
      <c r="Y557" s="8">
        <v>17</v>
      </c>
    </row>
    <row r="558" spans="22:25" x14ac:dyDescent="0.25">
      <c r="V558" s="7">
        <v>40451</v>
      </c>
      <c r="W558" s="8" t="s">
        <v>4</v>
      </c>
      <c r="X558" s="8" t="s">
        <v>1422</v>
      </c>
      <c r="Y558" s="8">
        <v>23</v>
      </c>
    </row>
    <row r="559" spans="22:25" x14ac:dyDescent="0.25">
      <c r="V559" s="7">
        <v>41003</v>
      </c>
      <c r="W559" s="8" t="s">
        <v>135</v>
      </c>
      <c r="X559" s="8" t="s">
        <v>1426</v>
      </c>
      <c r="Y559" s="8">
        <v>14</v>
      </c>
    </row>
    <row r="560" spans="22:25" x14ac:dyDescent="0.25">
      <c r="V560" s="7">
        <v>40506</v>
      </c>
      <c r="W560" s="8" t="s">
        <v>3</v>
      </c>
      <c r="X560" s="8" t="s">
        <v>1425</v>
      </c>
      <c r="Y560" s="8">
        <v>5</v>
      </c>
    </row>
    <row r="561" spans="22:25" x14ac:dyDescent="0.25">
      <c r="V561" s="7">
        <v>40405</v>
      </c>
      <c r="W561" s="8" t="s">
        <v>135</v>
      </c>
      <c r="X561" s="8" t="s">
        <v>1425</v>
      </c>
      <c r="Y561" s="8">
        <v>18</v>
      </c>
    </row>
    <row r="562" spans="22:25" x14ac:dyDescent="0.25">
      <c r="V562" s="7">
        <v>40805</v>
      </c>
      <c r="W562" s="8" t="s">
        <v>1424</v>
      </c>
      <c r="X562" s="8" t="s">
        <v>1415</v>
      </c>
      <c r="Y562" s="8">
        <v>3</v>
      </c>
    </row>
    <row r="563" spans="22:25" x14ac:dyDescent="0.25">
      <c r="V563" s="7">
        <v>40967</v>
      </c>
      <c r="W563" s="8" t="s">
        <v>4</v>
      </c>
      <c r="X563" s="8" t="s">
        <v>1417</v>
      </c>
      <c r="Y563" s="8">
        <v>6</v>
      </c>
    </row>
    <row r="564" spans="22:25" x14ac:dyDescent="0.25">
      <c r="V564" s="7">
        <v>40794</v>
      </c>
      <c r="W564" s="8" t="s">
        <v>135</v>
      </c>
      <c r="X564" s="8" t="s">
        <v>1417</v>
      </c>
      <c r="Y564" s="8">
        <v>3</v>
      </c>
    </row>
    <row r="565" spans="22:25" x14ac:dyDescent="0.25">
      <c r="V565" s="7">
        <v>40952</v>
      </c>
      <c r="W565" s="8" t="s">
        <v>3</v>
      </c>
      <c r="X565" s="8" t="s">
        <v>1425</v>
      </c>
      <c r="Y565" s="8">
        <v>24</v>
      </c>
    </row>
    <row r="566" spans="22:25" x14ac:dyDescent="0.25">
      <c r="V566" s="7">
        <v>40876</v>
      </c>
      <c r="W566" s="8" t="s">
        <v>1421</v>
      </c>
      <c r="X566" s="8" t="s">
        <v>1425</v>
      </c>
      <c r="Y566" s="8">
        <v>10</v>
      </c>
    </row>
    <row r="567" spans="22:25" x14ac:dyDescent="0.25">
      <c r="V567" s="7">
        <v>40604</v>
      </c>
      <c r="W567" s="8" t="s">
        <v>3</v>
      </c>
      <c r="X567" s="8" t="s">
        <v>1427</v>
      </c>
      <c r="Y567" s="8">
        <v>15</v>
      </c>
    </row>
    <row r="568" spans="22:25" x14ac:dyDescent="0.25">
      <c r="V568" s="7">
        <v>40556</v>
      </c>
      <c r="W568" s="8" t="s">
        <v>7</v>
      </c>
      <c r="X568" s="8" t="s">
        <v>1415</v>
      </c>
      <c r="Y568" s="8">
        <v>21</v>
      </c>
    </row>
    <row r="569" spans="22:25" x14ac:dyDescent="0.25">
      <c r="V569" s="7">
        <v>40762</v>
      </c>
      <c r="W569" s="8" t="s">
        <v>3</v>
      </c>
      <c r="X569" s="8" t="s">
        <v>1426</v>
      </c>
      <c r="Y569" s="8">
        <v>3</v>
      </c>
    </row>
    <row r="570" spans="22:25" x14ac:dyDescent="0.25">
      <c r="V570" s="7">
        <v>40701</v>
      </c>
      <c r="W570" s="8" t="s">
        <v>4</v>
      </c>
      <c r="X570" s="8" t="s">
        <v>1427</v>
      </c>
      <c r="Y570" s="8">
        <v>20</v>
      </c>
    </row>
    <row r="571" spans="22:25" x14ac:dyDescent="0.25">
      <c r="V571" s="7">
        <v>40486</v>
      </c>
      <c r="W571" s="8" t="s">
        <v>1424</v>
      </c>
      <c r="X571" s="8" t="s">
        <v>1427</v>
      </c>
      <c r="Y571" s="8">
        <v>17</v>
      </c>
    </row>
    <row r="572" spans="22:25" x14ac:dyDescent="0.25">
      <c r="V572" s="7">
        <v>40534</v>
      </c>
      <c r="W572" s="8" t="s">
        <v>135</v>
      </c>
      <c r="X572" s="8" t="s">
        <v>1422</v>
      </c>
      <c r="Y572" s="8">
        <v>22</v>
      </c>
    </row>
    <row r="573" spans="22:25" x14ac:dyDescent="0.25">
      <c r="V573" s="7">
        <v>40608</v>
      </c>
      <c r="W573" s="8" t="s">
        <v>3</v>
      </c>
      <c r="X573" s="8" t="s">
        <v>1427</v>
      </c>
      <c r="Y573" s="8">
        <v>12</v>
      </c>
    </row>
    <row r="574" spans="22:25" x14ac:dyDescent="0.25">
      <c r="V574" s="7">
        <v>40572</v>
      </c>
      <c r="W574" s="8" t="s">
        <v>4</v>
      </c>
      <c r="X574" s="8" t="s">
        <v>1417</v>
      </c>
      <c r="Y574" s="8">
        <v>12</v>
      </c>
    </row>
    <row r="575" spans="22:25" x14ac:dyDescent="0.25">
      <c r="V575" s="7">
        <v>40328</v>
      </c>
      <c r="W575" s="8" t="s">
        <v>135</v>
      </c>
      <c r="X575" s="8" t="s">
        <v>1415</v>
      </c>
      <c r="Y575" s="8">
        <v>11</v>
      </c>
    </row>
    <row r="576" spans="22:25" x14ac:dyDescent="0.25">
      <c r="V576" s="7">
        <v>40959</v>
      </c>
      <c r="W576" s="8" t="s">
        <v>1424</v>
      </c>
      <c r="X576" s="8" t="s">
        <v>1427</v>
      </c>
      <c r="Y576" s="8">
        <v>8</v>
      </c>
    </row>
    <row r="577" spans="22:25" x14ac:dyDescent="0.25">
      <c r="V577" s="7">
        <v>40888</v>
      </c>
      <c r="W577" s="8" t="s">
        <v>1424</v>
      </c>
      <c r="X577" s="8" t="s">
        <v>1422</v>
      </c>
      <c r="Y577" s="8">
        <v>11</v>
      </c>
    </row>
    <row r="578" spans="22:25" x14ac:dyDescent="0.25">
      <c r="V578" s="7">
        <v>40500</v>
      </c>
      <c r="W578" s="8" t="s">
        <v>3</v>
      </c>
      <c r="X578" s="8" t="s">
        <v>1415</v>
      </c>
      <c r="Y578" s="8">
        <v>3</v>
      </c>
    </row>
    <row r="579" spans="22:25" x14ac:dyDescent="0.25">
      <c r="V579" s="7">
        <v>40450</v>
      </c>
      <c r="W579" s="8" t="s">
        <v>3</v>
      </c>
      <c r="X579" s="8" t="s">
        <v>1417</v>
      </c>
      <c r="Y579" s="8">
        <v>15</v>
      </c>
    </row>
    <row r="580" spans="22:25" x14ac:dyDescent="0.25">
      <c r="V580" s="7">
        <v>40507</v>
      </c>
      <c r="W580" s="8" t="s">
        <v>1424</v>
      </c>
      <c r="X580" s="8" t="s">
        <v>1417</v>
      </c>
      <c r="Y580" s="8">
        <v>12</v>
      </c>
    </row>
    <row r="581" spans="22:25" x14ac:dyDescent="0.25">
      <c r="V581" s="7">
        <v>40695</v>
      </c>
      <c r="W581" s="8" t="s">
        <v>3</v>
      </c>
      <c r="X581" s="8" t="s">
        <v>1425</v>
      </c>
      <c r="Y581" s="8">
        <v>1</v>
      </c>
    </row>
    <row r="582" spans="22:25" x14ac:dyDescent="0.25">
      <c r="V582" s="7">
        <v>40362</v>
      </c>
      <c r="W582" s="8" t="s">
        <v>1424</v>
      </c>
      <c r="X582" s="8" t="s">
        <v>1415</v>
      </c>
      <c r="Y582" s="8">
        <v>8</v>
      </c>
    </row>
    <row r="583" spans="22:25" x14ac:dyDescent="0.25">
      <c r="V583" s="7">
        <v>40459</v>
      </c>
      <c r="W583" s="8" t="s">
        <v>1424</v>
      </c>
      <c r="X583" s="8" t="s">
        <v>1426</v>
      </c>
      <c r="Y583" s="8">
        <v>9</v>
      </c>
    </row>
    <row r="584" spans="22:25" x14ac:dyDescent="0.25">
      <c r="V584" s="7">
        <v>40847</v>
      </c>
      <c r="W584" s="8" t="s">
        <v>1424</v>
      </c>
      <c r="X584" s="8" t="s">
        <v>1425</v>
      </c>
      <c r="Y584" s="8">
        <v>5</v>
      </c>
    </row>
    <row r="585" spans="22:25" x14ac:dyDescent="0.25">
      <c r="V585" s="7">
        <v>40913</v>
      </c>
      <c r="W585" s="8" t="s">
        <v>7</v>
      </c>
      <c r="X585" s="8" t="s">
        <v>1417</v>
      </c>
      <c r="Y585" s="8">
        <v>11</v>
      </c>
    </row>
    <row r="586" spans="22:25" x14ac:dyDescent="0.25">
      <c r="V586" s="7">
        <v>40952</v>
      </c>
      <c r="W586" s="8" t="s">
        <v>4</v>
      </c>
      <c r="X586" s="8" t="s">
        <v>1426</v>
      </c>
      <c r="Y586" s="8">
        <v>15</v>
      </c>
    </row>
    <row r="587" spans="22:25" x14ac:dyDescent="0.25">
      <c r="V587" s="7">
        <v>40536</v>
      </c>
      <c r="W587" s="8" t="s">
        <v>135</v>
      </c>
      <c r="X587" s="8" t="s">
        <v>1425</v>
      </c>
      <c r="Y587" s="8">
        <v>5</v>
      </c>
    </row>
    <row r="588" spans="22:25" x14ac:dyDescent="0.25">
      <c r="V588" s="7">
        <v>40959</v>
      </c>
      <c r="W588" s="8" t="s">
        <v>135</v>
      </c>
      <c r="X588" s="8" t="s">
        <v>1426</v>
      </c>
      <c r="Y588" s="8">
        <v>4</v>
      </c>
    </row>
    <row r="589" spans="22:25" x14ac:dyDescent="0.25">
      <c r="V589" s="7">
        <v>40454</v>
      </c>
      <c r="W589" s="8" t="s">
        <v>4</v>
      </c>
      <c r="X589" s="8" t="s">
        <v>1422</v>
      </c>
      <c r="Y589" s="8">
        <v>23</v>
      </c>
    </row>
    <row r="590" spans="22:25" x14ac:dyDescent="0.25">
      <c r="V590" s="7">
        <v>40902</v>
      </c>
      <c r="W590" s="8" t="s">
        <v>135</v>
      </c>
      <c r="X590" s="8" t="s">
        <v>1427</v>
      </c>
      <c r="Y590" s="8">
        <v>13</v>
      </c>
    </row>
    <row r="591" spans="22:25" x14ac:dyDescent="0.25">
      <c r="V591" s="7">
        <v>40549</v>
      </c>
      <c r="W591" s="8" t="s">
        <v>4</v>
      </c>
      <c r="X591" s="8" t="s">
        <v>1426</v>
      </c>
      <c r="Y591" s="8">
        <v>25</v>
      </c>
    </row>
    <row r="592" spans="22:25" x14ac:dyDescent="0.25">
      <c r="V592" s="7">
        <v>40994</v>
      </c>
      <c r="W592" s="8" t="s">
        <v>3</v>
      </c>
      <c r="X592" s="8" t="s">
        <v>1422</v>
      </c>
      <c r="Y592" s="8">
        <v>25</v>
      </c>
    </row>
    <row r="593" spans="22:25" x14ac:dyDescent="0.25">
      <c r="V593" s="7">
        <v>40537</v>
      </c>
      <c r="W593" s="8" t="s">
        <v>1421</v>
      </c>
      <c r="X593" s="8" t="s">
        <v>1422</v>
      </c>
      <c r="Y593" s="8">
        <v>9</v>
      </c>
    </row>
    <row r="594" spans="22:25" x14ac:dyDescent="0.25">
      <c r="V594" s="7">
        <v>40655</v>
      </c>
      <c r="W594" s="8" t="s">
        <v>3</v>
      </c>
      <c r="X594" s="8" t="s">
        <v>1422</v>
      </c>
      <c r="Y594" s="8">
        <v>12</v>
      </c>
    </row>
    <row r="595" spans="22:25" x14ac:dyDescent="0.25">
      <c r="V595" s="7">
        <v>40912</v>
      </c>
      <c r="W595" s="8" t="s">
        <v>1421</v>
      </c>
      <c r="X595" s="8" t="s">
        <v>1422</v>
      </c>
      <c r="Y595" s="8">
        <v>4</v>
      </c>
    </row>
    <row r="596" spans="22:25" x14ac:dyDescent="0.25">
      <c r="V596" s="7">
        <v>40622</v>
      </c>
      <c r="W596" s="8" t="s">
        <v>1424</v>
      </c>
      <c r="X596" s="8" t="s">
        <v>1417</v>
      </c>
      <c r="Y596" s="8">
        <v>7</v>
      </c>
    </row>
    <row r="597" spans="22:25" x14ac:dyDescent="0.25">
      <c r="V597" s="7">
        <v>40986</v>
      </c>
      <c r="W597" s="8" t="s">
        <v>1424</v>
      </c>
      <c r="X597" s="8" t="s">
        <v>1426</v>
      </c>
      <c r="Y597" s="8">
        <v>23</v>
      </c>
    </row>
    <row r="598" spans="22:25" x14ac:dyDescent="0.25">
      <c r="V598" s="7">
        <v>40418</v>
      </c>
      <c r="W598" s="8" t="s">
        <v>1421</v>
      </c>
      <c r="X598" s="8" t="s">
        <v>1426</v>
      </c>
      <c r="Y598" s="8">
        <v>25</v>
      </c>
    </row>
    <row r="599" spans="22:25" x14ac:dyDescent="0.25">
      <c r="V599" s="7">
        <v>40485</v>
      </c>
      <c r="W599" s="8" t="s">
        <v>135</v>
      </c>
      <c r="X599" s="8" t="s">
        <v>1422</v>
      </c>
      <c r="Y599" s="8">
        <v>11</v>
      </c>
    </row>
    <row r="600" spans="22:25" x14ac:dyDescent="0.25">
      <c r="V600" s="7">
        <v>40323</v>
      </c>
      <c r="W600" s="8" t="s">
        <v>4</v>
      </c>
      <c r="X600" s="8" t="s">
        <v>1422</v>
      </c>
      <c r="Y600" s="8">
        <v>18</v>
      </c>
    </row>
    <row r="601" spans="22:25" x14ac:dyDescent="0.25">
      <c r="V601" s="7">
        <v>40338</v>
      </c>
      <c r="W601" s="8" t="s">
        <v>3</v>
      </c>
      <c r="X601" s="8" t="s">
        <v>1415</v>
      </c>
      <c r="Y601" s="8">
        <v>11</v>
      </c>
    </row>
    <row r="602" spans="22:25" x14ac:dyDescent="0.25">
      <c r="V602" s="7">
        <v>40960</v>
      </c>
      <c r="W602" s="8" t="s">
        <v>1421</v>
      </c>
      <c r="X602" s="8" t="s">
        <v>1417</v>
      </c>
      <c r="Y602" s="8">
        <v>5</v>
      </c>
    </row>
    <row r="603" spans="22:25" x14ac:dyDescent="0.25">
      <c r="V603" s="7">
        <v>40958</v>
      </c>
      <c r="W603" s="8" t="s">
        <v>4</v>
      </c>
      <c r="X603" s="8" t="s">
        <v>1417</v>
      </c>
      <c r="Y603" s="8">
        <v>8</v>
      </c>
    </row>
    <row r="604" spans="22:25" x14ac:dyDescent="0.25">
      <c r="V604" s="7">
        <v>40407</v>
      </c>
      <c r="W604" s="8" t="s">
        <v>135</v>
      </c>
      <c r="X604" s="8" t="s">
        <v>1422</v>
      </c>
      <c r="Y604" s="8">
        <v>10</v>
      </c>
    </row>
    <row r="605" spans="22:25" x14ac:dyDescent="0.25">
      <c r="V605" s="7">
        <v>40427</v>
      </c>
      <c r="W605" s="8" t="s">
        <v>1424</v>
      </c>
      <c r="X605" s="8" t="s">
        <v>1417</v>
      </c>
      <c r="Y605" s="8">
        <v>13</v>
      </c>
    </row>
    <row r="606" spans="22:25" x14ac:dyDescent="0.25">
      <c r="V606" s="7">
        <v>40387</v>
      </c>
      <c r="W606" s="8" t="s">
        <v>1421</v>
      </c>
      <c r="X606" s="8" t="s">
        <v>1425</v>
      </c>
      <c r="Y606" s="8">
        <v>9</v>
      </c>
    </row>
    <row r="607" spans="22:25" x14ac:dyDescent="0.25">
      <c r="V607" s="7">
        <v>40841</v>
      </c>
      <c r="W607" s="8" t="s">
        <v>4</v>
      </c>
      <c r="X607" s="8" t="s">
        <v>1427</v>
      </c>
      <c r="Y607" s="8">
        <v>24</v>
      </c>
    </row>
    <row r="608" spans="22:25" x14ac:dyDescent="0.25">
      <c r="V608" s="7">
        <v>40336</v>
      </c>
      <c r="W608" s="8" t="s">
        <v>3</v>
      </c>
      <c r="X608" s="8" t="s">
        <v>1417</v>
      </c>
      <c r="Y608" s="8">
        <v>12</v>
      </c>
    </row>
    <row r="609" spans="22:25" x14ac:dyDescent="0.25">
      <c r="V609" s="7">
        <v>40948</v>
      </c>
      <c r="W609" s="8" t="s">
        <v>1421</v>
      </c>
      <c r="X609" s="8" t="s">
        <v>1427</v>
      </c>
      <c r="Y609" s="8">
        <v>24</v>
      </c>
    </row>
    <row r="610" spans="22:25" x14ac:dyDescent="0.25">
      <c r="V610" s="7">
        <v>40893</v>
      </c>
      <c r="W610" s="8" t="s">
        <v>3</v>
      </c>
      <c r="X610" s="8" t="s">
        <v>1427</v>
      </c>
      <c r="Y610" s="8">
        <v>16</v>
      </c>
    </row>
    <row r="611" spans="22:25" x14ac:dyDescent="0.25">
      <c r="V611" s="7">
        <v>40699</v>
      </c>
      <c r="W611" s="8" t="s">
        <v>1424</v>
      </c>
      <c r="X611" s="8" t="s">
        <v>1415</v>
      </c>
      <c r="Y611" s="8">
        <v>3</v>
      </c>
    </row>
    <row r="612" spans="22:25" x14ac:dyDescent="0.25">
      <c r="V612" s="7">
        <v>40639</v>
      </c>
      <c r="W612" s="8" t="s">
        <v>3</v>
      </c>
      <c r="X612" s="8" t="s">
        <v>1417</v>
      </c>
      <c r="Y612" s="8">
        <v>23</v>
      </c>
    </row>
    <row r="613" spans="22:25" x14ac:dyDescent="0.25">
      <c r="V613" s="7">
        <v>40375</v>
      </c>
      <c r="W613" s="8" t="s">
        <v>1421</v>
      </c>
      <c r="X613" s="8" t="s">
        <v>1425</v>
      </c>
      <c r="Y613" s="8">
        <v>20</v>
      </c>
    </row>
    <row r="614" spans="22:25" x14ac:dyDescent="0.25">
      <c r="V614" s="7">
        <v>40805</v>
      </c>
      <c r="W614" s="8" t="s">
        <v>1424</v>
      </c>
      <c r="X614" s="8" t="s">
        <v>1422</v>
      </c>
      <c r="Y614" s="8">
        <v>18</v>
      </c>
    </row>
    <row r="615" spans="22:25" x14ac:dyDescent="0.25">
      <c r="V615" s="7">
        <v>40869</v>
      </c>
      <c r="W615" s="8" t="s">
        <v>1421</v>
      </c>
      <c r="X615" s="8" t="s">
        <v>1426</v>
      </c>
      <c r="Y615" s="8">
        <v>9</v>
      </c>
    </row>
    <row r="616" spans="22:25" x14ac:dyDescent="0.25">
      <c r="V616" s="7">
        <v>40450</v>
      </c>
      <c r="W616" s="8" t="s">
        <v>1421</v>
      </c>
      <c r="X616" s="8" t="s">
        <v>1422</v>
      </c>
      <c r="Y616" s="8">
        <v>2</v>
      </c>
    </row>
    <row r="617" spans="22:25" x14ac:dyDescent="0.25">
      <c r="V617" s="7">
        <v>40931</v>
      </c>
      <c r="W617" s="8" t="s">
        <v>1424</v>
      </c>
      <c r="X617" s="8" t="s">
        <v>1427</v>
      </c>
      <c r="Y617" s="8">
        <v>9</v>
      </c>
    </row>
    <row r="618" spans="22:25" x14ac:dyDescent="0.25">
      <c r="V618" s="7">
        <v>40696</v>
      </c>
      <c r="W618" s="8" t="s">
        <v>1424</v>
      </c>
      <c r="X618" s="8" t="s">
        <v>1427</v>
      </c>
      <c r="Y618" s="8">
        <v>1</v>
      </c>
    </row>
    <row r="619" spans="22:25" x14ac:dyDescent="0.25">
      <c r="V619" s="7">
        <v>40785</v>
      </c>
      <c r="W619" s="8" t="s">
        <v>4</v>
      </c>
      <c r="X619" s="8" t="s">
        <v>1417</v>
      </c>
      <c r="Y619" s="8">
        <v>16</v>
      </c>
    </row>
    <row r="620" spans="22:25" x14ac:dyDescent="0.25">
      <c r="V620" s="7">
        <v>40419</v>
      </c>
      <c r="W620" s="8" t="s">
        <v>4</v>
      </c>
      <c r="X620" s="8" t="s">
        <v>1417</v>
      </c>
      <c r="Y620" s="8">
        <v>18</v>
      </c>
    </row>
    <row r="621" spans="22:25" x14ac:dyDescent="0.25">
      <c r="V621" s="7">
        <v>40477</v>
      </c>
      <c r="W621" s="8" t="s">
        <v>3</v>
      </c>
      <c r="X621" s="8" t="s">
        <v>1415</v>
      </c>
      <c r="Y621" s="8">
        <v>18</v>
      </c>
    </row>
    <row r="622" spans="22:25" x14ac:dyDescent="0.25">
      <c r="V622" s="7">
        <v>40668</v>
      </c>
      <c r="W622" s="8" t="s">
        <v>135</v>
      </c>
      <c r="X622" s="8" t="s">
        <v>1425</v>
      </c>
      <c r="Y622" s="8">
        <v>9</v>
      </c>
    </row>
    <row r="623" spans="22:25" x14ac:dyDescent="0.25">
      <c r="V623" s="7">
        <v>40927</v>
      </c>
      <c r="W623" s="8" t="s">
        <v>4</v>
      </c>
      <c r="X623" s="8" t="s">
        <v>1422</v>
      </c>
      <c r="Y623" s="8">
        <v>25</v>
      </c>
    </row>
    <row r="624" spans="22:25" x14ac:dyDescent="0.25">
      <c r="V624" s="7">
        <v>40655</v>
      </c>
      <c r="W624" s="8" t="s">
        <v>7</v>
      </c>
      <c r="X624" s="8" t="s">
        <v>1426</v>
      </c>
      <c r="Y624" s="8">
        <v>4</v>
      </c>
    </row>
    <row r="625" spans="22:25" x14ac:dyDescent="0.25">
      <c r="V625" s="7">
        <v>40867</v>
      </c>
      <c r="W625" s="8" t="s">
        <v>4</v>
      </c>
      <c r="X625" s="8" t="s">
        <v>1426</v>
      </c>
      <c r="Y625" s="8">
        <v>12</v>
      </c>
    </row>
    <row r="626" spans="22:25" x14ac:dyDescent="0.25">
      <c r="V626" s="7">
        <v>40426</v>
      </c>
      <c r="W626" s="8" t="s">
        <v>135</v>
      </c>
      <c r="X626" s="8" t="s">
        <v>1425</v>
      </c>
      <c r="Y626" s="8">
        <v>6</v>
      </c>
    </row>
    <row r="627" spans="22:25" x14ac:dyDescent="0.25">
      <c r="V627" s="7">
        <v>40449</v>
      </c>
      <c r="W627" s="8" t="s">
        <v>135</v>
      </c>
      <c r="X627" s="8" t="s">
        <v>1422</v>
      </c>
      <c r="Y627" s="8">
        <v>9</v>
      </c>
    </row>
    <row r="628" spans="22:25" x14ac:dyDescent="0.25">
      <c r="V628" s="7">
        <v>40466</v>
      </c>
      <c r="W628" s="8" t="s">
        <v>1421</v>
      </c>
      <c r="X628" s="8" t="s">
        <v>1417</v>
      </c>
      <c r="Y628" s="8">
        <v>16</v>
      </c>
    </row>
    <row r="629" spans="22:25" x14ac:dyDescent="0.25">
      <c r="V629" s="7">
        <v>40481</v>
      </c>
      <c r="W629" s="8" t="s">
        <v>3</v>
      </c>
      <c r="X629" s="8" t="s">
        <v>1427</v>
      </c>
      <c r="Y629" s="8">
        <v>17</v>
      </c>
    </row>
    <row r="630" spans="22:25" x14ac:dyDescent="0.25">
      <c r="V630" s="7">
        <v>40330</v>
      </c>
      <c r="W630" s="8" t="s">
        <v>7</v>
      </c>
      <c r="X630" s="8" t="s">
        <v>1415</v>
      </c>
      <c r="Y630" s="8">
        <v>21</v>
      </c>
    </row>
    <row r="631" spans="22:25" x14ac:dyDescent="0.25">
      <c r="V631" s="7">
        <v>40814</v>
      </c>
      <c r="W631" s="8" t="s">
        <v>4</v>
      </c>
      <c r="X631" s="8" t="s">
        <v>1422</v>
      </c>
      <c r="Y631" s="8">
        <v>23</v>
      </c>
    </row>
    <row r="632" spans="22:25" x14ac:dyDescent="0.25">
      <c r="V632" s="7">
        <v>40611</v>
      </c>
      <c r="W632" s="8" t="s">
        <v>1421</v>
      </c>
      <c r="X632" s="8" t="s">
        <v>1426</v>
      </c>
      <c r="Y632" s="8">
        <v>6</v>
      </c>
    </row>
    <row r="633" spans="22:25" x14ac:dyDescent="0.25">
      <c r="V633" s="7">
        <v>40415</v>
      </c>
      <c r="W633" s="8" t="s">
        <v>1424</v>
      </c>
      <c r="X633" s="8" t="s">
        <v>1427</v>
      </c>
      <c r="Y633" s="8">
        <v>17</v>
      </c>
    </row>
    <row r="634" spans="22:25" x14ac:dyDescent="0.25">
      <c r="V634" s="7">
        <v>40743</v>
      </c>
      <c r="W634" s="8" t="s">
        <v>1421</v>
      </c>
      <c r="X634" s="8" t="s">
        <v>1417</v>
      </c>
      <c r="Y634" s="8">
        <v>11</v>
      </c>
    </row>
    <row r="635" spans="22:25" x14ac:dyDescent="0.25">
      <c r="V635" s="7">
        <v>40308</v>
      </c>
      <c r="W635" s="8" t="s">
        <v>135</v>
      </c>
      <c r="X635" s="8" t="s">
        <v>1426</v>
      </c>
      <c r="Y635" s="8">
        <v>13</v>
      </c>
    </row>
    <row r="636" spans="22:25" x14ac:dyDescent="0.25">
      <c r="V636" s="7">
        <v>40839</v>
      </c>
      <c r="W636" s="8" t="s">
        <v>4</v>
      </c>
      <c r="X636" s="8" t="s">
        <v>1425</v>
      </c>
      <c r="Y636" s="8">
        <v>9</v>
      </c>
    </row>
    <row r="637" spans="22:25" x14ac:dyDescent="0.25">
      <c r="V637" s="7">
        <v>40336</v>
      </c>
      <c r="W637" s="8" t="s">
        <v>3</v>
      </c>
      <c r="X637" s="8" t="s">
        <v>1427</v>
      </c>
      <c r="Y637" s="8">
        <v>23</v>
      </c>
    </row>
    <row r="638" spans="22:25" x14ac:dyDescent="0.25">
      <c r="V638" s="7">
        <v>40803</v>
      </c>
      <c r="W638" s="8" t="s">
        <v>7</v>
      </c>
      <c r="X638" s="8" t="s">
        <v>1427</v>
      </c>
      <c r="Y638" s="8">
        <v>17</v>
      </c>
    </row>
    <row r="639" spans="22:25" x14ac:dyDescent="0.25">
      <c r="V639" s="7">
        <v>40330</v>
      </c>
      <c r="W639" s="8" t="s">
        <v>4</v>
      </c>
      <c r="X639" s="8" t="s">
        <v>1415</v>
      </c>
      <c r="Y639" s="8">
        <v>14</v>
      </c>
    </row>
    <row r="640" spans="22:25" x14ac:dyDescent="0.25">
      <c r="V640" s="7">
        <v>40434</v>
      </c>
      <c r="W640" s="8" t="s">
        <v>7</v>
      </c>
      <c r="X640" s="8" t="s">
        <v>1415</v>
      </c>
      <c r="Y640" s="8">
        <v>15</v>
      </c>
    </row>
    <row r="641" spans="22:25" x14ac:dyDescent="0.25">
      <c r="V641" s="7">
        <v>40331</v>
      </c>
      <c r="W641" s="8" t="s">
        <v>7</v>
      </c>
      <c r="X641" s="8" t="s">
        <v>1427</v>
      </c>
      <c r="Y641" s="8">
        <v>25</v>
      </c>
    </row>
    <row r="642" spans="22:25" x14ac:dyDescent="0.25">
      <c r="V642" s="7">
        <v>40732</v>
      </c>
      <c r="W642" s="8" t="s">
        <v>1424</v>
      </c>
      <c r="X642" s="8" t="s">
        <v>1417</v>
      </c>
      <c r="Y642" s="8">
        <v>3</v>
      </c>
    </row>
    <row r="643" spans="22:25" x14ac:dyDescent="0.25">
      <c r="V643" s="7">
        <v>40897</v>
      </c>
      <c r="W643" s="8" t="s">
        <v>3</v>
      </c>
      <c r="X643" s="8" t="s">
        <v>1426</v>
      </c>
      <c r="Y643" s="8">
        <v>18</v>
      </c>
    </row>
    <row r="644" spans="22:25" x14ac:dyDescent="0.25">
      <c r="V644" s="7">
        <v>40496</v>
      </c>
      <c r="W644" s="8" t="s">
        <v>4</v>
      </c>
      <c r="X644" s="8" t="s">
        <v>1422</v>
      </c>
      <c r="Y644" s="8">
        <v>25</v>
      </c>
    </row>
    <row r="645" spans="22:25" x14ac:dyDescent="0.25">
      <c r="V645" s="7">
        <v>40697</v>
      </c>
      <c r="W645" s="8" t="s">
        <v>135</v>
      </c>
      <c r="X645" s="8" t="s">
        <v>1425</v>
      </c>
      <c r="Y645" s="8">
        <v>20</v>
      </c>
    </row>
    <row r="646" spans="22:25" x14ac:dyDescent="0.25">
      <c r="V646" s="7">
        <v>40510</v>
      </c>
      <c r="W646" s="8" t="s">
        <v>135</v>
      </c>
      <c r="X646" s="8" t="s">
        <v>1426</v>
      </c>
      <c r="Y646" s="8">
        <v>4</v>
      </c>
    </row>
    <row r="647" spans="22:25" x14ac:dyDescent="0.25">
      <c r="V647" s="7">
        <v>40834</v>
      </c>
      <c r="W647" s="8" t="s">
        <v>7</v>
      </c>
      <c r="X647" s="8" t="s">
        <v>1422</v>
      </c>
      <c r="Y647" s="8">
        <v>22</v>
      </c>
    </row>
    <row r="648" spans="22:25" x14ac:dyDescent="0.25">
      <c r="V648" s="7">
        <v>40532</v>
      </c>
      <c r="W648" s="8" t="s">
        <v>1421</v>
      </c>
      <c r="X648" s="8" t="s">
        <v>1427</v>
      </c>
      <c r="Y648" s="8">
        <v>9</v>
      </c>
    </row>
    <row r="649" spans="22:25" x14ac:dyDescent="0.25">
      <c r="V649" s="7">
        <v>40386</v>
      </c>
      <c r="W649" s="8" t="s">
        <v>4</v>
      </c>
      <c r="X649" s="8" t="s">
        <v>1417</v>
      </c>
      <c r="Y649" s="8">
        <v>12</v>
      </c>
    </row>
    <row r="650" spans="22:25" x14ac:dyDescent="0.25">
      <c r="V650" s="7">
        <v>40446</v>
      </c>
      <c r="W650" s="8" t="s">
        <v>135</v>
      </c>
      <c r="X650" s="8" t="s">
        <v>1426</v>
      </c>
      <c r="Y650" s="8">
        <v>23</v>
      </c>
    </row>
    <row r="651" spans="22:25" x14ac:dyDescent="0.25">
      <c r="V651" s="7">
        <v>40335</v>
      </c>
      <c r="W651" s="8" t="s">
        <v>1421</v>
      </c>
      <c r="X651" s="8" t="s">
        <v>1426</v>
      </c>
      <c r="Y651" s="8">
        <v>22</v>
      </c>
    </row>
    <row r="652" spans="22:25" x14ac:dyDescent="0.25">
      <c r="V652" s="7">
        <v>40924</v>
      </c>
      <c r="W652" s="8" t="s">
        <v>1421</v>
      </c>
      <c r="X652" s="8" t="s">
        <v>1417</v>
      </c>
      <c r="Y652" s="8">
        <v>19</v>
      </c>
    </row>
    <row r="653" spans="22:25" x14ac:dyDescent="0.25">
      <c r="V653" s="7">
        <v>40484</v>
      </c>
      <c r="W653" s="8" t="s">
        <v>4</v>
      </c>
      <c r="X653" s="8" t="s">
        <v>1426</v>
      </c>
      <c r="Y653" s="8">
        <v>18</v>
      </c>
    </row>
    <row r="654" spans="22:25" x14ac:dyDescent="0.25">
      <c r="V654" s="7">
        <v>40440</v>
      </c>
      <c r="W654" s="8" t="s">
        <v>4</v>
      </c>
      <c r="X654" s="8" t="s">
        <v>1417</v>
      </c>
      <c r="Y654" s="8">
        <v>5</v>
      </c>
    </row>
    <row r="655" spans="22:25" x14ac:dyDescent="0.25">
      <c r="V655" s="7">
        <v>40557</v>
      </c>
      <c r="W655" s="8" t="s">
        <v>4</v>
      </c>
      <c r="X655" s="8" t="s">
        <v>1417</v>
      </c>
      <c r="Y655" s="8">
        <v>25</v>
      </c>
    </row>
    <row r="656" spans="22:25" x14ac:dyDescent="0.25">
      <c r="V656" s="7">
        <v>40427</v>
      </c>
      <c r="W656" s="8" t="s">
        <v>4</v>
      </c>
      <c r="X656" s="8" t="s">
        <v>1425</v>
      </c>
      <c r="Y656" s="8">
        <v>11</v>
      </c>
    </row>
    <row r="657" spans="22:25" x14ac:dyDescent="0.25">
      <c r="V657" s="7">
        <v>40727</v>
      </c>
      <c r="W657" s="8" t="s">
        <v>7</v>
      </c>
      <c r="X657" s="8" t="s">
        <v>1425</v>
      </c>
      <c r="Y657" s="8">
        <v>21</v>
      </c>
    </row>
    <row r="658" spans="22:25" x14ac:dyDescent="0.25">
      <c r="V658" s="7">
        <v>40581</v>
      </c>
      <c r="W658" s="8" t="s">
        <v>1424</v>
      </c>
      <c r="X658" s="8" t="s">
        <v>1426</v>
      </c>
      <c r="Y658" s="8">
        <v>11</v>
      </c>
    </row>
    <row r="659" spans="22:25" x14ac:dyDescent="0.25">
      <c r="V659" s="7">
        <v>40942</v>
      </c>
      <c r="W659" s="8" t="s">
        <v>7</v>
      </c>
      <c r="X659" s="8" t="s">
        <v>1422</v>
      </c>
      <c r="Y659" s="8">
        <v>20</v>
      </c>
    </row>
    <row r="660" spans="22:25" x14ac:dyDescent="0.25">
      <c r="V660" s="7">
        <v>40889</v>
      </c>
      <c r="W660" s="8" t="s">
        <v>1424</v>
      </c>
      <c r="X660" s="8" t="s">
        <v>1427</v>
      </c>
      <c r="Y660" s="8">
        <v>9</v>
      </c>
    </row>
    <row r="661" spans="22:25" x14ac:dyDescent="0.25">
      <c r="V661" s="7">
        <v>40527</v>
      </c>
      <c r="W661" s="8" t="s">
        <v>135</v>
      </c>
      <c r="X661" s="8" t="s">
        <v>1426</v>
      </c>
      <c r="Y661" s="8">
        <v>10</v>
      </c>
    </row>
    <row r="662" spans="22:25" x14ac:dyDescent="0.25">
      <c r="V662" s="7">
        <v>40563</v>
      </c>
      <c r="W662" s="8" t="s">
        <v>3</v>
      </c>
      <c r="X662" s="8" t="s">
        <v>1426</v>
      </c>
      <c r="Y662" s="8">
        <v>19</v>
      </c>
    </row>
    <row r="663" spans="22:25" x14ac:dyDescent="0.25">
      <c r="V663" s="7">
        <v>40636</v>
      </c>
      <c r="W663" s="8" t="s">
        <v>4</v>
      </c>
      <c r="X663" s="8" t="s">
        <v>1417</v>
      </c>
      <c r="Y663" s="8">
        <v>3</v>
      </c>
    </row>
    <row r="664" spans="22:25" x14ac:dyDescent="0.25">
      <c r="V664" s="7">
        <v>40850</v>
      </c>
      <c r="W664" s="8" t="s">
        <v>3</v>
      </c>
      <c r="X664" s="8" t="s">
        <v>1417</v>
      </c>
      <c r="Y664" s="8">
        <v>14</v>
      </c>
    </row>
    <row r="665" spans="22:25" x14ac:dyDescent="0.25">
      <c r="V665" s="7">
        <v>40884</v>
      </c>
      <c r="W665" s="8" t="s">
        <v>135</v>
      </c>
      <c r="X665" s="8" t="s">
        <v>1417</v>
      </c>
      <c r="Y665" s="8">
        <v>12</v>
      </c>
    </row>
    <row r="666" spans="22:25" x14ac:dyDescent="0.25">
      <c r="V666" s="7">
        <v>40881</v>
      </c>
      <c r="W666" s="8" t="s">
        <v>4</v>
      </c>
      <c r="X666" s="8" t="s">
        <v>1417</v>
      </c>
      <c r="Y666" s="8">
        <v>4</v>
      </c>
    </row>
    <row r="667" spans="22:25" x14ac:dyDescent="0.25">
      <c r="V667" s="7">
        <v>40785</v>
      </c>
      <c r="W667" s="8" t="s">
        <v>7</v>
      </c>
      <c r="X667" s="8" t="s">
        <v>1426</v>
      </c>
      <c r="Y667" s="8">
        <v>13</v>
      </c>
    </row>
    <row r="668" spans="22:25" x14ac:dyDescent="0.25">
      <c r="V668" s="7">
        <v>40917</v>
      </c>
      <c r="W668" s="8" t="s">
        <v>4</v>
      </c>
      <c r="X668" s="8" t="s">
        <v>1415</v>
      </c>
      <c r="Y668" s="8">
        <v>24</v>
      </c>
    </row>
    <row r="669" spans="22:25" x14ac:dyDescent="0.25">
      <c r="V669" s="7">
        <v>40367</v>
      </c>
      <c r="W669" s="8" t="s">
        <v>1421</v>
      </c>
      <c r="X669" s="8" t="s">
        <v>1415</v>
      </c>
      <c r="Y669" s="8">
        <v>24</v>
      </c>
    </row>
    <row r="670" spans="22:25" x14ac:dyDescent="0.25">
      <c r="V670" s="7">
        <v>40399</v>
      </c>
      <c r="W670" s="8" t="s">
        <v>3</v>
      </c>
      <c r="X670" s="8" t="s">
        <v>1422</v>
      </c>
      <c r="Y670" s="8">
        <v>1</v>
      </c>
    </row>
    <row r="671" spans="22:25" x14ac:dyDescent="0.25">
      <c r="V671" s="7">
        <v>40805</v>
      </c>
      <c r="W671" s="8" t="s">
        <v>7</v>
      </c>
      <c r="X671" s="8" t="s">
        <v>1422</v>
      </c>
      <c r="Y671" s="8">
        <v>16</v>
      </c>
    </row>
    <row r="672" spans="22:25" x14ac:dyDescent="0.25">
      <c r="V672" s="7">
        <v>40941</v>
      </c>
      <c r="W672" s="8" t="s">
        <v>1421</v>
      </c>
      <c r="X672" s="8" t="s">
        <v>1426</v>
      </c>
      <c r="Y672" s="8">
        <v>24</v>
      </c>
    </row>
    <row r="673" spans="22:25" x14ac:dyDescent="0.25">
      <c r="V673" s="7">
        <v>40416</v>
      </c>
      <c r="W673" s="8" t="s">
        <v>4</v>
      </c>
      <c r="X673" s="8" t="s">
        <v>1426</v>
      </c>
      <c r="Y673" s="8">
        <v>7</v>
      </c>
    </row>
    <row r="674" spans="22:25" x14ac:dyDescent="0.25">
      <c r="V674" s="7">
        <v>40563</v>
      </c>
      <c r="W674" s="8" t="s">
        <v>1421</v>
      </c>
      <c r="X674" s="8" t="s">
        <v>1426</v>
      </c>
      <c r="Y674" s="8">
        <v>4</v>
      </c>
    </row>
    <row r="675" spans="22:25" x14ac:dyDescent="0.25">
      <c r="V675" s="7">
        <v>40458</v>
      </c>
      <c r="W675" s="8" t="s">
        <v>1424</v>
      </c>
      <c r="X675" s="8" t="s">
        <v>1427</v>
      </c>
      <c r="Y675" s="8">
        <v>23</v>
      </c>
    </row>
    <row r="676" spans="22:25" x14ac:dyDescent="0.25">
      <c r="V676" s="7">
        <v>40497</v>
      </c>
      <c r="W676" s="8" t="s">
        <v>1424</v>
      </c>
      <c r="X676" s="8" t="s">
        <v>1427</v>
      </c>
      <c r="Y676" s="8">
        <v>19</v>
      </c>
    </row>
    <row r="677" spans="22:25" x14ac:dyDescent="0.25">
      <c r="V677" s="7">
        <v>40668</v>
      </c>
      <c r="W677" s="8" t="s">
        <v>7</v>
      </c>
      <c r="X677" s="8" t="s">
        <v>1425</v>
      </c>
      <c r="Y677" s="8">
        <v>10</v>
      </c>
    </row>
    <row r="678" spans="22:25" x14ac:dyDescent="0.25">
      <c r="V678" s="7">
        <v>40644</v>
      </c>
      <c r="W678" s="8" t="s">
        <v>1421</v>
      </c>
      <c r="X678" s="8" t="s">
        <v>1426</v>
      </c>
      <c r="Y678" s="8">
        <v>1</v>
      </c>
    </row>
    <row r="679" spans="22:25" x14ac:dyDescent="0.25">
      <c r="V679" s="7">
        <v>41007</v>
      </c>
      <c r="W679" s="8" t="s">
        <v>3</v>
      </c>
      <c r="X679" s="8" t="s">
        <v>1425</v>
      </c>
      <c r="Y679" s="8">
        <v>19</v>
      </c>
    </row>
    <row r="680" spans="22:25" x14ac:dyDescent="0.25">
      <c r="V680" s="7">
        <v>40862</v>
      </c>
      <c r="W680" s="8" t="s">
        <v>7</v>
      </c>
      <c r="X680" s="8" t="s">
        <v>1427</v>
      </c>
      <c r="Y680" s="8">
        <v>13</v>
      </c>
    </row>
    <row r="681" spans="22:25" x14ac:dyDescent="0.25">
      <c r="V681" s="7">
        <v>40908</v>
      </c>
      <c r="W681" s="8" t="s">
        <v>135</v>
      </c>
      <c r="X681" s="8" t="s">
        <v>1422</v>
      </c>
      <c r="Y681" s="8">
        <v>20</v>
      </c>
    </row>
    <row r="682" spans="22:25" x14ac:dyDescent="0.25">
      <c r="V682" s="7">
        <v>40863</v>
      </c>
      <c r="W682" s="8" t="s">
        <v>135</v>
      </c>
      <c r="X682" s="8" t="s">
        <v>1417</v>
      </c>
      <c r="Y682" s="8">
        <v>4</v>
      </c>
    </row>
  </sheetData>
  <conditionalFormatting sqref="N2:N166">
    <cfRule type="expression" dxfId="27" priority="1">
      <formula>N2=$R$2</formula>
    </cfRule>
  </conditionalFormatting>
  <dataValidations count="1">
    <dataValidation type="date" allowBlank="1" showInputMessage="1" showErrorMessage="1" errorTitle="Enter Date Within Range" sqref="AB3" xr:uid="{00000000-0002-0000-2E00-000000000000}">
      <formula1>AB2</formula1>
      <formula2>AB1</formula2>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tabColor rgb="FF0000FF"/>
  </sheetPr>
  <dimension ref="A1:G19"/>
  <sheetViews>
    <sheetView topLeftCell="B1" workbookViewId="0">
      <selection activeCell="F1" sqref="F1"/>
    </sheetView>
  </sheetViews>
  <sheetFormatPr defaultRowHeight="15" x14ac:dyDescent="0.25"/>
  <cols>
    <col min="1" max="1" width="9" bestFit="1" customWidth="1"/>
    <col min="2" max="2" width="9.5703125" bestFit="1" customWidth="1"/>
    <col min="3" max="3" width="9.85546875" bestFit="1" customWidth="1"/>
    <col min="4" max="4" width="1.28515625" customWidth="1"/>
    <col min="5" max="5" width="24.42578125" bestFit="1" customWidth="1"/>
    <col min="6" max="6" width="7.7109375" bestFit="1" customWidth="1"/>
  </cols>
  <sheetData>
    <row r="1" spans="1:7" x14ac:dyDescent="0.25">
      <c r="A1" s="134" t="s">
        <v>1</v>
      </c>
      <c r="B1" s="134" t="s">
        <v>304</v>
      </c>
      <c r="C1" s="134" t="s">
        <v>37</v>
      </c>
      <c r="E1" s="134" t="s">
        <v>455</v>
      </c>
      <c r="F1" s="10"/>
      <c r="G1" t="str">
        <f>TextFormula</f>
        <v/>
      </c>
    </row>
    <row r="2" spans="1:7" x14ac:dyDescent="0.25">
      <c r="A2" s="8" t="s">
        <v>136</v>
      </c>
      <c r="B2" s="8" t="s">
        <v>323</v>
      </c>
      <c r="C2" s="22">
        <v>152</v>
      </c>
      <c r="E2" s="134" t="s">
        <v>456</v>
      </c>
      <c r="F2" s="10"/>
      <c r="G2" t="str">
        <f>TextFormula</f>
        <v/>
      </c>
    </row>
    <row r="3" spans="1:7" x14ac:dyDescent="0.25">
      <c r="A3" s="8" t="s">
        <v>328</v>
      </c>
      <c r="B3" s="8" t="s">
        <v>339</v>
      </c>
      <c r="C3" s="22">
        <v>220</v>
      </c>
      <c r="E3" s="134" t="s">
        <v>457</v>
      </c>
      <c r="F3" s="8" t="s">
        <v>328</v>
      </c>
    </row>
    <row r="4" spans="1:7" x14ac:dyDescent="0.25">
      <c r="A4" s="8" t="s">
        <v>328</v>
      </c>
      <c r="B4" s="8" t="s">
        <v>323</v>
      </c>
      <c r="C4" s="22">
        <v>132</v>
      </c>
      <c r="E4" s="134" t="s">
        <v>458</v>
      </c>
      <c r="F4" s="8" t="s">
        <v>339</v>
      </c>
    </row>
    <row r="5" spans="1:7" x14ac:dyDescent="0.25">
      <c r="A5" s="8" t="s">
        <v>136</v>
      </c>
      <c r="B5" s="8" t="s">
        <v>323</v>
      </c>
      <c r="C5" s="22">
        <v>154</v>
      </c>
    </row>
    <row r="6" spans="1:7" x14ac:dyDescent="0.25">
      <c r="A6" s="8" t="s">
        <v>136</v>
      </c>
      <c r="B6" s="8" t="s">
        <v>329</v>
      </c>
      <c r="C6" s="22">
        <v>1449</v>
      </c>
      <c r="E6" s="134" t="s">
        <v>459</v>
      </c>
      <c r="F6" s="10"/>
      <c r="G6" t="str">
        <f>TextFormula</f>
        <v/>
      </c>
    </row>
    <row r="7" spans="1:7" x14ac:dyDescent="0.25">
      <c r="A7" s="8" t="s">
        <v>136</v>
      </c>
      <c r="B7" s="8" t="s">
        <v>339</v>
      </c>
      <c r="C7" s="22">
        <v>783</v>
      </c>
      <c r="E7" s="134" t="s">
        <v>460</v>
      </c>
      <c r="F7" s="10"/>
      <c r="G7" t="str">
        <f>TextFormula</f>
        <v/>
      </c>
    </row>
    <row r="8" spans="1:7" x14ac:dyDescent="0.25">
      <c r="A8" s="8" t="s">
        <v>328</v>
      </c>
      <c r="B8" s="8" t="s">
        <v>323</v>
      </c>
      <c r="C8" s="22">
        <v>594</v>
      </c>
      <c r="E8" s="134" t="s">
        <v>457</v>
      </c>
      <c r="F8" s="8" t="s">
        <v>328</v>
      </c>
    </row>
    <row r="9" spans="1:7" x14ac:dyDescent="0.25">
      <c r="A9" s="8" t="s">
        <v>328</v>
      </c>
      <c r="B9" s="8" t="s">
        <v>323</v>
      </c>
      <c r="C9" s="22">
        <v>352</v>
      </c>
      <c r="E9" s="134" t="s">
        <v>458</v>
      </c>
      <c r="F9" s="8" t="s">
        <v>339</v>
      </c>
    </row>
    <row r="10" spans="1:7" x14ac:dyDescent="0.25">
      <c r="A10" s="8" t="s">
        <v>136</v>
      </c>
      <c r="B10" s="8" t="s">
        <v>339</v>
      </c>
      <c r="C10" s="22">
        <v>299</v>
      </c>
    </row>
    <row r="11" spans="1:7" x14ac:dyDescent="0.25">
      <c r="A11" s="8" t="s">
        <v>328</v>
      </c>
      <c r="B11" s="8" t="s">
        <v>339</v>
      </c>
      <c r="C11" s="22">
        <v>924</v>
      </c>
      <c r="F11" s="10">
        <f>COUNTIFS(A2:A16,F3,B2:B16,F4)</f>
        <v>4</v>
      </c>
      <c r="G11" t="str">
        <f>TextFormula</f>
        <v>=COUNTIFS(A2:A16;F3;B2:B16;F4)</v>
      </c>
    </row>
    <row r="12" spans="1:7" x14ac:dyDescent="0.25">
      <c r="A12" s="8" t="s">
        <v>328</v>
      </c>
      <c r="B12" s="8" t="s">
        <v>329</v>
      </c>
      <c r="C12" s="22">
        <v>459</v>
      </c>
      <c r="F12" s="10">
        <f>SUMPRODUCT(--(A2:A16=F3),--(B2:B16=F4))</f>
        <v>4</v>
      </c>
      <c r="G12" t="str">
        <f>TextFormula</f>
        <v>=SUMPRODUCT(--(A2:A16=F3);--(B2:B16=F4))</v>
      </c>
    </row>
    <row r="13" spans="1:7" x14ac:dyDescent="0.25">
      <c r="A13" s="8" t="s">
        <v>328</v>
      </c>
      <c r="B13" s="8" t="s">
        <v>339</v>
      </c>
      <c r="C13" s="22">
        <v>230</v>
      </c>
      <c r="F13" s="10">
        <f>SUMPRODUCT((A2:A16=F3)*(B2:B16=F4))</f>
        <v>4</v>
      </c>
      <c r="G13" t="str">
        <f>TextFormula</f>
        <v>=SUMPRODUCT((A2:A16=F3)*(B2:B16=F4))</v>
      </c>
    </row>
    <row r="14" spans="1:7" x14ac:dyDescent="0.25">
      <c r="A14" s="8" t="s">
        <v>136</v>
      </c>
      <c r="B14" s="8" t="s">
        <v>339</v>
      </c>
      <c r="C14" s="22">
        <v>675</v>
      </c>
      <c r="F14" s="10">
        <f>SUMPRODUCT((A2:A16=F3)*1,(B2:B16=F4)*1)</f>
        <v>4</v>
      </c>
      <c r="G14" t="str">
        <f>TextFormula</f>
        <v>=SUMPRODUCT((A2:A16=F3)*1;(B2:B16=F4)*1)</v>
      </c>
    </row>
    <row r="15" spans="1:7" x14ac:dyDescent="0.25">
      <c r="A15" s="8" t="s">
        <v>328</v>
      </c>
      <c r="B15" s="8" t="s">
        <v>339</v>
      </c>
      <c r="C15" s="22">
        <v>198</v>
      </c>
      <c r="F15" s="10">
        <f>SUMPRODUCT((A2:A16=F3)^1,(B2:B16=F4)^1)</f>
        <v>4</v>
      </c>
      <c r="G15" t="str">
        <f>TextFormula</f>
        <v>=SUMPRODUCT((A2:A16=F3)^1;(B2:B16=F4)^1)</v>
      </c>
    </row>
    <row r="16" spans="1:7" x14ac:dyDescent="0.25">
      <c r="A16" s="8" t="s">
        <v>328</v>
      </c>
      <c r="B16" s="8" t="s">
        <v>330</v>
      </c>
      <c r="C16" s="22">
        <v>459</v>
      </c>
      <c r="F16" s="10">
        <f t="array" ref="F16">SUM((A2:A16=F3)*(B2:B16=F4))</f>
        <v>4</v>
      </c>
      <c r="G16" t="str">
        <f>"{"&amp;TextFormula&amp;"}"</f>
        <v>{=SUM((A2:A16=F3)*(B2:B16=F4))}</v>
      </c>
    </row>
    <row r="17" spans="6:7" x14ac:dyDescent="0.25">
      <c r="F17" s="10">
        <f>SUMPRODUCT((A2:A16=F3)+0,(B2:B16=F4)+0)</f>
        <v>4</v>
      </c>
      <c r="G17" t="str">
        <f>TextFormula</f>
        <v>=SUMPRODUCT((A2:A16=F3)+0;(B2:B16=F4)+0)</v>
      </c>
    </row>
    <row r="18" spans="6:7" x14ac:dyDescent="0.25">
      <c r="F18" s="10"/>
      <c r="G18" t="str">
        <f>TextFormula</f>
        <v/>
      </c>
    </row>
    <row r="19" spans="6:7" x14ac:dyDescent="0.25">
      <c r="F19" s="10"/>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tabColor rgb="FF0000FF"/>
  </sheetPr>
  <dimension ref="A1:K4"/>
  <sheetViews>
    <sheetView workbookViewId="0">
      <selection activeCell="C8" sqref="C8"/>
    </sheetView>
  </sheetViews>
  <sheetFormatPr defaultColWidth="9.140625" defaultRowHeight="15" x14ac:dyDescent="0.25"/>
  <cols>
    <col min="1" max="1" width="5.85546875" customWidth="1"/>
    <col min="2" max="2" width="9.28515625" customWidth="1"/>
    <col min="3" max="3" width="6.7109375" customWidth="1"/>
    <col min="4" max="4" width="28" customWidth="1"/>
    <col min="5" max="5" width="12.28515625" customWidth="1"/>
    <col min="6" max="6" width="29.28515625" customWidth="1"/>
    <col min="7" max="7" width="2" customWidth="1"/>
    <col min="8" max="8" width="8.85546875" customWidth="1"/>
    <col min="9" max="9" width="9.140625" customWidth="1"/>
    <col min="11" max="11" width="13.5703125" bestFit="1" customWidth="1"/>
  </cols>
  <sheetData>
    <row r="1" spans="1:11" ht="45" x14ac:dyDescent="0.25">
      <c r="A1" s="12" t="s">
        <v>37</v>
      </c>
      <c r="B1" s="12" t="s">
        <v>103</v>
      </c>
      <c r="C1" s="12" t="s">
        <v>210</v>
      </c>
      <c r="D1" s="12" t="s">
        <v>211</v>
      </c>
      <c r="E1" s="12" t="s">
        <v>212</v>
      </c>
      <c r="F1" s="143" t="s">
        <v>461</v>
      </c>
    </row>
    <row r="2" spans="1:11" ht="45" x14ac:dyDescent="0.25">
      <c r="A2" s="66">
        <v>500</v>
      </c>
      <c r="B2" s="66">
        <v>700</v>
      </c>
      <c r="C2" s="66">
        <v>100</v>
      </c>
      <c r="D2" s="72" t="str">
        <f>"Is "&amp;A2&amp;" -"&amp;B2&amp;" &gt; "&amp;C2&amp;" TRUE or FALSE?"</f>
        <v>Is 500 -700 &gt; 100 TRUE or FALSE?</v>
      </c>
      <c r="E2" s="10" t="b">
        <f>A2-B2&gt;C2</f>
        <v>0</v>
      </c>
      <c r="F2" s="72" t="str">
        <f>"Logical Formula:"&amp;CHAR(10)&amp;CHAR(10)&amp;TextFormula</f>
        <v>Logical Formula:
=A2-B2&gt;C2</v>
      </c>
      <c r="H2" s="126" t="s">
        <v>213</v>
      </c>
      <c r="I2" s="126" t="s">
        <v>214</v>
      </c>
      <c r="K2" t="str">
        <f>A2&amp;" - "&amp;B2&amp;" &gt; "&amp;C2</f>
        <v>500 - 700 &gt; 100</v>
      </c>
    </row>
    <row r="3" spans="1:11" ht="60" x14ac:dyDescent="0.25">
      <c r="A3" s="66">
        <f t="shared" ref="A3:C4" si="0">A2</f>
        <v>500</v>
      </c>
      <c r="B3" s="66">
        <f t="shared" si="0"/>
        <v>700</v>
      </c>
      <c r="C3" s="66">
        <f t="shared" si="0"/>
        <v>100</v>
      </c>
      <c r="D3" s="72" t="str">
        <f>"Is "&amp;A3&amp;" -"&amp;B3&amp;" &gt; "&amp;C3&amp;", "&amp;H3&amp;" or "&amp;I3&amp;"?"</f>
        <v>Is 500 -700 &gt; 100, Yes or No?</v>
      </c>
      <c r="E3" s="74" t="str">
        <f>IF(A3-B3&gt;C3,H3,I3)</f>
        <v>No</v>
      </c>
      <c r="F3" s="72" t="str">
        <f>"IF function that puts one of two words in a cell:"&amp;CHAR(10)&amp;CHAR(10)&amp;TextFormula</f>
        <v>IF function that puts one of two words in a cell:
=IF(A3-B3&gt;C3;H3;I3)</v>
      </c>
      <c r="H3" s="8" t="s">
        <v>215</v>
      </c>
      <c r="I3" s="8" t="s">
        <v>216</v>
      </c>
      <c r="K3" t="str">
        <f>A2-B2&amp;" &gt; "&amp;C2</f>
        <v>-200 &gt; 100</v>
      </c>
    </row>
    <row r="4" spans="1:11" ht="60" x14ac:dyDescent="0.25">
      <c r="A4" s="66">
        <f t="shared" si="0"/>
        <v>500</v>
      </c>
      <c r="B4" s="66">
        <f t="shared" si="0"/>
        <v>700</v>
      </c>
      <c r="C4" s="66">
        <f t="shared" si="0"/>
        <v>100</v>
      </c>
      <c r="D4" s="72" t="str">
        <f>"Is "&amp;A4&amp;" -"&amp;B4&amp;" &gt; "&amp;C4&amp;", "&amp;H4&amp;" or "&amp;I4&amp;"?"</f>
        <v>Is 500 -700 &gt; 100, 10 or 0?</v>
      </c>
      <c r="E4" s="144">
        <f>IF(A4-B4&gt;C4,H4,I4)</f>
        <v>0</v>
      </c>
      <c r="F4" s="72" t="str">
        <f>"IF function that puts one of two numbers in a cell:"&amp;CHAR(10)&amp;CHAR(10)&amp;TextFormula</f>
        <v>IF function that puts one of two numbers in a cell:
=IF(A4-B4&gt;C4;H4;I4)</v>
      </c>
      <c r="H4" s="22">
        <v>10</v>
      </c>
      <c r="I4" s="22">
        <v>0</v>
      </c>
      <c r="K4" t="b">
        <f>A2-B2&gt;C2</f>
        <v>0</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00FF"/>
  </sheetPr>
  <dimension ref="A1:E10"/>
  <sheetViews>
    <sheetView zoomScale="115" zoomScaleNormal="115" workbookViewId="0">
      <selection activeCell="C8" sqref="C8"/>
    </sheetView>
  </sheetViews>
  <sheetFormatPr defaultRowHeight="15" x14ac:dyDescent="0.25"/>
  <cols>
    <col min="1" max="1" width="17.28515625" customWidth="1"/>
    <col min="2" max="2" width="9" bestFit="1" customWidth="1"/>
    <col min="3" max="5" width="14" customWidth="1"/>
  </cols>
  <sheetData>
    <row r="1" spans="1:5" ht="60" x14ac:dyDescent="0.25">
      <c r="C1" s="145" t="s">
        <v>462</v>
      </c>
      <c r="D1" s="145" t="s">
        <v>463</v>
      </c>
      <c r="E1" s="145" t="s">
        <v>464</v>
      </c>
    </row>
    <row r="2" spans="1:5" ht="30" x14ac:dyDescent="0.25">
      <c r="A2" s="146" t="s">
        <v>465</v>
      </c>
      <c r="B2" s="146" t="s">
        <v>37</v>
      </c>
      <c r="C2" s="146" t="s">
        <v>466</v>
      </c>
      <c r="D2" s="146" t="s">
        <v>467</v>
      </c>
      <c r="E2" s="146" t="s">
        <v>468</v>
      </c>
    </row>
    <row r="3" spans="1:5" x14ac:dyDescent="0.25">
      <c r="A3" s="8" t="s">
        <v>469</v>
      </c>
      <c r="B3" s="66">
        <v>20382</v>
      </c>
      <c r="C3" s="10"/>
      <c r="D3" s="10"/>
      <c r="E3" s="76"/>
    </row>
    <row r="4" spans="1:5" x14ac:dyDescent="0.25">
      <c r="A4" s="8" t="s">
        <v>470</v>
      </c>
      <c r="B4" s="66">
        <v>19504</v>
      </c>
      <c r="C4" s="10"/>
      <c r="D4" s="10"/>
      <c r="E4" s="76"/>
    </row>
    <row r="5" spans="1:5" x14ac:dyDescent="0.25">
      <c r="A5" s="8" t="s">
        <v>471</v>
      </c>
      <c r="B5" s="66">
        <v>21579</v>
      </c>
      <c r="C5" s="10"/>
      <c r="D5" s="10"/>
      <c r="E5" s="76"/>
    </row>
    <row r="6" spans="1:5" x14ac:dyDescent="0.25">
      <c r="A6" s="8" t="s">
        <v>472</v>
      </c>
      <c r="B6" s="66">
        <v>12117</v>
      </c>
      <c r="C6" s="10"/>
      <c r="D6" s="10"/>
      <c r="E6" s="76"/>
    </row>
    <row r="7" spans="1:5" x14ac:dyDescent="0.25">
      <c r="A7" s="8" t="s">
        <v>473</v>
      </c>
      <c r="B7" s="66">
        <v>26081</v>
      </c>
      <c r="C7" s="10"/>
      <c r="D7" s="10"/>
      <c r="E7" s="76"/>
    </row>
    <row r="8" spans="1:5" x14ac:dyDescent="0.25">
      <c r="B8" s="68"/>
    </row>
    <row r="9" spans="1:5" x14ac:dyDescent="0.25">
      <c r="A9" s="147" t="s">
        <v>474</v>
      </c>
      <c r="B9" s="66">
        <v>20000</v>
      </c>
    </row>
    <row r="10" spans="1:5" ht="45" x14ac:dyDescent="0.25">
      <c r="A10" s="146" t="s">
        <v>475</v>
      </c>
      <c r="B10" s="66">
        <v>750</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0000FF"/>
  </sheetPr>
  <dimension ref="A1:G16"/>
  <sheetViews>
    <sheetView zoomScale="115" zoomScaleNormal="115" workbookViewId="0">
      <selection activeCell="B13" sqref="B13"/>
    </sheetView>
  </sheetViews>
  <sheetFormatPr defaultRowHeight="15" x14ac:dyDescent="0.25"/>
  <cols>
    <col min="1" max="1" width="14.42578125" customWidth="1"/>
    <col min="2" max="2" width="16.140625" customWidth="1"/>
    <col min="3" max="3" width="3.140625" customWidth="1"/>
    <col min="8" max="8" width="22" customWidth="1"/>
    <col min="257" max="257" width="14.42578125" customWidth="1"/>
    <col min="258" max="258" width="16.140625" customWidth="1"/>
    <col min="264" max="264" width="22" customWidth="1"/>
    <col min="513" max="513" width="14.42578125" customWidth="1"/>
    <col min="514" max="514" width="16.140625" customWidth="1"/>
    <col min="520" max="520" width="22" customWidth="1"/>
    <col min="769" max="769" width="14.42578125" customWidth="1"/>
    <col min="770" max="770" width="16.140625" customWidth="1"/>
    <col min="776" max="776" width="22" customWidth="1"/>
    <col min="1025" max="1025" width="14.42578125" customWidth="1"/>
    <col min="1026" max="1026" width="16.140625" customWidth="1"/>
    <col min="1032" max="1032" width="22" customWidth="1"/>
    <col min="1281" max="1281" width="14.42578125" customWidth="1"/>
    <col min="1282" max="1282" width="16.140625" customWidth="1"/>
    <col min="1288" max="1288" width="22" customWidth="1"/>
    <col min="1537" max="1537" width="14.42578125" customWidth="1"/>
    <col min="1538" max="1538" width="16.140625" customWidth="1"/>
    <col min="1544" max="1544" width="22" customWidth="1"/>
    <col min="1793" max="1793" width="14.42578125" customWidth="1"/>
    <col min="1794" max="1794" width="16.140625" customWidth="1"/>
    <col min="1800" max="1800" width="22" customWidth="1"/>
    <col min="2049" max="2049" width="14.42578125" customWidth="1"/>
    <col min="2050" max="2050" width="16.140625" customWidth="1"/>
    <col min="2056" max="2056" width="22" customWidth="1"/>
    <col min="2305" max="2305" width="14.42578125" customWidth="1"/>
    <col min="2306" max="2306" width="16.140625" customWidth="1"/>
    <col min="2312" max="2312" width="22" customWidth="1"/>
    <col min="2561" max="2561" width="14.42578125" customWidth="1"/>
    <col min="2562" max="2562" width="16.140625" customWidth="1"/>
    <col min="2568" max="2568" width="22" customWidth="1"/>
    <col min="2817" max="2817" width="14.42578125" customWidth="1"/>
    <col min="2818" max="2818" width="16.140625" customWidth="1"/>
    <col min="2824" max="2824" width="22" customWidth="1"/>
    <col min="3073" max="3073" width="14.42578125" customWidth="1"/>
    <col min="3074" max="3074" width="16.140625" customWidth="1"/>
    <col min="3080" max="3080" width="22" customWidth="1"/>
    <col min="3329" max="3329" width="14.42578125" customWidth="1"/>
    <col min="3330" max="3330" width="16.140625" customWidth="1"/>
    <col min="3336" max="3336" width="22" customWidth="1"/>
    <col min="3585" max="3585" width="14.42578125" customWidth="1"/>
    <col min="3586" max="3586" width="16.140625" customWidth="1"/>
    <col min="3592" max="3592" width="22" customWidth="1"/>
    <col min="3841" max="3841" width="14.42578125" customWidth="1"/>
    <col min="3842" max="3842" width="16.140625" customWidth="1"/>
    <col min="3848" max="3848" width="22" customWidth="1"/>
    <col min="4097" max="4097" width="14.42578125" customWidth="1"/>
    <col min="4098" max="4098" width="16.140625" customWidth="1"/>
    <col min="4104" max="4104" width="22" customWidth="1"/>
    <col min="4353" max="4353" width="14.42578125" customWidth="1"/>
    <col min="4354" max="4354" width="16.140625" customWidth="1"/>
    <col min="4360" max="4360" width="22" customWidth="1"/>
    <col min="4609" max="4609" width="14.42578125" customWidth="1"/>
    <col min="4610" max="4610" width="16.140625" customWidth="1"/>
    <col min="4616" max="4616" width="22" customWidth="1"/>
    <col min="4865" max="4865" width="14.42578125" customWidth="1"/>
    <col min="4866" max="4866" width="16.140625" customWidth="1"/>
    <col min="4872" max="4872" width="22" customWidth="1"/>
    <col min="5121" max="5121" width="14.42578125" customWidth="1"/>
    <col min="5122" max="5122" width="16.140625" customWidth="1"/>
    <col min="5128" max="5128" width="22" customWidth="1"/>
    <col min="5377" max="5377" width="14.42578125" customWidth="1"/>
    <col min="5378" max="5378" width="16.140625" customWidth="1"/>
    <col min="5384" max="5384" width="22" customWidth="1"/>
    <col min="5633" max="5633" width="14.42578125" customWidth="1"/>
    <col min="5634" max="5634" width="16.140625" customWidth="1"/>
    <col min="5640" max="5640" width="22" customWidth="1"/>
    <col min="5889" max="5889" width="14.42578125" customWidth="1"/>
    <col min="5890" max="5890" width="16.140625" customWidth="1"/>
    <col min="5896" max="5896" width="22" customWidth="1"/>
    <col min="6145" max="6145" width="14.42578125" customWidth="1"/>
    <col min="6146" max="6146" width="16.140625" customWidth="1"/>
    <col min="6152" max="6152" width="22" customWidth="1"/>
    <col min="6401" max="6401" width="14.42578125" customWidth="1"/>
    <col min="6402" max="6402" width="16.140625" customWidth="1"/>
    <col min="6408" max="6408" width="22" customWidth="1"/>
    <col min="6657" max="6657" width="14.42578125" customWidth="1"/>
    <col min="6658" max="6658" width="16.140625" customWidth="1"/>
    <col min="6664" max="6664" width="22" customWidth="1"/>
    <col min="6913" max="6913" width="14.42578125" customWidth="1"/>
    <col min="6914" max="6914" width="16.140625" customWidth="1"/>
    <col min="6920" max="6920" width="22" customWidth="1"/>
    <col min="7169" max="7169" width="14.42578125" customWidth="1"/>
    <col min="7170" max="7170" width="16.140625" customWidth="1"/>
    <col min="7176" max="7176" width="22" customWidth="1"/>
    <col min="7425" max="7425" width="14.42578125" customWidth="1"/>
    <col min="7426" max="7426" width="16.140625" customWidth="1"/>
    <col min="7432" max="7432" width="22" customWidth="1"/>
    <col min="7681" max="7681" width="14.42578125" customWidth="1"/>
    <col min="7682" max="7682" width="16.140625" customWidth="1"/>
    <col min="7688" max="7688" width="22" customWidth="1"/>
    <col min="7937" max="7937" width="14.42578125" customWidth="1"/>
    <col min="7938" max="7938" width="16.140625" customWidth="1"/>
    <col min="7944" max="7944" width="22" customWidth="1"/>
    <col min="8193" max="8193" width="14.42578125" customWidth="1"/>
    <col min="8194" max="8194" width="16.140625" customWidth="1"/>
    <col min="8200" max="8200" width="22" customWidth="1"/>
    <col min="8449" max="8449" width="14.42578125" customWidth="1"/>
    <col min="8450" max="8450" width="16.140625" customWidth="1"/>
    <col min="8456" max="8456" width="22" customWidth="1"/>
    <col min="8705" max="8705" width="14.42578125" customWidth="1"/>
    <col min="8706" max="8706" width="16.140625" customWidth="1"/>
    <col min="8712" max="8712" width="22" customWidth="1"/>
    <col min="8961" max="8961" width="14.42578125" customWidth="1"/>
    <col min="8962" max="8962" width="16.140625" customWidth="1"/>
    <col min="8968" max="8968" width="22" customWidth="1"/>
    <col min="9217" max="9217" width="14.42578125" customWidth="1"/>
    <col min="9218" max="9218" width="16.140625" customWidth="1"/>
    <col min="9224" max="9224" width="22" customWidth="1"/>
    <col min="9473" max="9473" width="14.42578125" customWidth="1"/>
    <col min="9474" max="9474" width="16.140625" customWidth="1"/>
    <col min="9480" max="9480" width="22" customWidth="1"/>
    <col min="9729" max="9729" width="14.42578125" customWidth="1"/>
    <col min="9730" max="9730" width="16.140625" customWidth="1"/>
    <col min="9736" max="9736" width="22" customWidth="1"/>
    <col min="9985" max="9985" width="14.42578125" customWidth="1"/>
    <col min="9986" max="9986" width="16.140625" customWidth="1"/>
    <col min="9992" max="9992" width="22" customWidth="1"/>
    <col min="10241" max="10241" width="14.42578125" customWidth="1"/>
    <col min="10242" max="10242" width="16.140625" customWidth="1"/>
    <col min="10248" max="10248" width="22" customWidth="1"/>
    <col min="10497" max="10497" width="14.42578125" customWidth="1"/>
    <col min="10498" max="10498" width="16.140625" customWidth="1"/>
    <col min="10504" max="10504" width="22" customWidth="1"/>
    <col min="10753" max="10753" width="14.42578125" customWidth="1"/>
    <col min="10754" max="10754" width="16.140625" customWidth="1"/>
    <col min="10760" max="10760" width="22" customWidth="1"/>
    <col min="11009" max="11009" width="14.42578125" customWidth="1"/>
    <col min="11010" max="11010" width="16.140625" customWidth="1"/>
    <col min="11016" max="11016" width="22" customWidth="1"/>
    <col min="11265" max="11265" width="14.42578125" customWidth="1"/>
    <col min="11266" max="11266" width="16.140625" customWidth="1"/>
    <col min="11272" max="11272" width="22" customWidth="1"/>
    <col min="11521" max="11521" width="14.42578125" customWidth="1"/>
    <col min="11522" max="11522" width="16.140625" customWidth="1"/>
    <col min="11528" max="11528" width="22" customWidth="1"/>
    <col min="11777" max="11777" width="14.42578125" customWidth="1"/>
    <col min="11778" max="11778" width="16.140625" customWidth="1"/>
    <col min="11784" max="11784" width="22" customWidth="1"/>
    <col min="12033" max="12033" width="14.42578125" customWidth="1"/>
    <col min="12034" max="12034" width="16.140625" customWidth="1"/>
    <col min="12040" max="12040" width="22" customWidth="1"/>
    <col min="12289" max="12289" width="14.42578125" customWidth="1"/>
    <col min="12290" max="12290" width="16.140625" customWidth="1"/>
    <col min="12296" max="12296" width="22" customWidth="1"/>
    <col min="12545" max="12545" width="14.42578125" customWidth="1"/>
    <col min="12546" max="12546" width="16.140625" customWidth="1"/>
    <col min="12552" max="12552" width="22" customWidth="1"/>
    <col min="12801" max="12801" width="14.42578125" customWidth="1"/>
    <col min="12802" max="12802" width="16.140625" customWidth="1"/>
    <col min="12808" max="12808" width="22" customWidth="1"/>
    <col min="13057" max="13057" width="14.42578125" customWidth="1"/>
    <col min="13058" max="13058" width="16.140625" customWidth="1"/>
    <col min="13064" max="13064" width="22" customWidth="1"/>
    <col min="13313" max="13313" width="14.42578125" customWidth="1"/>
    <col min="13314" max="13314" width="16.140625" customWidth="1"/>
    <col min="13320" max="13320" width="22" customWidth="1"/>
    <col min="13569" max="13569" width="14.42578125" customWidth="1"/>
    <col min="13570" max="13570" width="16.140625" customWidth="1"/>
    <col min="13576" max="13576" width="22" customWidth="1"/>
    <col min="13825" max="13825" width="14.42578125" customWidth="1"/>
    <col min="13826" max="13826" width="16.140625" customWidth="1"/>
    <col min="13832" max="13832" width="22" customWidth="1"/>
    <col min="14081" max="14081" width="14.42578125" customWidth="1"/>
    <col min="14082" max="14082" width="16.140625" customWidth="1"/>
    <col min="14088" max="14088" width="22" customWidth="1"/>
    <col min="14337" max="14337" width="14.42578125" customWidth="1"/>
    <col min="14338" max="14338" width="16.140625" customWidth="1"/>
    <col min="14344" max="14344" width="22" customWidth="1"/>
    <col min="14593" max="14593" width="14.42578125" customWidth="1"/>
    <col min="14594" max="14594" width="16.140625" customWidth="1"/>
    <col min="14600" max="14600" width="22" customWidth="1"/>
    <col min="14849" max="14849" width="14.42578125" customWidth="1"/>
    <col min="14850" max="14850" width="16.140625" customWidth="1"/>
    <col min="14856" max="14856" width="22" customWidth="1"/>
    <col min="15105" max="15105" width="14.42578125" customWidth="1"/>
    <col min="15106" max="15106" width="16.140625" customWidth="1"/>
    <col min="15112" max="15112" width="22" customWidth="1"/>
    <col min="15361" max="15361" width="14.42578125" customWidth="1"/>
    <col min="15362" max="15362" width="16.140625" customWidth="1"/>
    <col min="15368" max="15368" width="22" customWidth="1"/>
    <col min="15617" max="15617" width="14.42578125" customWidth="1"/>
    <col min="15618" max="15618" width="16.140625" customWidth="1"/>
    <col min="15624" max="15624" width="22" customWidth="1"/>
    <col min="15873" max="15873" width="14.42578125" customWidth="1"/>
    <col min="15874" max="15874" width="16.140625" customWidth="1"/>
    <col min="15880" max="15880" width="22" customWidth="1"/>
    <col min="16129" max="16129" width="14.42578125" customWidth="1"/>
    <col min="16130" max="16130" width="16.140625" customWidth="1"/>
    <col min="16136" max="16136" width="22" customWidth="1"/>
  </cols>
  <sheetData>
    <row r="1" spans="1:7" ht="30" x14ac:dyDescent="0.25">
      <c r="A1" s="119" t="s">
        <v>357</v>
      </c>
      <c r="B1" s="119"/>
      <c r="D1" s="119" t="s">
        <v>370</v>
      </c>
      <c r="E1" s="119"/>
    </row>
    <row r="2" spans="1:7" x14ac:dyDescent="0.25">
      <c r="A2" s="27" t="s">
        <v>358</v>
      </c>
      <c r="B2" s="27" t="s">
        <v>359</v>
      </c>
      <c r="D2" t="s">
        <v>100</v>
      </c>
      <c r="E2" t="s">
        <v>101</v>
      </c>
    </row>
    <row r="3" spans="1:7" x14ac:dyDescent="0.25">
      <c r="A3" t="s">
        <v>360</v>
      </c>
      <c r="B3" s="15">
        <v>50</v>
      </c>
      <c r="C3" s="148"/>
      <c r="D3" s="148">
        <v>1682</v>
      </c>
      <c r="E3" s="148"/>
    </row>
    <row r="4" spans="1:7" x14ac:dyDescent="0.25">
      <c r="A4" t="s">
        <v>361</v>
      </c>
      <c r="B4" s="15">
        <v>600</v>
      </c>
      <c r="C4" s="148"/>
      <c r="D4" s="148">
        <v>154</v>
      </c>
      <c r="E4" s="148"/>
    </row>
    <row r="5" spans="1:7" ht="15.75" thickBot="1" x14ac:dyDescent="0.3">
      <c r="A5" t="s">
        <v>362</v>
      </c>
      <c r="B5" s="15">
        <v>845</v>
      </c>
      <c r="C5" s="148"/>
      <c r="D5" s="149">
        <f>SUM(D3:D4)</f>
        <v>1836</v>
      </c>
      <c r="E5" s="149"/>
    </row>
    <row r="6" spans="1:7" ht="15.75" thickTop="1" x14ac:dyDescent="0.25">
      <c r="A6" t="s">
        <v>363</v>
      </c>
      <c r="B6" s="15">
        <v>32</v>
      </c>
      <c r="C6" s="148"/>
      <c r="D6" s="148"/>
      <c r="E6" s="148"/>
    </row>
    <row r="7" spans="1:7" x14ac:dyDescent="0.25">
      <c r="A7" t="s">
        <v>364</v>
      </c>
      <c r="B7" s="15">
        <v>155</v>
      </c>
      <c r="C7" s="148"/>
      <c r="D7" s="148"/>
      <c r="E7" s="148"/>
    </row>
    <row r="8" spans="1:7" x14ac:dyDescent="0.25">
      <c r="A8" t="s">
        <v>365</v>
      </c>
      <c r="B8" s="15">
        <v>45.01</v>
      </c>
      <c r="C8" s="148"/>
      <c r="D8" s="148"/>
      <c r="E8" s="148"/>
    </row>
    <row r="9" spans="1:7" x14ac:dyDescent="0.25">
      <c r="A9" t="s">
        <v>366</v>
      </c>
      <c r="B9" s="15">
        <v>87</v>
      </c>
      <c r="C9" s="148"/>
      <c r="D9" s="148"/>
      <c r="E9" s="148"/>
    </row>
    <row r="10" spans="1:7" x14ac:dyDescent="0.25">
      <c r="A10" t="s">
        <v>367</v>
      </c>
      <c r="B10" s="15">
        <v>22</v>
      </c>
      <c r="C10" s="148"/>
      <c r="D10" s="148"/>
      <c r="E10" s="148"/>
    </row>
    <row r="11" spans="1:7" ht="15.75" thickBot="1" x14ac:dyDescent="0.3">
      <c r="A11" s="125" t="s">
        <v>368</v>
      </c>
      <c r="B11" s="355">
        <f>SUM(B3:B10)</f>
        <v>1836.01</v>
      </c>
      <c r="C11" s="148"/>
      <c r="D11" s="148"/>
      <c r="E11" s="148"/>
    </row>
    <row r="12" spans="1:7" ht="8.25" customHeight="1" thickTop="1" x14ac:dyDescent="0.25"/>
    <row r="13" spans="1:7" ht="30" x14ac:dyDescent="0.25">
      <c r="A13" s="126" t="s">
        <v>369</v>
      </c>
      <c r="B13" s="10"/>
    </row>
    <row r="16" spans="1:7" ht="30" x14ac:dyDescent="0.25">
      <c r="A16" s="150" t="s">
        <v>476</v>
      </c>
      <c r="B16" s="150"/>
      <c r="C16" s="150"/>
      <c r="D16" s="150"/>
      <c r="E16" s="150"/>
      <c r="F16" s="150"/>
      <c r="G16" s="150"/>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0000FF"/>
  </sheetPr>
  <dimension ref="A1:E67"/>
  <sheetViews>
    <sheetView zoomScale="115" zoomScaleNormal="115" workbookViewId="0">
      <selection activeCell="C8" sqref="C8"/>
    </sheetView>
  </sheetViews>
  <sheetFormatPr defaultRowHeight="15" x14ac:dyDescent="0.25"/>
  <cols>
    <col min="4" max="4" width="4" customWidth="1"/>
  </cols>
  <sheetData>
    <row r="1" spans="1:5" ht="30" x14ac:dyDescent="0.25">
      <c r="A1" s="14" t="s">
        <v>477</v>
      </c>
      <c r="B1" s="14" t="s">
        <v>302</v>
      </c>
      <c r="C1" s="44" t="s">
        <v>478</v>
      </c>
      <c r="E1" s="14" t="s">
        <v>479</v>
      </c>
    </row>
    <row r="2" spans="1:5" x14ac:dyDescent="0.25">
      <c r="A2" s="24">
        <v>10</v>
      </c>
      <c r="B2" s="8" t="s">
        <v>381</v>
      </c>
      <c r="C2" s="10"/>
      <c r="E2" s="8" t="s">
        <v>385</v>
      </c>
    </row>
    <row r="3" spans="1:5" x14ac:dyDescent="0.25">
      <c r="A3" s="24">
        <v>19</v>
      </c>
      <c r="B3" s="8" t="s">
        <v>385</v>
      </c>
      <c r="C3" s="10"/>
      <c r="E3" s="8" t="s">
        <v>386</v>
      </c>
    </row>
    <row r="4" spans="1:5" x14ac:dyDescent="0.25">
      <c r="A4" s="24">
        <v>15</v>
      </c>
      <c r="B4" s="8" t="s">
        <v>386</v>
      </c>
      <c r="C4" s="10"/>
    </row>
    <row r="5" spans="1:5" x14ac:dyDescent="0.25">
      <c r="A5" s="24">
        <v>5</v>
      </c>
      <c r="B5" s="8" t="s">
        <v>381</v>
      </c>
      <c r="C5" s="10"/>
    </row>
    <row r="6" spans="1:5" x14ac:dyDescent="0.25">
      <c r="A6" s="24">
        <v>3</v>
      </c>
      <c r="B6" s="8" t="s">
        <v>386</v>
      </c>
      <c r="C6" s="10"/>
    </row>
    <row r="7" spans="1:5" x14ac:dyDescent="0.25">
      <c r="A7" s="24">
        <v>18</v>
      </c>
      <c r="B7" s="8" t="s">
        <v>382</v>
      </c>
      <c r="C7" s="10"/>
    </row>
    <row r="8" spans="1:5" x14ac:dyDescent="0.25">
      <c r="A8" s="24">
        <v>5</v>
      </c>
      <c r="B8" s="8" t="s">
        <v>382</v>
      </c>
      <c r="C8" s="10"/>
    </row>
    <row r="9" spans="1:5" x14ac:dyDescent="0.25">
      <c r="A9" s="24">
        <v>8</v>
      </c>
      <c r="B9" s="8" t="s">
        <v>385</v>
      </c>
      <c r="C9" s="10"/>
    </row>
    <row r="10" spans="1:5" x14ac:dyDescent="0.25">
      <c r="A10" s="24">
        <v>13</v>
      </c>
      <c r="B10" s="8" t="s">
        <v>381</v>
      </c>
      <c r="C10" s="10"/>
    </row>
    <row r="11" spans="1:5" x14ac:dyDescent="0.25">
      <c r="A11" s="24">
        <v>16</v>
      </c>
      <c r="B11" s="8" t="s">
        <v>382</v>
      </c>
      <c r="C11" s="10"/>
    </row>
    <row r="12" spans="1:5" x14ac:dyDescent="0.25">
      <c r="A12" s="24">
        <v>5</v>
      </c>
      <c r="B12" s="8" t="s">
        <v>384</v>
      </c>
      <c r="C12" s="10"/>
    </row>
    <row r="13" spans="1:5" x14ac:dyDescent="0.25">
      <c r="A13" s="24">
        <v>6</v>
      </c>
      <c r="B13" s="8" t="s">
        <v>386</v>
      </c>
      <c r="C13" s="10"/>
    </row>
    <row r="14" spans="1:5" x14ac:dyDescent="0.25">
      <c r="A14" s="24">
        <v>10</v>
      </c>
      <c r="B14" s="8" t="s">
        <v>386</v>
      </c>
      <c r="C14" s="10"/>
    </row>
    <row r="15" spans="1:5" x14ac:dyDescent="0.25">
      <c r="A15" s="24">
        <v>19</v>
      </c>
      <c r="B15" s="8" t="s">
        <v>381</v>
      </c>
      <c r="C15" s="10"/>
    </row>
    <row r="16" spans="1:5" x14ac:dyDescent="0.25">
      <c r="A16" s="24">
        <v>9</v>
      </c>
      <c r="B16" s="8" t="s">
        <v>382</v>
      </c>
      <c r="C16" s="10"/>
    </row>
    <row r="17" spans="1:3" x14ac:dyDescent="0.25">
      <c r="A17" s="24">
        <v>5</v>
      </c>
      <c r="B17" s="8" t="s">
        <v>383</v>
      </c>
      <c r="C17" s="10"/>
    </row>
    <row r="18" spans="1:3" x14ac:dyDescent="0.25">
      <c r="A18" s="24">
        <v>4</v>
      </c>
      <c r="B18" s="8" t="s">
        <v>383</v>
      </c>
      <c r="C18" s="10"/>
    </row>
    <row r="19" spans="1:3" x14ac:dyDescent="0.25">
      <c r="A19" s="24">
        <v>3</v>
      </c>
      <c r="B19" s="8" t="s">
        <v>383</v>
      </c>
      <c r="C19" s="10"/>
    </row>
    <row r="20" spans="1:3" x14ac:dyDescent="0.25">
      <c r="A20" s="24">
        <v>14</v>
      </c>
      <c r="B20" s="8" t="s">
        <v>384</v>
      </c>
      <c r="C20" s="10"/>
    </row>
    <row r="21" spans="1:3" x14ac:dyDescent="0.25">
      <c r="A21" s="24">
        <v>17</v>
      </c>
      <c r="B21" s="8" t="s">
        <v>386</v>
      </c>
      <c r="C21" s="10"/>
    </row>
    <row r="22" spans="1:3" x14ac:dyDescent="0.25">
      <c r="A22" s="24">
        <v>14</v>
      </c>
      <c r="B22" s="8" t="s">
        <v>381</v>
      </c>
      <c r="C22" s="10"/>
    </row>
    <row r="23" spans="1:3" x14ac:dyDescent="0.25">
      <c r="A23" s="24">
        <v>4</v>
      </c>
      <c r="B23" s="8" t="s">
        <v>385</v>
      </c>
      <c r="C23" s="10"/>
    </row>
    <row r="24" spans="1:3" x14ac:dyDescent="0.25">
      <c r="A24" s="24">
        <v>13</v>
      </c>
      <c r="B24" s="8" t="s">
        <v>384</v>
      </c>
      <c r="C24" s="10"/>
    </row>
    <row r="25" spans="1:3" x14ac:dyDescent="0.25">
      <c r="A25" s="24">
        <v>14</v>
      </c>
      <c r="B25" s="8" t="s">
        <v>382</v>
      </c>
      <c r="C25" s="10"/>
    </row>
    <row r="26" spans="1:3" x14ac:dyDescent="0.25">
      <c r="A26" s="24">
        <v>19</v>
      </c>
      <c r="B26" s="8" t="s">
        <v>384</v>
      </c>
      <c r="C26" s="10"/>
    </row>
    <row r="27" spans="1:3" x14ac:dyDescent="0.25">
      <c r="A27" s="24">
        <v>10</v>
      </c>
      <c r="B27" s="8" t="s">
        <v>383</v>
      </c>
      <c r="C27" s="10"/>
    </row>
    <row r="28" spans="1:3" x14ac:dyDescent="0.25">
      <c r="A28" s="24">
        <v>14</v>
      </c>
      <c r="B28" s="8" t="s">
        <v>385</v>
      </c>
      <c r="C28" s="10"/>
    </row>
    <row r="29" spans="1:3" x14ac:dyDescent="0.25">
      <c r="A29" s="24">
        <v>17</v>
      </c>
      <c r="B29" s="8" t="s">
        <v>384</v>
      </c>
      <c r="C29" s="10"/>
    </row>
    <row r="30" spans="1:3" x14ac:dyDescent="0.25">
      <c r="A30" s="24">
        <v>1</v>
      </c>
      <c r="B30" s="8" t="s">
        <v>383</v>
      </c>
      <c r="C30" s="10"/>
    </row>
    <row r="31" spans="1:3" x14ac:dyDescent="0.25">
      <c r="A31" s="24">
        <v>4</v>
      </c>
      <c r="B31" s="8" t="s">
        <v>386</v>
      </c>
      <c r="C31" s="10"/>
    </row>
    <row r="32" spans="1:3" x14ac:dyDescent="0.25">
      <c r="A32" s="24">
        <v>9</v>
      </c>
      <c r="B32" s="8" t="s">
        <v>385</v>
      </c>
      <c r="C32" s="10"/>
    </row>
    <row r="33" spans="1:3" x14ac:dyDescent="0.25">
      <c r="A33" s="24">
        <v>11</v>
      </c>
      <c r="B33" s="8" t="s">
        <v>381</v>
      </c>
      <c r="C33" s="10"/>
    </row>
    <row r="34" spans="1:3" x14ac:dyDescent="0.25">
      <c r="A34" s="24">
        <v>9</v>
      </c>
      <c r="B34" s="8" t="s">
        <v>383</v>
      </c>
      <c r="C34" s="10"/>
    </row>
    <row r="35" spans="1:3" x14ac:dyDescent="0.25">
      <c r="A35" s="24">
        <v>4</v>
      </c>
      <c r="B35" s="8" t="s">
        <v>382</v>
      </c>
      <c r="C35" s="10"/>
    </row>
    <row r="36" spans="1:3" x14ac:dyDescent="0.25">
      <c r="A36" s="24">
        <v>19</v>
      </c>
      <c r="B36" s="8" t="s">
        <v>386</v>
      </c>
      <c r="C36" s="10"/>
    </row>
    <row r="37" spans="1:3" x14ac:dyDescent="0.25">
      <c r="A37" s="24">
        <v>18</v>
      </c>
      <c r="B37" s="8" t="s">
        <v>382</v>
      </c>
      <c r="C37" s="10"/>
    </row>
    <row r="38" spans="1:3" x14ac:dyDescent="0.25">
      <c r="A38" s="24">
        <v>14</v>
      </c>
      <c r="B38" s="8" t="s">
        <v>386</v>
      </c>
      <c r="C38" s="10"/>
    </row>
    <row r="39" spans="1:3" x14ac:dyDescent="0.25">
      <c r="A39" s="24">
        <v>1</v>
      </c>
      <c r="B39" s="8" t="s">
        <v>384</v>
      </c>
      <c r="C39" s="10"/>
    </row>
    <row r="40" spans="1:3" x14ac:dyDescent="0.25">
      <c r="A40" s="24">
        <v>17</v>
      </c>
      <c r="B40" s="8" t="s">
        <v>385</v>
      </c>
      <c r="C40" s="10"/>
    </row>
    <row r="41" spans="1:3" x14ac:dyDescent="0.25">
      <c r="A41" s="24">
        <v>11</v>
      </c>
      <c r="B41" s="8" t="s">
        <v>386</v>
      </c>
      <c r="C41" s="10"/>
    </row>
    <row r="42" spans="1:3" x14ac:dyDescent="0.25">
      <c r="A42" s="24">
        <v>12</v>
      </c>
      <c r="B42" s="8" t="s">
        <v>381</v>
      </c>
      <c r="C42" s="10"/>
    </row>
    <row r="43" spans="1:3" x14ac:dyDescent="0.25">
      <c r="A43" s="24">
        <v>2</v>
      </c>
      <c r="B43" s="8" t="s">
        <v>382</v>
      </c>
      <c r="C43" s="10"/>
    </row>
    <row r="44" spans="1:3" x14ac:dyDescent="0.25">
      <c r="A44" s="24">
        <v>1</v>
      </c>
      <c r="B44" s="8" t="s">
        <v>384</v>
      </c>
      <c r="C44" s="10"/>
    </row>
    <row r="45" spans="1:3" x14ac:dyDescent="0.25">
      <c r="A45" s="24">
        <v>1</v>
      </c>
      <c r="B45" s="8" t="s">
        <v>381</v>
      </c>
      <c r="C45" s="10"/>
    </row>
    <row r="46" spans="1:3" x14ac:dyDescent="0.25">
      <c r="A46" s="24">
        <v>13</v>
      </c>
      <c r="B46" s="8" t="s">
        <v>386</v>
      </c>
      <c r="C46" s="10"/>
    </row>
    <row r="47" spans="1:3" x14ac:dyDescent="0.25">
      <c r="A47" s="24">
        <v>14</v>
      </c>
      <c r="B47" s="8" t="s">
        <v>386</v>
      </c>
      <c r="C47" s="10"/>
    </row>
    <row r="48" spans="1:3" x14ac:dyDescent="0.25">
      <c r="A48" s="24">
        <v>9</v>
      </c>
      <c r="B48" s="8" t="s">
        <v>382</v>
      </c>
      <c r="C48" s="10"/>
    </row>
    <row r="49" spans="1:3" x14ac:dyDescent="0.25">
      <c r="A49" s="24">
        <v>8</v>
      </c>
      <c r="B49" s="8" t="s">
        <v>386</v>
      </c>
      <c r="C49" s="10"/>
    </row>
    <row r="50" spans="1:3" x14ac:dyDescent="0.25">
      <c r="A50" s="24">
        <v>12</v>
      </c>
      <c r="B50" s="8" t="s">
        <v>383</v>
      </c>
      <c r="C50" s="10"/>
    </row>
    <row r="51" spans="1:3" x14ac:dyDescent="0.25">
      <c r="A51" s="24">
        <v>11</v>
      </c>
      <c r="B51" s="8" t="s">
        <v>386</v>
      </c>
      <c r="C51" s="10"/>
    </row>
    <row r="52" spans="1:3" x14ac:dyDescent="0.25">
      <c r="A52" s="24">
        <v>1</v>
      </c>
      <c r="B52" s="8" t="s">
        <v>386</v>
      </c>
      <c r="C52" s="10"/>
    </row>
    <row r="53" spans="1:3" x14ac:dyDescent="0.25">
      <c r="A53" s="24">
        <v>14</v>
      </c>
      <c r="B53" s="8" t="s">
        <v>384</v>
      </c>
      <c r="C53" s="10"/>
    </row>
    <row r="54" spans="1:3" x14ac:dyDescent="0.25">
      <c r="A54" s="24">
        <v>11</v>
      </c>
      <c r="B54" s="8" t="s">
        <v>383</v>
      </c>
      <c r="C54" s="10"/>
    </row>
    <row r="55" spans="1:3" x14ac:dyDescent="0.25">
      <c r="A55" s="24">
        <v>17</v>
      </c>
      <c r="B55" s="8" t="s">
        <v>386</v>
      </c>
      <c r="C55" s="10"/>
    </row>
    <row r="56" spans="1:3" x14ac:dyDescent="0.25">
      <c r="A56" s="24">
        <v>1</v>
      </c>
      <c r="B56" s="8" t="s">
        <v>385</v>
      </c>
      <c r="C56" s="10"/>
    </row>
    <row r="57" spans="1:3" x14ac:dyDescent="0.25">
      <c r="A57" s="24">
        <v>11</v>
      </c>
      <c r="B57" s="8" t="s">
        <v>385</v>
      </c>
      <c r="C57" s="10"/>
    </row>
    <row r="58" spans="1:3" x14ac:dyDescent="0.25">
      <c r="A58" s="24">
        <v>15</v>
      </c>
      <c r="B58" s="8" t="s">
        <v>383</v>
      </c>
      <c r="C58" s="10"/>
    </row>
    <row r="59" spans="1:3" x14ac:dyDescent="0.25">
      <c r="A59" s="24">
        <v>12</v>
      </c>
      <c r="B59" s="8" t="s">
        <v>384</v>
      </c>
      <c r="C59" s="10"/>
    </row>
    <row r="60" spans="1:3" x14ac:dyDescent="0.25">
      <c r="A60" s="24">
        <v>15</v>
      </c>
      <c r="B60" s="8" t="s">
        <v>383</v>
      </c>
      <c r="C60" s="10"/>
    </row>
    <row r="61" spans="1:3" x14ac:dyDescent="0.25">
      <c r="A61" s="24">
        <v>2</v>
      </c>
      <c r="B61" s="8" t="s">
        <v>384</v>
      </c>
      <c r="C61" s="10"/>
    </row>
    <row r="62" spans="1:3" x14ac:dyDescent="0.25">
      <c r="A62" s="24">
        <v>13</v>
      </c>
      <c r="B62" s="8" t="s">
        <v>386</v>
      </c>
      <c r="C62" s="10"/>
    </row>
    <row r="63" spans="1:3" x14ac:dyDescent="0.25">
      <c r="A63" s="24">
        <v>4</v>
      </c>
      <c r="B63" s="8" t="s">
        <v>385</v>
      </c>
      <c r="C63" s="10"/>
    </row>
    <row r="64" spans="1:3" x14ac:dyDescent="0.25">
      <c r="A64" s="24">
        <v>15</v>
      </c>
      <c r="B64" s="8" t="s">
        <v>381</v>
      </c>
      <c r="C64" s="10"/>
    </row>
    <row r="65" spans="1:3" x14ac:dyDescent="0.25">
      <c r="A65" s="24">
        <v>14</v>
      </c>
      <c r="B65" s="8" t="s">
        <v>384</v>
      </c>
      <c r="C65" s="10"/>
    </row>
    <row r="66" spans="1:3" x14ac:dyDescent="0.25">
      <c r="A66" s="24">
        <v>3</v>
      </c>
      <c r="B66" s="8" t="s">
        <v>385</v>
      </c>
      <c r="C66" s="10"/>
    </row>
    <row r="67" spans="1:3" x14ac:dyDescent="0.25">
      <c r="A67" s="24">
        <v>12</v>
      </c>
      <c r="B67" s="8" t="s">
        <v>381</v>
      </c>
      <c r="C67" s="10"/>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0000FF"/>
  </sheetPr>
  <dimension ref="A1:F13"/>
  <sheetViews>
    <sheetView zoomScale="115" zoomScaleNormal="115" workbookViewId="0">
      <selection activeCell="C8" sqref="C8"/>
    </sheetView>
  </sheetViews>
  <sheetFormatPr defaultColWidth="9.140625" defaultRowHeight="15" x14ac:dyDescent="0.25"/>
  <cols>
    <col min="1" max="1" width="10.42578125" bestFit="1" customWidth="1"/>
    <col min="2" max="2" width="11.42578125" customWidth="1"/>
    <col min="3" max="3" width="12.28515625" bestFit="1" customWidth="1"/>
    <col min="4" max="4" width="6.42578125" bestFit="1" customWidth="1"/>
    <col min="5" max="5" width="9" bestFit="1" customWidth="1"/>
    <col min="6" max="6" width="13.140625" bestFit="1" customWidth="1"/>
  </cols>
  <sheetData>
    <row r="1" spans="1:6" x14ac:dyDescent="0.25">
      <c r="A1" s="151" t="s">
        <v>480</v>
      </c>
      <c r="B1" s="151"/>
      <c r="C1" s="151"/>
      <c r="D1" s="151"/>
      <c r="E1" s="151"/>
      <c r="F1" s="151"/>
    </row>
    <row r="2" spans="1:6" ht="30" x14ac:dyDescent="0.25">
      <c r="A2" s="44" t="s">
        <v>304</v>
      </c>
      <c r="B2" s="44" t="s">
        <v>481</v>
      </c>
      <c r="C2" s="44" t="s">
        <v>482</v>
      </c>
      <c r="D2" s="44" t="s">
        <v>483</v>
      </c>
      <c r="E2" s="54" t="s">
        <v>484</v>
      </c>
      <c r="F2" s="54" t="s">
        <v>485</v>
      </c>
    </row>
    <row r="3" spans="1:6" x14ac:dyDescent="0.25">
      <c r="A3" s="8" t="s">
        <v>339</v>
      </c>
      <c r="B3" s="36">
        <v>100000</v>
      </c>
      <c r="C3" s="36">
        <v>1500000</v>
      </c>
      <c r="D3" s="8">
        <v>4</v>
      </c>
      <c r="E3" s="10"/>
      <c r="F3" s="10"/>
    </row>
    <row r="4" spans="1:6" x14ac:dyDescent="0.25">
      <c r="A4" s="8" t="s">
        <v>320</v>
      </c>
      <c r="B4" s="36">
        <v>1000000</v>
      </c>
      <c r="C4" s="36">
        <v>5000000</v>
      </c>
      <c r="D4" s="8">
        <v>2</v>
      </c>
      <c r="E4" s="10"/>
      <c r="F4" s="10"/>
    </row>
    <row r="5" spans="1:6" x14ac:dyDescent="0.25">
      <c r="A5" s="8" t="s">
        <v>324</v>
      </c>
      <c r="B5" s="36">
        <v>250000</v>
      </c>
      <c r="C5" s="36">
        <v>1250000</v>
      </c>
      <c r="D5" s="8">
        <v>3.5</v>
      </c>
      <c r="E5" s="10"/>
      <c r="F5" s="10"/>
    </row>
    <row r="6" spans="1:6" x14ac:dyDescent="0.25">
      <c r="A6" s="8" t="s">
        <v>486</v>
      </c>
      <c r="B6" s="36">
        <v>6000000</v>
      </c>
      <c r="C6" s="36">
        <v>35000000</v>
      </c>
      <c r="D6" s="8">
        <v>3.5</v>
      </c>
      <c r="E6" s="10"/>
      <c r="F6" s="10"/>
    </row>
    <row r="7" spans="1:6" x14ac:dyDescent="0.25">
      <c r="A7" s="8" t="s">
        <v>487</v>
      </c>
      <c r="B7" s="36">
        <v>95000</v>
      </c>
      <c r="C7" s="36">
        <v>52000</v>
      </c>
      <c r="D7" s="8">
        <v>5</v>
      </c>
      <c r="E7" s="10"/>
      <c r="F7" s="10"/>
    </row>
    <row r="8" spans="1:6" x14ac:dyDescent="0.25">
      <c r="A8" s="8" t="s">
        <v>488</v>
      </c>
      <c r="B8" s="36">
        <v>125000</v>
      </c>
      <c r="C8" s="36">
        <v>95000</v>
      </c>
      <c r="D8" s="8">
        <v>5</v>
      </c>
      <c r="E8" s="10"/>
      <c r="F8" s="10"/>
    </row>
    <row r="10" spans="1:6" x14ac:dyDescent="0.25">
      <c r="A10" s="97" t="s">
        <v>489</v>
      </c>
      <c r="B10" s="97"/>
    </row>
    <row r="11" spans="1:6" x14ac:dyDescent="0.25">
      <c r="A11" s="44" t="s">
        <v>481</v>
      </c>
      <c r="B11" s="36">
        <v>100000</v>
      </c>
    </row>
    <row r="12" spans="1:6" ht="30" x14ac:dyDescent="0.25">
      <c r="A12" s="44" t="s">
        <v>482</v>
      </c>
      <c r="B12" s="36">
        <v>500000</v>
      </c>
    </row>
    <row r="13" spans="1:6" ht="30" x14ac:dyDescent="0.25">
      <c r="A13" s="44" t="s">
        <v>483</v>
      </c>
      <c r="B13" s="36">
        <v>3</v>
      </c>
    </row>
  </sheetData>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tabColor rgb="FF0000FF"/>
  </sheetPr>
  <dimension ref="A1:E11"/>
  <sheetViews>
    <sheetView zoomScale="115" zoomScaleNormal="115" workbookViewId="0">
      <selection activeCell="C8" sqref="C8"/>
    </sheetView>
  </sheetViews>
  <sheetFormatPr defaultColWidth="9.140625" defaultRowHeight="15" x14ac:dyDescent="0.25"/>
  <cols>
    <col min="1" max="1" width="16.7109375" bestFit="1" customWidth="1"/>
    <col min="2" max="2" width="7.85546875" bestFit="1" customWidth="1"/>
    <col min="3" max="3" width="10.140625" bestFit="1" customWidth="1"/>
    <col min="4" max="4" width="11.140625" customWidth="1"/>
    <col min="5" max="5" width="10.5703125" bestFit="1" customWidth="1"/>
  </cols>
  <sheetData>
    <row r="1" spans="1:5" x14ac:dyDescent="0.25">
      <c r="A1" s="14" t="s">
        <v>358</v>
      </c>
      <c r="B1" s="14" t="s">
        <v>37</v>
      </c>
      <c r="C1" s="14" t="s">
        <v>490</v>
      </c>
      <c r="E1" s="53" t="s">
        <v>137</v>
      </c>
    </row>
    <row r="2" spans="1:5" x14ac:dyDescent="0.25">
      <c r="A2" s="8" t="s">
        <v>491</v>
      </c>
      <c r="B2" s="66">
        <v>5018</v>
      </c>
      <c r="C2" s="76"/>
      <c r="E2" s="66">
        <v>7000</v>
      </c>
    </row>
    <row r="3" spans="1:5" x14ac:dyDescent="0.25">
      <c r="A3" s="8" t="s">
        <v>492</v>
      </c>
      <c r="B3" s="66">
        <v>5651</v>
      </c>
      <c r="C3" s="76"/>
      <c r="E3" s="53" t="s">
        <v>493</v>
      </c>
    </row>
    <row r="4" spans="1:5" x14ac:dyDescent="0.25">
      <c r="A4" s="8" t="s">
        <v>494</v>
      </c>
      <c r="B4" s="66">
        <v>7000</v>
      </c>
      <c r="C4" s="76"/>
      <c r="E4" s="24">
        <v>0.03</v>
      </c>
    </row>
    <row r="5" spans="1:5" x14ac:dyDescent="0.25">
      <c r="A5" s="8" t="s">
        <v>495</v>
      </c>
      <c r="B5" s="66">
        <v>9623</v>
      </c>
      <c r="C5" s="23"/>
    </row>
    <row r="6" spans="1:5" x14ac:dyDescent="0.25">
      <c r="A6" s="8" t="s">
        <v>496</v>
      </c>
      <c r="B6" s="66">
        <v>9008</v>
      </c>
      <c r="C6" s="23"/>
    </row>
    <row r="7" spans="1:5" x14ac:dyDescent="0.25">
      <c r="A7" s="8" t="s">
        <v>497</v>
      </c>
      <c r="B7" s="66">
        <v>5220</v>
      </c>
      <c r="C7" s="76"/>
    </row>
    <row r="8" spans="1:5" x14ac:dyDescent="0.25">
      <c r="A8" s="8" t="s">
        <v>498</v>
      </c>
      <c r="B8" s="66">
        <v>5417</v>
      </c>
      <c r="C8" s="76"/>
    </row>
    <row r="9" spans="1:5" x14ac:dyDescent="0.25">
      <c r="A9" s="8" t="s">
        <v>499</v>
      </c>
      <c r="B9" s="66">
        <v>6436</v>
      </c>
      <c r="C9" s="76"/>
    </row>
    <row r="10" spans="1:5" x14ac:dyDescent="0.25">
      <c r="A10" s="8" t="s">
        <v>500</v>
      </c>
      <c r="B10" s="66">
        <v>8407</v>
      </c>
      <c r="C10" s="23"/>
    </row>
    <row r="11" spans="1:5" x14ac:dyDescent="0.25">
      <c r="A11" s="8" t="s">
        <v>501</v>
      </c>
      <c r="B11" s="66">
        <v>5815</v>
      </c>
      <c r="C11" s="76"/>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tabColor rgb="FF0000FF"/>
  </sheetPr>
  <dimension ref="A1:G33"/>
  <sheetViews>
    <sheetView zoomScaleNormal="100" workbookViewId="0">
      <selection activeCell="C7" sqref="C7:C11"/>
    </sheetView>
  </sheetViews>
  <sheetFormatPr defaultColWidth="9.140625" defaultRowHeight="15" x14ac:dyDescent="0.25"/>
  <cols>
    <col min="1" max="1" width="24.5703125" customWidth="1"/>
    <col min="2" max="2" width="7.85546875" bestFit="1" customWidth="1"/>
    <col min="3" max="3" width="10.28515625" bestFit="1" customWidth="1"/>
    <col min="4" max="4" width="32.140625" customWidth="1"/>
    <col min="5" max="5" width="47.7109375" bestFit="1" customWidth="1"/>
    <col min="7" max="7" width="57" bestFit="1" customWidth="1"/>
    <col min="8" max="8" width="7.85546875" bestFit="1" customWidth="1"/>
  </cols>
  <sheetData>
    <row r="1" spans="1:7" x14ac:dyDescent="0.25">
      <c r="A1" s="152" t="s">
        <v>502</v>
      </c>
      <c r="B1" s="152" t="s">
        <v>137</v>
      </c>
      <c r="C1" s="152" t="s">
        <v>503</v>
      </c>
    </row>
    <row r="2" spans="1:7" x14ac:dyDescent="0.25">
      <c r="A2" s="153" t="str">
        <f>DOLLAR(B2,0)&amp;" &lt;= "&amp;B$6&amp;" &lt; "&amp;DOLLAR(B3,0)</f>
        <v>$ 0 &lt;= Sales &lt; $ 5.000</v>
      </c>
      <c r="B2" s="154">
        <v>0</v>
      </c>
      <c r="C2" s="155">
        <v>0</v>
      </c>
    </row>
    <row r="3" spans="1:7" x14ac:dyDescent="0.25">
      <c r="A3" s="8" t="str">
        <f>DOLLAR(B3,0)&amp;" &lt;= "&amp;B$6&amp;" &lt; "&amp;DOLLAR(B4,0)</f>
        <v>$ 5.000 &lt;= Sales &lt; $ 7.000</v>
      </c>
      <c r="B3" s="66">
        <v>5000</v>
      </c>
      <c r="C3" s="21">
        <v>0.02</v>
      </c>
    </row>
    <row r="4" spans="1:7" x14ac:dyDescent="0.25">
      <c r="A4" s="153" t="str">
        <f>B6&amp;" &gt;= "&amp;DOLLAR(B4,0)</f>
        <v>Sales &gt;= $ 7.000</v>
      </c>
      <c r="B4" s="154">
        <v>7000</v>
      </c>
      <c r="C4" s="156">
        <v>0.03</v>
      </c>
    </row>
    <row r="6" spans="1:7" x14ac:dyDescent="0.25">
      <c r="A6" s="152" t="s">
        <v>358</v>
      </c>
      <c r="B6" s="152" t="s">
        <v>37</v>
      </c>
      <c r="C6" s="152" t="s">
        <v>490</v>
      </c>
    </row>
    <row r="7" spans="1:7" x14ac:dyDescent="0.25">
      <c r="A7" s="8" t="s">
        <v>504</v>
      </c>
      <c r="B7" s="66">
        <v>5018</v>
      </c>
      <c r="C7" s="23"/>
      <c r="D7" s="32"/>
      <c r="E7" s="157" t="s">
        <v>505</v>
      </c>
      <c r="G7" s="8" t="s">
        <v>506</v>
      </c>
    </row>
    <row r="8" spans="1:7" x14ac:dyDescent="0.25">
      <c r="A8" s="8" t="s">
        <v>507</v>
      </c>
      <c r="B8" s="66">
        <v>4125</v>
      </c>
      <c r="C8" s="23"/>
      <c r="D8" s="32"/>
      <c r="E8" s="157" t="s">
        <v>508</v>
      </c>
      <c r="G8" s="8" t="s">
        <v>509</v>
      </c>
    </row>
    <row r="9" spans="1:7" x14ac:dyDescent="0.25">
      <c r="A9" s="8" t="s">
        <v>510</v>
      </c>
      <c r="B9" s="66">
        <v>7000</v>
      </c>
      <c r="C9" s="23"/>
      <c r="D9" s="32"/>
      <c r="E9" s="157" t="s">
        <v>511</v>
      </c>
      <c r="G9" s="8" t="s">
        <v>512</v>
      </c>
    </row>
    <row r="10" spans="1:7" x14ac:dyDescent="0.25">
      <c r="A10" s="8" t="s">
        <v>513</v>
      </c>
      <c r="B10" s="66">
        <v>3012</v>
      </c>
      <c r="C10" s="23"/>
      <c r="D10" s="32"/>
      <c r="E10" s="157" t="s">
        <v>514</v>
      </c>
      <c r="G10" s="8" t="s">
        <v>515</v>
      </c>
    </row>
    <row r="11" spans="1:7" x14ac:dyDescent="0.25">
      <c r="A11" s="8" t="s">
        <v>516</v>
      </c>
      <c r="B11" s="66">
        <v>9558</v>
      </c>
      <c r="C11" s="23"/>
      <c r="D11" s="32"/>
      <c r="E11" s="157" t="s">
        <v>517</v>
      </c>
    </row>
    <row r="15" spans="1:7" ht="30" x14ac:dyDescent="0.25">
      <c r="G15" s="72" t="str">
        <f>" "&amp;CHAR(27)&amp;" We need "&amp;VLOOKUP(B7,$B$2:$C$4,2)&amp;" because"&amp;CHAR(10)&amp;SUBSTITUTE(LOOKUP(B7,$B$2:$B$4,$A$2:$A$4),"Sales",DOLLAR(B7,0))</f>
        <v xml:space="preserve"> _x001B_ We need 0,02 because
$ 5.000 &lt;= $ 5.018 &lt; $ 7.000</v>
      </c>
    </row>
    <row r="16" spans="1:7" ht="30" x14ac:dyDescent="0.25">
      <c r="G16" s="72" t="str">
        <f t="shared" ref="G16:G19" si="0">" "&amp;CHAR(27)&amp;" We need "&amp;VLOOKUP(B8,$B$2:$C$4,2)&amp;" because"&amp;CHAR(10)&amp;SUBSTITUTE(LOOKUP(B8,$B$2:$B$4,$A$2:$A$4),"Sales",DOLLAR(B8,0))</f>
        <v xml:space="preserve"> _x001B_ We need 0 because
$ 0 &lt;= $ 4.125 &lt; $ 5.000</v>
      </c>
    </row>
    <row r="17" spans="1:7" ht="30" x14ac:dyDescent="0.25">
      <c r="G17" s="72" t="str">
        <f t="shared" si="0"/>
        <v xml:space="preserve"> _x001B_ We need 0,03 because
$ 7.000 &gt;= $ 7.000</v>
      </c>
    </row>
    <row r="18" spans="1:7" ht="30" x14ac:dyDescent="0.25">
      <c r="G18" s="72" t="str">
        <f t="shared" si="0"/>
        <v xml:space="preserve"> _x001B_ We need 0 because
$ 0 &lt;= $ 3.012 &lt; $ 5.000</v>
      </c>
    </row>
    <row r="19" spans="1:7" ht="30" x14ac:dyDescent="0.25">
      <c r="G19" s="72" t="str">
        <f t="shared" si="0"/>
        <v xml:space="preserve"> _x001B_ We need 0,03 because
$ 9.558 &gt;= $ 7.000</v>
      </c>
    </row>
    <row r="20" spans="1:7" x14ac:dyDescent="0.25">
      <c r="A20" s="152" t="s">
        <v>502</v>
      </c>
      <c r="B20" s="152" t="s">
        <v>137</v>
      </c>
      <c r="C20" s="152" t="s">
        <v>503</v>
      </c>
    </row>
    <row r="21" spans="1:7" x14ac:dyDescent="0.25">
      <c r="A21" s="8" t="str">
        <f>DOLLAR(B21,0)&amp;" &lt;= "&amp;B$6&amp;" &lt; "&amp;DOLLAR(B22,0)</f>
        <v>$ 0 &lt;= Sales &lt; $ 2.000</v>
      </c>
      <c r="B21" s="66">
        <v>0</v>
      </c>
      <c r="C21" s="21">
        <v>0</v>
      </c>
    </row>
    <row r="22" spans="1:7" x14ac:dyDescent="0.25">
      <c r="A22" s="153" t="str">
        <f t="shared" ref="A22:A25" si="1">DOLLAR(B22,0)&amp;" &lt;= "&amp;B$6&amp;" &lt; "&amp;DOLLAR(B23,0)</f>
        <v>$ 2.000 &lt;= Sales &lt; $ 3.000</v>
      </c>
      <c r="B22" s="154">
        <v>2000</v>
      </c>
      <c r="C22" s="156">
        <v>0.01</v>
      </c>
    </row>
    <row r="23" spans="1:7" x14ac:dyDescent="0.25">
      <c r="A23" s="8" t="str">
        <f t="shared" si="1"/>
        <v>$ 3.000 &lt;= Sales &lt; $ 4.000</v>
      </c>
      <c r="B23" s="66">
        <v>3000</v>
      </c>
      <c r="C23" s="21">
        <v>0.02</v>
      </c>
    </row>
    <row r="24" spans="1:7" x14ac:dyDescent="0.25">
      <c r="A24" s="153" t="str">
        <f t="shared" si="1"/>
        <v>$ 4.000 &lt;= Sales &lt; $ 5.000</v>
      </c>
      <c r="B24" s="154">
        <v>4000</v>
      </c>
      <c r="C24" s="156">
        <v>0.03</v>
      </c>
    </row>
    <row r="25" spans="1:7" x14ac:dyDescent="0.25">
      <c r="A25" s="8" t="str">
        <f t="shared" si="1"/>
        <v>$ 5.000 &lt;= Sales &lt; $ 7.000</v>
      </c>
      <c r="B25" s="66">
        <v>5000</v>
      </c>
      <c r="C25" s="21">
        <v>0.04</v>
      </c>
    </row>
    <row r="26" spans="1:7" x14ac:dyDescent="0.25">
      <c r="A26" s="153" t="str">
        <f>B28&amp;" &gt;= "&amp;DOLLAR(B26,0)</f>
        <v>Sales &gt;= $ 7.000</v>
      </c>
      <c r="B26" s="154">
        <v>7000</v>
      </c>
      <c r="C26" s="156">
        <v>0.05</v>
      </c>
    </row>
    <row r="28" spans="1:7" x14ac:dyDescent="0.25">
      <c r="A28" s="152" t="s">
        <v>358</v>
      </c>
      <c r="B28" s="152" t="s">
        <v>37</v>
      </c>
      <c r="C28" s="152" t="s">
        <v>490</v>
      </c>
    </row>
    <row r="29" spans="1:7" x14ac:dyDescent="0.25">
      <c r="A29" s="8" t="s">
        <v>504</v>
      </c>
      <c r="B29" s="66">
        <v>5018</v>
      </c>
      <c r="C29" s="23">
        <f>IF(B29&gt;=B$26,C$26,IF(B29&gt;=B$25,C$25,IF(B29&gt;=B$24,C$24,IF(B29&gt;=B$23,C$23,IF(B29&gt;=B$22,C$22,C$21)))))*B29</f>
        <v>200.72</v>
      </c>
      <c r="E29">
        <f>VLOOKUP(B29,$B$21:$C$26,2)*B29</f>
        <v>200.72</v>
      </c>
    </row>
    <row r="30" spans="1:7" x14ac:dyDescent="0.25">
      <c r="A30" s="8" t="s">
        <v>507</v>
      </c>
      <c r="B30" s="66">
        <v>1000</v>
      </c>
      <c r="C30" s="23">
        <f t="shared" ref="C30:C33" si="2">IF(B30&gt;=B$26,C$26,IF(B30&gt;=B$25,C$25,IF(B30&gt;=B$24,C$24,IF(B30&gt;=B$23,C$23,IF(B30&gt;=B$22,C$22,C$21)))))*B30</f>
        <v>0</v>
      </c>
      <c r="E30">
        <f t="shared" ref="E30:E33" si="3">VLOOKUP(B30,$B$21:$C$26,2)*B30</f>
        <v>0</v>
      </c>
    </row>
    <row r="31" spans="1:7" x14ac:dyDescent="0.25">
      <c r="A31" s="8" t="s">
        <v>510</v>
      </c>
      <c r="B31" s="66">
        <v>7000</v>
      </c>
      <c r="C31" s="23">
        <f t="shared" si="2"/>
        <v>350</v>
      </c>
      <c r="E31">
        <f t="shared" si="3"/>
        <v>350</v>
      </c>
    </row>
    <row r="32" spans="1:7" x14ac:dyDescent="0.25">
      <c r="A32" s="8" t="s">
        <v>513</v>
      </c>
      <c r="B32" s="66">
        <v>3012</v>
      </c>
      <c r="C32" s="23">
        <f t="shared" si="2"/>
        <v>60.24</v>
      </c>
      <c r="E32">
        <f t="shared" si="3"/>
        <v>60.24</v>
      </c>
    </row>
    <row r="33" spans="1:5" x14ac:dyDescent="0.25">
      <c r="A33" s="8" t="s">
        <v>516</v>
      </c>
      <c r="B33" s="66">
        <v>9558</v>
      </c>
      <c r="C33" s="23">
        <f t="shared" si="2"/>
        <v>477.90000000000003</v>
      </c>
      <c r="E33">
        <f t="shared" si="3"/>
        <v>477.90000000000003</v>
      </c>
    </row>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tabColor rgb="FF0000FF"/>
  </sheetPr>
  <dimension ref="A1:T106"/>
  <sheetViews>
    <sheetView topLeftCell="E1" zoomScale="85" zoomScaleNormal="85" workbookViewId="0">
      <selection activeCell="I2" sqref="I2"/>
    </sheetView>
  </sheetViews>
  <sheetFormatPr defaultRowHeight="15" x14ac:dyDescent="0.25"/>
  <cols>
    <col min="8" max="8" width="9.85546875" bestFit="1" customWidth="1"/>
    <col min="9" max="9" width="14" bestFit="1" customWidth="1"/>
    <col min="10" max="10" width="1.5703125" customWidth="1"/>
    <col min="11" max="11" width="17.7109375" customWidth="1"/>
    <col min="12" max="12" width="12.5703125" customWidth="1"/>
    <col min="13" max="13" width="14.5703125" bestFit="1" customWidth="1"/>
    <col min="14" max="14" width="4.140625" customWidth="1"/>
    <col min="15" max="15" width="4.7109375" customWidth="1"/>
  </cols>
  <sheetData>
    <row r="1" spans="1:20" ht="60" x14ac:dyDescent="0.25">
      <c r="A1" s="134" t="s">
        <v>0</v>
      </c>
      <c r="B1" s="134" t="s">
        <v>302</v>
      </c>
      <c r="C1" s="134" t="s">
        <v>303</v>
      </c>
      <c r="D1" s="134" t="s">
        <v>1</v>
      </c>
      <c r="E1" s="134" t="s">
        <v>304</v>
      </c>
      <c r="F1" s="134" t="s">
        <v>305</v>
      </c>
      <c r="G1" s="134" t="s">
        <v>175</v>
      </c>
      <c r="H1" s="134" t="s">
        <v>37</v>
      </c>
      <c r="I1" s="134" t="s">
        <v>518</v>
      </c>
      <c r="K1" s="158" t="s">
        <v>519</v>
      </c>
      <c r="L1" s="159" t="s">
        <v>520</v>
      </c>
      <c r="M1" s="159" t="s">
        <v>518</v>
      </c>
      <c r="Q1">
        <v>0</v>
      </c>
      <c r="R1">
        <f>Q2</f>
        <v>100</v>
      </c>
      <c r="T1" s="32">
        <f>MIN(H2:H106)</f>
        <v>114</v>
      </c>
    </row>
    <row r="2" spans="1:20" ht="18.75" x14ac:dyDescent="0.3">
      <c r="A2" s="75">
        <v>40569</v>
      </c>
      <c r="B2" s="8" t="s">
        <v>321</v>
      </c>
      <c r="C2" s="8" t="s">
        <v>309</v>
      </c>
      <c r="D2" s="8" t="s">
        <v>136</v>
      </c>
      <c r="E2" s="8" t="s">
        <v>318</v>
      </c>
      <c r="F2" s="8">
        <v>7</v>
      </c>
      <c r="G2" s="22">
        <v>70</v>
      </c>
      <c r="H2" s="22">
        <v>154</v>
      </c>
      <c r="I2" s="10"/>
      <c r="K2" s="160" t="str">
        <f>Q1&amp;" &lt;= Sales &lt; "&amp;R1</f>
        <v>0 &lt;= Sales &lt; 100</v>
      </c>
      <c r="L2" s="161">
        <f>Q1</f>
        <v>0</v>
      </c>
      <c r="M2" s="162" t="s">
        <v>521</v>
      </c>
      <c r="O2" s="432" t="s">
        <v>522</v>
      </c>
      <c r="Q2">
        <v>100</v>
      </c>
      <c r="R2">
        <f t="shared" ref="R2:R4" si="0">Q3</f>
        <v>500</v>
      </c>
    </row>
    <row r="3" spans="1:20" ht="18.75" x14ac:dyDescent="0.3">
      <c r="A3" s="75">
        <v>40553</v>
      </c>
      <c r="B3" s="8" t="s">
        <v>321</v>
      </c>
      <c r="C3" s="8" t="s">
        <v>308</v>
      </c>
      <c r="D3" s="8" t="s">
        <v>328</v>
      </c>
      <c r="E3" s="8" t="s">
        <v>324</v>
      </c>
      <c r="F3" s="8">
        <v>61</v>
      </c>
      <c r="G3" s="22">
        <v>610</v>
      </c>
      <c r="H3" s="22">
        <v>1342</v>
      </c>
      <c r="I3" s="10"/>
      <c r="K3" s="160" t="str">
        <f>Q2&amp;" &lt;= Sales &lt; "&amp;R2</f>
        <v>100 &lt;= Sales &lt; 500</v>
      </c>
      <c r="L3" s="161">
        <f>Q2</f>
        <v>100</v>
      </c>
      <c r="M3" s="162" t="s">
        <v>523</v>
      </c>
      <c r="O3" s="432"/>
      <c r="Q3">
        <v>500</v>
      </c>
      <c r="R3">
        <f t="shared" si="0"/>
        <v>750</v>
      </c>
    </row>
    <row r="4" spans="1:20" ht="18.75" x14ac:dyDescent="0.3">
      <c r="A4" s="75">
        <v>40546</v>
      </c>
      <c r="B4" s="8" t="s">
        <v>311</v>
      </c>
      <c r="C4" s="8" t="s">
        <v>310</v>
      </c>
      <c r="D4" s="8" t="s">
        <v>3</v>
      </c>
      <c r="E4" s="8" t="s">
        <v>348</v>
      </c>
      <c r="F4" s="8">
        <v>6</v>
      </c>
      <c r="G4" s="22">
        <v>48</v>
      </c>
      <c r="H4" s="22">
        <v>114</v>
      </c>
      <c r="I4" s="10"/>
      <c r="K4" s="160" t="str">
        <f>Q3&amp;" &lt;= Sales &lt; "&amp;R3</f>
        <v>500 &lt;= Sales &lt; 750</v>
      </c>
      <c r="L4" s="161">
        <f>Q3</f>
        <v>500</v>
      </c>
      <c r="M4" s="162" t="s">
        <v>450</v>
      </c>
      <c r="O4" s="432"/>
      <c r="Q4">
        <v>750</v>
      </c>
      <c r="R4">
        <f t="shared" si="0"/>
        <v>1000</v>
      </c>
    </row>
    <row r="5" spans="1:20" ht="18.75" x14ac:dyDescent="0.3">
      <c r="A5" s="75">
        <v>40550</v>
      </c>
      <c r="B5" s="8" t="s">
        <v>317</v>
      </c>
      <c r="C5" s="8" t="s">
        <v>309</v>
      </c>
      <c r="D5" s="8" t="s">
        <v>136</v>
      </c>
      <c r="E5" s="8" t="s">
        <v>326</v>
      </c>
      <c r="F5" s="8">
        <v>61</v>
      </c>
      <c r="G5" s="22">
        <v>564.25</v>
      </c>
      <c r="H5" s="22">
        <v>1281</v>
      </c>
      <c r="I5" s="10"/>
      <c r="K5" s="160" t="str">
        <f>Q4&amp;" &lt;= Sales &lt; "&amp;R4</f>
        <v>750 &lt;= Sales &lt; 1000</v>
      </c>
      <c r="L5" s="161">
        <f>Q4</f>
        <v>750</v>
      </c>
      <c r="M5" s="162" t="s">
        <v>524</v>
      </c>
      <c r="O5" s="432"/>
      <c r="Q5">
        <v>1000</v>
      </c>
    </row>
    <row r="6" spans="1:20" ht="18.75" x14ac:dyDescent="0.3">
      <c r="A6" s="75">
        <v>40561</v>
      </c>
      <c r="B6" s="8" t="s">
        <v>311</v>
      </c>
      <c r="C6" s="8" t="s">
        <v>309</v>
      </c>
      <c r="D6" s="8" t="s">
        <v>3</v>
      </c>
      <c r="E6" s="8" t="s">
        <v>330</v>
      </c>
      <c r="F6" s="8">
        <v>8</v>
      </c>
      <c r="G6" s="22">
        <v>64</v>
      </c>
      <c r="H6" s="22">
        <v>152</v>
      </c>
      <c r="I6" s="10"/>
      <c r="K6" s="160" t="str">
        <f>"Sales &gt;= "&amp;Q5</f>
        <v>Sales &gt;= 1000</v>
      </c>
      <c r="L6" s="161">
        <f>Q5</f>
        <v>1000</v>
      </c>
      <c r="M6" s="162" t="s">
        <v>525</v>
      </c>
      <c r="O6" s="432"/>
    </row>
    <row r="7" spans="1:20" x14ac:dyDescent="0.25">
      <c r="A7" s="75">
        <v>40563</v>
      </c>
      <c r="B7" s="8" t="s">
        <v>315</v>
      </c>
      <c r="C7" s="8" t="s">
        <v>307</v>
      </c>
      <c r="D7" s="8" t="s">
        <v>7</v>
      </c>
      <c r="E7" s="8" t="s">
        <v>323</v>
      </c>
      <c r="F7" s="8">
        <v>59</v>
      </c>
      <c r="G7" s="22">
        <v>649</v>
      </c>
      <c r="H7" s="22">
        <v>1357</v>
      </c>
      <c r="I7" s="10"/>
    </row>
    <row r="8" spans="1:20" hidden="1" x14ac:dyDescent="0.25">
      <c r="A8" s="75">
        <v>40569</v>
      </c>
      <c r="B8" s="8" t="s">
        <v>321</v>
      </c>
      <c r="C8" s="8" t="s">
        <v>308</v>
      </c>
      <c r="D8" s="8" t="s">
        <v>328</v>
      </c>
      <c r="E8" s="8" t="s">
        <v>329</v>
      </c>
      <c r="F8" s="8">
        <v>21</v>
      </c>
      <c r="G8" s="22">
        <v>210</v>
      </c>
      <c r="H8" s="22">
        <v>462</v>
      </c>
      <c r="I8" s="10"/>
    </row>
    <row r="9" spans="1:20" hidden="1" x14ac:dyDescent="0.25">
      <c r="A9" s="75">
        <v>40550</v>
      </c>
      <c r="B9" s="8" t="s">
        <v>315</v>
      </c>
      <c r="C9" s="8" t="s">
        <v>308</v>
      </c>
      <c r="D9" s="8" t="s">
        <v>312</v>
      </c>
      <c r="E9" s="8" t="s">
        <v>428</v>
      </c>
      <c r="F9" s="8">
        <v>12</v>
      </c>
      <c r="G9" s="22">
        <v>132</v>
      </c>
      <c r="H9" s="22">
        <v>276</v>
      </c>
      <c r="I9" s="10"/>
    </row>
    <row r="10" spans="1:20" hidden="1" x14ac:dyDescent="0.25">
      <c r="A10" s="75">
        <v>40548</v>
      </c>
      <c r="B10" s="8" t="s">
        <v>315</v>
      </c>
      <c r="C10" s="8" t="s">
        <v>309</v>
      </c>
      <c r="D10" s="8" t="s">
        <v>312</v>
      </c>
      <c r="E10" s="8" t="s">
        <v>429</v>
      </c>
      <c r="F10" s="8">
        <v>60</v>
      </c>
      <c r="G10" s="22">
        <v>660</v>
      </c>
      <c r="H10" s="22">
        <v>1380</v>
      </c>
      <c r="I10" s="10"/>
    </row>
    <row r="11" spans="1:20" hidden="1" x14ac:dyDescent="0.25">
      <c r="A11" s="75">
        <v>40560</v>
      </c>
      <c r="B11" s="8" t="s">
        <v>319</v>
      </c>
      <c r="C11" s="8" t="s">
        <v>307</v>
      </c>
      <c r="D11" s="8" t="s">
        <v>312</v>
      </c>
      <c r="E11" s="8" t="s">
        <v>335</v>
      </c>
      <c r="F11" s="8">
        <v>62</v>
      </c>
      <c r="G11" s="22">
        <v>899</v>
      </c>
      <c r="H11" s="22">
        <v>1674</v>
      </c>
      <c r="I11" s="10"/>
    </row>
    <row r="12" spans="1:20" hidden="1" x14ac:dyDescent="0.25">
      <c r="A12" s="75">
        <v>40571</v>
      </c>
      <c r="B12" s="8" t="s">
        <v>311</v>
      </c>
      <c r="C12" s="8" t="s">
        <v>310</v>
      </c>
      <c r="D12" s="8" t="s">
        <v>132</v>
      </c>
      <c r="E12" s="8" t="s">
        <v>318</v>
      </c>
      <c r="F12" s="8">
        <v>51</v>
      </c>
      <c r="G12" s="22">
        <v>408</v>
      </c>
      <c r="H12" s="22">
        <v>969</v>
      </c>
      <c r="I12" s="10"/>
    </row>
    <row r="13" spans="1:20" hidden="1" x14ac:dyDescent="0.25">
      <c r="A13" s="75">
        <v>40560</v>
      </c>
      <c r="B13" s="8" t="s">
        <v>319</v>
      </c>
      <c r="C13" s="8" t="s">
        <v>307</v>
      </c>
      <c r="D13" s="8" t="s">
        <v>328</v>
      </c>
      <c r="E13" s="8" t="s">
        <v>331</v>
      </c>
      <c r="F13" s="8">
        <v>43</v>
      </c>
      <c r="G13" s="22">
        <v>623.5</v>
      </c>
      <c r="H13" s="22">
        <v>1161</v>
      </c>
      <c r="I13" s="10"/>
    </row>
    <row r="14" spans="1:20" hidden="1" x14ac:dyDescent="0.25">
      <c r="A14" s="75">
        <v>40559</v>
      </c>
      <c r="B14" s="8" t="s">
        <v>321</v>
      </c>
      <c r="C14" s="8" t="s">
        <v>308</v>
      </c>
      <c r="D14" s="8" t="s">
        <v>3</v>
      </c>
      <c r="E14" s="8" t="s">
        <v>432</v>
      </c>
      <c r="F14" s="8">
        <v>56</v>
      </c>
      <c r="G14" s="22">
        <v>560</v>
      </c>
      <c r="H14" s="22">
        <v>1232</v>
      </c>
      <c r="I14" s="10"/>
    </row>
    <row r="15" spans="1:20" hidden="1" x14ac:dyDescent="0.25">
      <c r="A15" s="75">
        <v>40558</v>
      </c>
      <c r="B15" s="8" t="s">
        <v>311</v>
      </c>
      <c r="C15" s="8" t="s">
        <v>308</v>
      </c>
      <c r="D15" s="8" t="s">
        <v>7</v>
      </c>
      <c r="E15" s="8" t="s">
        <v>432</v>
      </c>
      <c r="F15" s="8">
        <v>11</v>
      </c>
      <c r="G15" s="22">
        <v>88</v>
      </c>
      <c r="H15" s="22">
        <v>209</v>
      </c>
      <c r="I15" s="10"/>
    </row>
    <row r="16" spans="1:20" hidden="1" x14ac:dyDescent="0.25">
      <c r="A16" s="75">
        <v>40555</v>
      </c>
      <c r="B16" s="8" t="s">
        <v>321</v>
      </c>
      <c r="C16" s="8" t="s">
        <v>310</v>
      </c>
      <c r="D16" s="8" t="s">
        <v>7</v>
      </c>
      <c r="E16" s="8" t="s">
        <v>338</v>
      </c>
      <c r="F16" s="8">
        <v>7</v>
      </c>
      <c r="G16" s="22">
        <v>70</v>
      </c>
      <c r="H16" s="22">
        <v>154</v>
      </c>
      <c r="I16" s="10"/>
    </row>
    <row r="17" spans="1:9" hidden="1" x14ac:dyDescent="0.25">
      <c r="A17" s="75">
        <v>40546</v>
      </c>
      <c r="B17" s="8" t="s">
        <v>317</v>
      </c>
      <c r="C17" s="8" t="s">
        <v>310</v>
      </c>
      <c r="D17" s="8" t="s">
        <v>136</v>
      </c>
      <c r="E17" s="8" t="s">
        <v>332</v>
      </c>
      <c r="F17" s="8">
        <v>23</v>
      </c>
      <c r="G17" s="22">
        <v>212.75</v>
      </c>
      <c r="H17" s="22">
        <v>483</v>
      </c>
      <c r="I17" s="10"/>
    </row>
    <row r="18" spans="1:9" hidden="1" x14ac:dyDescent="0.25">
      <c r="A18" s="75">
        <v>40565</v>
      </c>
      <c r="B18" s="8" t="s">
        <v>315</v>
      </c>
      <c r="C18" s="8" t="s">
        <v>310</v>
      </c>
      <c r="D18" s="8" t="s">
        <v>132</v>
      </c>
      <c r="E18" s="8" t="s">
        <v>313</v>
      </c>
      <c r="F18" s="8">
        <v>29</v>
      </c>
      <c r="G18" s="22">
        <v>319</v>
      </c>
      <c r="H18" s="22">
        <v>667</v>
      </c>
      <c r="I18" s="10"/>
    </row>
    <row r="19" spans="1:9" hidden="1" x14ac:dyDescent="0.25">
      <c r="A19" s="75">
        <v>40564</v>
      </c>
      <c r="B19" s="8" t="s">
        <v>319</v>
      </c>
      <c r="C19" s="8" t="s">
        <v>309</v>
      </c>
      <c r="D19" s="8" t="s">
        <v>328</v>
      </c>
      <c r="E19" s="8" t="s">
        <v>336</v>
      </c>
      <c r="F19" s="8">
        <v>56</v>
      </c>
      <c r="G19" s="22">
        <v>812</v>
      </c>
      <c r="H19" s="22">
        <v>1512</v>
      </c>
      <c r="I19" s="10"/>
    </row>
    <row r="20" spans="1:9" hidden="1" x14ac:dyDescent="0.25">
      <c r="A20" s="75">
        <v>40556</v>
      </c>
      <c r="B20" s="8" t="s">
        <v>311</v>
      </c>
      <c r="C20" s="8" t="s">
        <v>308</v>
      </c>
      <c r="D20" s="8" t="s">
        <v>136</v>
      </c>
      <c r="E20" s="8" t="s">
        <v>329</v>
      </c>
      <c r="F20" s="8">
        <v>33</v>
      </c>
      <c r="G20" s="22">
        <v>264</v>
      </c>
      <c r="H20" s="22">
        <v>627</v>
      </c>
      <c r="I20" s="10"/>
    </row>
    <row r="21" spans="1:9" hidden="1" x14ac:dyDescent="0.25">
      <c r="A21" s="75">
        <v>40553</v>
      </c>
      <c r="B21" s="8" t="s">
        <v>319</v>
      </c>
      <c r="C21" s="8" t="s">
        <v>309</v>
      </c>
      <c r="D21" s="8" t="s">
        <v>132</v>
      </c>
      <c r="E21" s="8" t="s">
        <v>313</v>
      </c>
      <c r="F21" s="8">
        <v>65</v>
      </c>
      <c r="G21" s="22">
        <v>942.5</v>
      </c>
      <c r="H21" s="22">
        <v>1755</v>
      </c>
      <c r="I21" s="10"/>
    </row>
    <row r="22" spans="1:9" hidden="1" x14ac:dyDescent="0.25">
      <c r="A22" s="75">
        <v>40551</v>
      </c>
      <c r="B22" s="8" t="s">
        <v>319</v>
      </c>
      <c r="C22" s="8" t="s">
        <v>309</v>
      </c>
      <c r="D22" s="8" t="s">
        <v>7</v>
      </c>
      <c r="E22" s="8" t="s">
        <v>335</v>
      </c>
      <c r="F22" s="8">
        <v>16</v>
      </c>
      <c r="G22" s="22">
        <v>232</v>
      </c>
      <c r="H22" s="22">
        <v>432</v>
      </c>
      <c r="I22" s="10"/>
    </row>
    <row r="23" spans="1:9" hidden="1" x14ac:dyDescent="0.25">
      <c r="A23" s="75">
        <v>40549</v>
      </c>
      <c r="B23" s="8" t="s">
        <v>319</v>
      </c>
      <c r="C23" s="8" t="s">
        <v>309</v>
      </c>
      <c r="D23" s="8" t="s">
        <v>3</v>
      </c>
      <c r="E23" s="8" t="s">
        <v>339</v>
      </c>
      <c r="F23" s="8">
        <v>64</v>
      </c>
      <c r="G23" s="22">
        <v>928</v>
      </c>
      <c r="H23" s="22">
        <v>1728</v>
      </c>
      <c r="I23" s="10"/>
    </row>
    <row r="24" spans="1:9" hidden="1" x14ac:dyDescent="0.25">
      <c r="A24" s="75">
        <v>40569</v>
      </c>
      <c r="B24" s="8" t="s">
        <v>317</v>
      </c>
      <c r="C24" s="8" t="s">
        <v>310</v>
      </c>
      <c r="D24" s="8" t="s">
        <v>3</v>
      </c>
      <c r="E24" s="8" t="s">
        <v>345</v>
      </c>
      <c r="F24" s="8">
        <v>44</v>
      </c>
      <c r="G24" s="22">
        <v>407</v>
      </c>
      <c r="H24" s="22">
        <v>924</v>
      </c>
      <c r="I24" s="10"/>
    </row>
    <row r="25" spans="1:9" hidden="1" x14ac:dyDescent="0.25">
      <c r="A25" s="75">
        <v>40564</v>
      </c>
      <c r="B25" s="8" t="s">
        <v>311</v>
      </c>
      <c r="C25" s="8" t="s">
        <v>308</v>
      </c>
      <c r="D25" s="8" t="s">
        <v>132</v>
      </c>
      <c r="E25" s="8" t="s">
        <v>333</v>
      </c>
      <c r="F25" s="8">
        <v>64</v>
      </c>
      <c r="G25" s="22">
        <v>512</v>
      </c>
      <c r="H25" s="22">
        <v>1216</v>
      </c>
      <c r="I25" s="10"/>
    </row>
    <row r="26" spans="1:9" hidden="1" x14ac:dyDescent="0.25">
      <c r="A26" s="75">
        <v>40550</v>
      </c>
      <c r="B26" s="8" t="s">
        <v>321</v>
      </c>
      <c r="C26" s="8" t="s">
        <v>309</v>
      </c>
      <c r="D26" s="8" t="s">
        <v>132</v>
      </c>
      <c r="E26" s="8" t="s">
        <v>326</v>
      </c>
      <c r="F26" s="8">
        <v>27</v>
      </c>
      <c r="G26" s="22">
        <v>270</v>
      </c>
      <c r="H26" s="22">
        <v>594</v>
      </c>
      <c r="I26" s="10"/>
    </row>
    <row r="27" spans="1:9" hidden="1" x14ac:dyDescent="0.25">
      <c r="A27" s="75">
        <v>40563</v>
      </c>
      <c r="B27" s="8" t="s">
        <v>321</v>
      </c>
      <c r="C27" s="8" t="s">
        <v>307</v>
      </c>
      <c r="D27" s="8" t="s">
        <v>328</v>
      </c>
      <c r="E27" s="8" t="s">
        <v>329</v>
      </c>
      <c r="F27" s="8">
        <v>10</v>
      </c>
      <c r="G27" s="22">
        <v>100</v>
      </c>
      <c r="H27" s="22">
        <v>220</v>
      </c>
      <c r="I27" s="10"/>
    </row>
    <row r="28" spans="1:9" hidden="1" x14ac:dyDescent="0.25">
      <c r="A28" s="75">
        <v>40552</v>
      </c>
      <c r="B28" s="8" t="s">
        <v>321</v>
      </c>
      <c r="C28" s="8" t="s">
        <v>310</v>
      </c>
      <c r="D28" s="8" t="s">
        <v>7</v>
      </c>
      <c r="E28" s="8" t="s">
        <v>332</v>
      </c>
      <c r="F28" s="8">
        <v>26</v>
      </c>
      <c r="G28" s="22">
        <v>260</v>
      </c>
      <c r="H28" s="22">
        <v>572</v>
      </c>
      <c r="I28" s="10"/>
    </row>
    <row r="29" spans="1:9" hidden="1" x14ac:dyDescent="0.25">
      <c r="A29" s="75">
        <v>40550</v>
      </c>
      <c r="B29" s="8" t="s">
        <v>317</v>
      </c>
      <c r="C29" s="8" t="s">
        <v>308</v>
      </c>
      <c r="D29" s="8" t="s">
        <v>132</v>
      </c>
      <c r="E29" s="8" t="s">
        <v>339</v>
      </c>
      <c r="F29" s="8">
        <v>22</v>
      </c>
      <c r="G29" s="22">
        <v>203.5</v>
      </c>
      <c r="H29" s="22">
        <v>462</v>
      </c>
      <c r="I29" s="10"/>
    </row>
    <row r="30" spans="1:9" hidden="1" x14ac:dyDescent="0.25">
      <c r="A30" s="75">
        <v>40572</v>
      </c>
      <c r="B30" s="8" t="s">
        <v>321</v>
      </c>
      <c r="C30" s="8" t="s">
        <v>307</v>
      </c>
      <c r="D30" s="8" t="s">
        <v>7</v>
      </c>
      <c r="E30" s="8" t="s">
        <v>330</v>
      </c>
      <c r="F30" s="8">
        <v>50</v>
      </c>
      <c r="G30" s="22">
        <v>500</v>
      </c>
      <c r="H30" s="22">
        <v>1100</v>
      </c>
      <c r="I30" s="10"/>
    </row>
    <row r="31" spans="1:9" hidden="1" x14ac:dyDescent="0.25">
      <c r="A31" s="75">
        <v>40573</v>
      </c>
      <c r="B31" s="8" t="s">
        <v>311</v>
      </c>
      <c r="C31" s="8" t="s">
        <v>310</v>
      </c>
      <c r="D31" s="8" t="s">
        <v>3</v>
      </c>
      <c r="E31" s="8" t="s">
        <v>322</v>
      </c>
      <c r="F31" s="8">
        <v>23</v>
      </c>
      <c r="G31" s="22">
        <v>184</v>
      </c>
      <c r="H31" s="22">
        <v>437</v>
      </c>
      <c r="I31" s="10"/>
    </row>
    <row r="32" spans="1:9" hidden="1" x14ac:dyDescent="0.25">
      <c r="A32" s="75">
        <v>40573</v>
      </c>
      <c r="B32" s="8" t="s">
        <v>311</v>
      </c>
      <c r="C32" s="8" t="s">
        <v>309</v>
      </c>
      <c r="D32" s="8" t="s">
        <v>328</v>
      </c>
      <c r="E32" s="8" t="s">
        <v>334</v>
      </c>
      <c r="F32" s="8">
        <v>49</v>
      </c>
      <c r="G32" s="22">
        <v>392</v>
      </c>
      <c r="H32" s="22">
        <v>931</v>
      </c>
      <c r="I32" s="10"/>
    </row>
    <row r="33" spans="1:9" hidden="1" x14ac:dyDescent="0.25">
      <c r="A33" s="75">
        <v>40571</v>
      </c>
      <c r="B33" s="8" t="s">
        <v>315</v>
      </c>
      <c r="C33" s="8" t="s">
        <v>309</v>
      </c>
      <c r="D33" s="8" t="s">
        <v>132</v>
      </c>
      <c r="E33" s="8" t="s">
        <v>327</v>
      </c>
      <c r="F33" s="8">
        <v>15</v>
      </c>
      <c r="G33" s="22">
        <v>165</v>
      </c>
      <c r="H33" s="22">
        <v>345</v>
      </c>
      <c r="I33" s="10"/>
    </row>
    <row r="34" spans="1:9" hidden="1" x14ac:dyDescent="0.25">
      <c r="A34" s="75">
        <v>40544</v>
      </c>
      <c r="B34" s="8" t="s">
        <v>319</v>
      </c>
      <c r="C34" s="8" t="s">
        <v>307</v>
      </c>
      <c r="D34" s="8" t="s">
        <v>3</v>
      </c>
      <c r="E34" s="8" t="s">
        <v>337</v>
      </c>
      <c r="F34" s="8">
        <v>16</v>
      </c>
      <c r="G34" s="22">
        <v>232</v>
      </c>
      <c r="H34" s="22">
        <v>432</v>
      </c>
      <c r="I34" s="10"/>
    </row>
    <row r="35" spans="1:9" hidden="1" x14ac:dyDescent="0.25">
      <c r="A35" s="75">
        <v>40573</v>
      </c>
      <c r="B35" s="8" t="s">
        <v>319</v>
      </c>
      <c r="C35" s="8" t="s">
        <v>310</v>
      </c>
      <c r="D35" s="8" t="s">
        <v>3</v>
      </c>
      <c r="E35" s="8" t="s">
        <v>322</v>
      </c>
      <c r="F35" s="8">
        <v>25</v>
      </c>
      <c r="G35" s="22">
        <v>362.5</v>
      </c>
      <c r="H35" s="22">
        <v>675</v>
      </c>
      <c r="I35" s="10"/>
    </row>
    <row r="36" spans="1:9" hidden="1" x14ac:dyDescent="0.25">
      <c r="A36" s="75">
        <v>40559</v>
      </c>
      <c r="B36" s="8" t="s">
        <v>315</v>
      </c>
      <c r="C36" s="8" t="s">
        <v>310</v>
      </c>
      <c r="D36" s="8" t="s">
        <v>132</v>
      </c>
      <c r="E36" s="8" t="s">
        <v>333</v>
      </c>
      <c r="F36" s="8">
        <v>31</v>
      </c>
      <c r="G36" s="22">
        <v>341</v>
      </c>
      <c r="H36" s="22">
        <v>713</v>
      </c>
      <c r="I36" s="10"/>
    </row>
    <row r="37" spans="1:9" hidden="1" x14ac:dyDescent="0.25">
      <c r="A37" s="75">
        <v>40567</v>
      </c>
      <c r="B37" s="8" t="s">
        <v>319</v>
      </c>
      <c r="C37" s="8" t="s">
        <v>309</v>
      </c>
      <c r="D37" s="8" t="s">
        <v>328</v>
      </c>
      <c r="E37" s="8" t="s">
        <v>335</v>
      </c>
      <c r="F37" s="8">
        <v>63</v>
      </c>
      <c r="G37" s="22">
        <v>913.5</v>
      </c>
      <c r="H37" s="22">
        <v>1701</v>
      </c>
      <c r="I37" s="10"/>
    </row>
    <row r="38" spans="1:9" hidden="1" x14ac:dyDescent="0.25">
      <c r="A38" s="75">
        <v>40568</v>
      </c>
      <c r="B38" s="8" t="s">
        <v>311</v>
      </c>
      <c r="C38" s="8" t="s">
        <v>308</v>
      </c>
      <c r="D38" s="8" t="s">
        <v>312</v>
      </c>
      <c r="E38" s="8" t="s">
        <v>316</v>
      </c>
      <c r="F38" s="8">
        <v>21</v>
      </c>
      <c r="G38" s="22">
        <v>168</v>
      </c>
      <c r="H38" s="22">
        <v>399</v>
      </c>
      <c r="I38" s="10"/>
    </row>
    <row r="39" spans="1:9" hidden="1" x14ac:dyDescent="0.25">
      <c r="A39" s="75">
        <v>40564</v>
      </c>
      <c r="B39" s="8" t="s">
        <v>311</v>
      </c>
      <c r="C39" s="8" t="s">
        <v>308</v>
      </c>
      <c r="D39" s="8" t="s">
        <v>136</v>
      </c>
      <c r="E39" s="8" t="s">
        <v>334</v>
      </c>
      <c r="F39" s="8">
        <v>23</v>
      </c>
      <c r="G39" s="22">
        <v>184</v>
      </c>
      <c r="H39" s="22">
        <v>437</v>
      </c>
      <c r="I39" s="10"/>
    </row>
    <row r="40" spans="1:9" hidden="1" x14ac:dyDescent="0.25">
      <c r="A40" s="75">
        <v>40561</v>
      </c>
      <c r="B40" s="8" t="s">
        <v>321</v>
      </c>
      <c r="C40" s="8" t="s">
        <v>307</v>
      </c>
      <c r="D40" s="8" t="s">
        <v>136</v>
      </c>
      <c r="E40" s="8" t="s">
        <v>334</v>
      </c>
      <c r="F40" s="8">
        <v>59</v>
      </c>
      <c r="G40" s="22">
        <v>590</v>
      </c>
      <c r="H40" s="22">
        <v>1298</v>
      </c>
      <c r="I40" s="10"/>
    </row>
    <row r="41" spans="1:9" hidden="1" x14ac:dyDescent="0.25">
      <c r="A41" s="75">
        <v>40556</v>
      </c>
      <c r="B41" s="8" t="s">
        <v>321</v>
      </c>
      <c r="C41" s="8" t="s">
        <v>308</v>
      </c>
      <c r="D41" s="8" t="s">
        <v>136</v>
      </c>
      <c r="E41" s="8" t="s">
        <v>343</v>
      </c>
      <c r="F41" s="8">
        <v>57</v>
      </c>
      <c r="G41" s="22">
        <v>570</v>
      </c>
      <c r="H41" s="22">
        <v>1254</v>
      </c>
      <c r="I41" s="10"/>
    </row>
    <row r="42" spans="1:9" hidden="1" x14ac:dyDescent="0.25">
      <c r="A42" s="75">
        <v>40564</v>
      </c>
      <c r="B42" s="8" t="s">
        <v>319</v>
      </c>
      <c r="C42" s="8" t="s">
        <v>307</v>
      </c>
      <c r="D42" s="8" t="s">
        <v>7</v>
      </c>
      <c r="E42" s="8" t="s">
        <v>324</v>
      </c>
      <c r="F42" s="8">
        <v>58</v>
      </c>
      <c r="G42" s="22">
        <v>841</v>
      </c>
      <c r="H42" s="22">
        <v>1566</v>
      </c>
      <c r="I42" s="10"/>
    </row>
    <row r="43" spans="1:9" hidden="1" x14ac:dyDescent="0.25">
      <c r="A43" s="75">
        <v>40552</v>
      </c>
      <c r="B43" s="8" t="s">
        <v>311</v>
      </c>
      <c r="C43" s="8" t="s">
        <v>307</v>
      </c>
      <c r="D43" s="8" t="s">
        <v>132</v>
      </c>
      <c r="E43" s="8" t="s">
        <v>339</v>
      </c>
      <c r="F43" s="8">
        <v>42</v>
      </c>
      <c r="G43" s="22">
        <v>336</v>
      </c>
      <c r="H43" s="22">
        <v>798</v>
      </c>
      <c r="I43" s="10"/>
    </row>
    <row r="44" spans="1:9" hidden="1" x14ac:dyDescent="0.25">
      <c r="A44" s="75">
        <v>40552</v>
      </c>
      <c r="B44" s="8" t="s">
        <v>321</v>
      </c>
      <c r="C44" s="8" t="s">
        <v>310</v>
      </c>
      <c r="D44" s="8" t="s">
        <v>3</v>
      </c>
      <c r="E44" s="8" t="s">
        <v>333</v>
      </c>
      <c r="F44" s="8">
        <v>15</v>
      </c>
      <c r="G44" s="22">
        <v>150</v>
      </c>
      <c r="H44" s="22">
        <v>330</v>
      </c>
      <c r="I44" s="10"/>
    </row>
    <row r="45" spans="1:9" hidden="1" x14ac:dyDescent="0.25">
      <c r="A45" s="75">
        <v>40570</v>
      </c>
      <c r="B45" s="8" t="s">
        <v>315</v>
      </c>
      <c r="C45" s="8" t="s">
        <v>309</v>
      </c>
      <c r="D45" s="8" t="s">
        <v>328</v>
      </c>
      <c r="E45" s="8" t="s">
        <v>333</v>
      </c>
      <c r="F45" s="8">
        <v>10</v>
      </c>
      <c r="G45" s="22">
        <v>110</v>
      </c>
      <c r="H45" s="22">
        <v>230</v>
      </c>
      <c r="I45" s="10"/>
    </row>
    <row r="46" spans="1:9" hidden="1" x14ac:dyDescent="0.25">
      <c r="A46" s="75">
        <v>40549</v>
      </c>
      <c r="B46" s="8" t="s">
        <v>315</v>
      </c>
      <c r="C46" s="8" t="s">
        <v>309</v>
      </c>
      <c r="D46" s="8" t="s">
        <v>3</v>
      </c>
      <c r="E46" s="8" t="s">
        <v>347</v>
      </c>
      <c r="F46" s="8">
        <v>18</v>
      </c>
      <c r="G46" s="22">
        <v>198</v>
      </c>
      <c r="H46" s="22">
        <v>414</v>
      </c>
      <c r="I46" s="10"/>
    </row>
    <row r="47" spans="1:9" hidden="1" x14ac:dyDescent="0.25">
      <c r="A47" s="75">
        <v>40553</v>
      </c>
      <c r="B47" s="8" t="s">
        <v>317</v>
      </c>
      <c r="C47" s="8" t="s">
        <v>307</v>
      </c>
      <c r="D47" s="8" t="s">
        <v>328</v>
      </c>
      <c r="E47" s="8" t="s">
        <v>342</v>
      </c>
      <c r="F47" s="8">
        <v>27</v>
      </c>
      <c r="G47" s="22">
        <v>249.75</v>
      </c>
      <c r="H47" s="22">
        <v>567</v>
      </c>
      <c r="I47" s="10"/>
    </row>
    <row r="48" spans="1:9" hidden="1" x14ac:dyDescent="0.25">
      <c r="A48" s="75">
        <v>40564</v>
      </c>
      <c r="B48" s="8" t="s">
        <v>317</v>
      </c>
      <c r="C48" s="8" t="s">
        <v>310</v>
      </c>
      <c r="D48" s="8" t="s">
        <v>136</v>
      </c>
      <c r="E48" s="8" t="s">
        <v>428</v>
      </c>
      <c r="F48" s="8">
        <v>13</v>
      </c>
      <c r="G48" s="22">
        <v>120.25</v>
      </c>
      <c r="H48" s="22">
        <v>273</v>
      </c>
      <c r="I48" s="10"/>
    </row>
    <row r="49" spans="1:9" hidden="1" x14ac:dyDescent="0.25">
      <c r="A49" s="75">
        <v>40565</v>
      </c>
      <c r="B49" s="8" t="s">
        <v>321</v>
      </c>
      <c r="C49" s="8" t="s">
        <v>309</v>
      </c>
      <c r="D49" s="8" t="s">
        <v>3</v>
      </c>
      <c r="E49" s="8" t="s">
        <v>432</v>
      </c>
      <c r="F49" s="8">
        <v>35</v>
      </c>
      <c r="G49" s="22">
        <v>350</v>
      </c>
      <c r="H49" s="22">
        <v>770</v>
      </c>
      <c r="I49" s="10"/>
    </row>
    <row r="50" spans="1:9" hidden="1" x14ac:dyDescent="0.25">
      <c r="A50" s="75">
        <v>40546</v>
      </c>
      <c r="B50" s="8" t="s">
        <v>311</v>
      </c>
      <c r="C50" s="8" t="s">
        <v>307</v>
      </c>
      <c r="D50" s="8" t="s">
        <v>136</v>
      </c>
      <c r="E50" s="8" t="s">
        <v>324</v>
      </c>
      <c r="F50" s="8">
        <v>38</v>
      </c>
      <c r="G50" s="22">
        <v>304</v>
      </c>
      <c r="H50" s="22">
        <v>722</v>
      </c>
      <c r="I50" s="10"/>
    </row>
    <row r="51" spans="1:9" hidden="1" x14ac:dyDescent="0.25">
      <c r="A51" s="75">
        <v>40553</v>
      </c>
      <c r="B51" s="8" t="s">
        <v>315</v>
      </c>
      <c r="C51" s="8" t="s">
        <v>307</v>
      </c>
      <c r="D51" s="8" t="s">
        <v>136</v>
      </c>
      <c r="E51" s="8" t="s">
        <v>337</v>
      </c>
      <c r="F51" s="8">
        <v>63</v>
      </c>
      <c r="G51" s="22">
        <v>693</v>
      </c>
      <c r="H51" s="22">
        <v>1449</v>
      </c>
      <c r="I51" s="10"/>
    </row>
    <row r="52" spans="1:9" hidden="1" x14ac:dyDescent="0.25">
      <c r="A52" s="75">
        <v>40565</v>
      </c>
      <c r="B52" s="8" t="s">
        <v>319</v>
      </c>
      <c r="C52" s="8" t="s">
        <v>310</v>
      </c>
      <c r="D52" s="8" t="s">
        <v>312</v>
      </c>
      <c r="E52" s="8" t="s">
        <v>324</v>
      </c>
      <c r="F52" s="8">
        <v>29</v>
      </c>
      <c r="G52" s="22">
        <v>420.5</v>
      </c>
      <c r="H52" s="22">
        <v>783</v>
      </c>
      <c r="I52" s="10"/>
    </row>
    <row r="53" spans="1:9" hidden="1" x14ac:dyDescent="0.25">
      <c r="A53" s="75">
        <v>40571</v>
      </c>
      <c r="B53" s="8" t="s">
        <v>317</v>
      </c>
      <c r="C53" s="8" t="s">
        <v>307</v>
      </c>
      <c r="D53" s="8" t="s">
        <v>132</v>
      </c>
      <c r="E53" s="8" t="s">
        <v>340</v>
      </c>
      <c r="F53" s="8">
        <v>36</v>
      </c>
      <c r="G53" s="22">
        <v>333</v>
      </c>
      <c r="H53" s="22">
        <v>756</v>
      </c>
      <c r="I53" s="10"/>
    </row>
    <row r="54" spans="1:9" hidden="1" x14ac:dyDescent="0.25">
      <c r="A54" s="75">
        <v>40553</v>
      </c>
      <c r="B54" s="8" t="s">
        <v>319</v>
      </c>
      <c r="C54" s="8" t="s">
        <v>307</v>
      </c>
      <c r="D54" s="8" t="s">
        <v>132</v>
      </c>
      <c r="E54" s="8" t="s">
        <v>334</v>
      </c>
      <c r="F54" s="8">
        <v>17</v>
      </c>
      <c r="G54" s="22">
        <v>246.5</v>
      </c>
      <c r="H54" s="22">
        <v>459</v>
      </c>
      <c r="I54" s="10"/>
    </row>
    <row r="55" spans="1:9" hidden="1" x14ac:dyDescent="0.25">
      <c r="A55" s="75">
        <v>40560</v>
      </c>
      <c r="B55" s="8" t="s">
        <v>321</v>
      </c>
      <c r="C55" s="8" t="s">
        <v>308</v>
      </c>
      <c r="D55" s="8" t="s">
        <v>132</v>
      </c>
      <c r="E55" s="8" t="s">
        <v>339</v>
      </c>
      <c r="F55" s="8">
        <v>16</v>
      </c>
      <c r="G55" s="22">
        <v>160</v>
      </c>
      <c r="H55" s="22">
        <v>352</v>
      </c>
      <c r="I55" s="10"/>
    </row>
    <row r="56" spans="1:9" hidden="1" x14ac:dyDescent="0.25">
      <c r="A56" s="75">
        <v>40563</v>
      </c>
      <c r="B56" s="8" t="s">
        <v>311</v>
      </c>
      <c r="C56" s="8" t="s">
        <v>309</v>
      </c>
      <c r="D56" s="8" t="s">
        <v>3</v>
      </c>
      <c r="E56" s="8" t="s">
        <v>432</v>
      </c>
      <c r="F56" s="8">
        <v>58</v>
      </c>
      <c r="G56" s="22">
        <v>464</v>
      </c>
      <c r="H56" s="22">
        <v>1102</v>
      </c>
      <c r="I56" s="10"/>
    </row>
    <row r="57" spans="1:9" hidden="1" x14ac:dyDescent="0.25">
      <c r="A57" s="75">
        <v>40561</v>
      </c>
      <c r="B57" s="8" t="s">
        <v>321</v>
      </c>
      <c r="C57" s="8" t="s">
        <v>307</v>
      </c>
      <c r="D57" s="8" t="s">
        <v>312</v>
      </c>
      <c r="E57" s="8" t="s">
        <v>345</v>
      </c>
      <c r="F57" s="8">
        <v>20</v>
      </c>
      <c r="G57" s="22">
        <v>200</v>
      </c>
      <c r="H57" s="22">
        <v>440</v>
      </c>
      <c r="I57" s="10"/>
    </row>
    <row r="58" spans="1:9" hidden="1" x14ac:dyDescent="0.25">
      <c r="A58" s="75">
        <v>40556</v>
      </c>
      <c r="B58" s="8" t="s">
        <v>321</v>
      </c>
      <c r="C58" s="8" t="s">
        <v>308</v>
      </c>
      <c r="D58" s="8" t="s">
        <v>136</v>
      </c>
      <c r="E58" s="8" t="s">
        <v>329</v>
      </c>
      <c r="F58" s="8">
        <v>40</v>
      </c>
      <c r="G58" s="22">
        <v>400</v>
      </c>
      <c r="H58" s="22">
        <v>880</v>
      </c>
      <c r="I58" s="10"/>
    </row>
    <row r="59" spans="1:9" hidden="1" x14ac:dyDescent="0.25">
      <c r="A59" s="75">
        <v>40557</v>
      </c>
      <c r="B59" s="8" t="s">
        <v>315</v>
      </c>
      <c r="C59" s="8" t="s">
        <v>307</v>
      </c>
      <c r="D59" s="8" t="s">
        <v>312</v>
      </c>
      <c r="E59" s="8" t="s">
        <v>316</v>
      </c>
      <c r="F59" s="8">
        <v>34</v>
      </c>
      <c r="G59" s="22">
        <v>374</v>
      </c>
      <c r="H59" s="22">
        <v>782</v>
      </c>
      <c r="I59" s="10"/>
    </row>
    <row r="60" spans="1:9" hidden="1" x14ac:dyDescent="0.25">
      <c r="A60" s="75">
        <v>40560</v>
      </c>
      <c r="B60" s="8" t="s">
        <v>319</v>
      </c>
      <c r="C60" s="8" t="s">
        <v>308</v>
      </c>
      <c r="D60" s="8" t="s">
        <v>7</v>
      </c>
      <c r="E60" s="8" t="s">
        <v>325</v>
      </c>
      <c r="F60" s="8">
        <v>61</v>
      </c>
      <c r="G60" s="22">
        <v>884.5</v>
      </c>
      <c r="H60" s="22">
        <v>1647</v>
      </c>
      <c r="I60" s="10"/>
    </row>
    <row r="61" spans="1:9" hidden="1" x14ac:dyDescent="0.25">
      <c r="A61" s="75">
        <v>40555</v>
      </c>
      <c r="B61" s="8" t="s">
        <v>317</v>
      </c>
      <c r="C61" s="8" t="s">
        <v>308</v>
      </c>
      <c r="D61" s="8" t="s">
        <v>328</v>
      </c>
      <c r="E61" s="8" t="s">
        <v>336</v>
      </c>
      <c r="F61" s="8">
        <v>19</v>
      </c>
      <c r="G61" s="22">
        <v>175.75</v>
      </c>
      <c r="H61" s="22">
        <v>399</v>
      </c>
      <c r="I61" s="10"/>
    </row>
    <row r="62" spans="1:9" hidden="1" x14ac:dyDescent="0.25">
      <c r="A62" s="75">
        <v>40549</v>
      </c>
      <c r="B62" s="8" t="s">
        <v>311</v>
      </c>
      <c r="C62" s="8" t="s">
        <v>310</v>
      </c>
      <c r="D62" s="8" t="s">
        <v>132</v>
      </c>
      <c r="E62" s="8" t="s">
        <v>333</v>
      </c>
      <c r="F62" s="8">
        <v>40</v>
      </c>
      <c r="G62" s="22">
        <v>320</v>
      </c>
      <c r="H62" s="22">
        <v>760</v>
      </c>
      <c r="I62" s="10"/>
    </row>
    <row r="63" spans="1:9" hidden="1" x14ac:dyDescent="0.25">
      <c r="A63" s="75">
        <v>40562</v>
      </c>
      <c r="B63" s="8" t="s">
        <v>321</v>
      </c>
      <c r="C63" s="8" t="s">
        <v>310</v>
      </c>
      <c r="D63" s="8" t="s">
        <v>3</v>
      </c>
      <c r="E63" s="8" t="s">
        <v>326</v>
      </c>
      <c r="F63" s="8">
        <v>35</v>
      </c>
      <c r="G63" s="22">
        <v>350</v>
      </c>
      <c r="H63" s="22">
        <v>770</v>
      </c>
      <c r="I63" s="10"/>
    </row>
    <row r="64" spans="1:9" hidden="1" x14ac:dyDescent="0.25">
      <c r="A64" s="75">
        <v>40569</v>
      </c>
      <c r="B64" s="8" t="s">
        <v>321</v>
      </c>
      <c r="C64" s="8" t="s">
        <v>307</v>
      </c>
      <c r="D64" s="8" t="s">
        <v>7</v>
      </c>
      <c r="E64" s="8" t="s">
        <v>347</v>
      </c>
      <c r="F64" s="8">
        <v>17</v>
      </c>
      <c r="G64" s="22">
        <v>170</v>
      </c>
      <c r="H64" s="22">
        <v>374</v>
      </c>
      <c r="I64" s="10"/>
    </row>
    <row r="65" spans="1:9" hidden="1" x14ac:dyDescent="0.25">
      <c r="A65" s="75">
        <v>40548</v>
      </c>
      <c r="B65" s="8" t="s">
        <v>317</v>
      </c>
      <c r="C65" s="8" t="s">
        <v>310</v>
      </c>
      <c r="D65" s="8" t="s">
        <v>136</v>
      </c>
      <c r="E65" s="8" t="s">
        <v>322</v>
      </c>
      <c r="F65" s="8">
        <v>57</v>
      </c>
      <c r="G65" s="22">
        <v>527.25</v>
      </c>
      <c r="H65" s="22">
        <v>1197</v>
      </c>
      <c r="I65" s="10"/>
    </row>
    <row r="66" spans="1:9" hidden="1" x14ac:dyDescent="0.25">
      <c r="A66" s="75">
        <v>40571</v>
      </c>
      <c r="B66" s="8" t="s">
        <v>315</v>
      </c>
      <c r="C66" s="8" t="s">
        <v>310</v>
      </c>
      <c r="D66" s="8" t="s">
        <v>312</v>
      </c>
      <c r="E66" s="8" t="s">
        <v>314</v>
      </c>
      <c r="F66" s="8">
        <v>46</v>
      </c>
      <c r="G66" s="22">
        <v>506</v>
      </c>
      <c r="H66" s="22">
        <v>1058</v>
      </c>
      <c r="I66" s="10"/>
    </row>
    <row r="67" spans="1:9" hidden="1" x14ac:dyDescent="0.25">
      <c r="A67" s="75">
        <v>40553</v>
      </c>
      <c r="B67" s="8" t="s">
        <v>311</v>
      </c>
      <c r="C67" s="8" t="s">
        <v>310</v>
      </c>
      <c r="D67" s="8" t="s">
        <v>7</v>
      </c>
      <c r="E67" s="8" t="s">
        <v>342</v>
      </c>
      <c r="F67" s="8">
        <v>30</v>
      </c>
      <c r="G67" s="22">
        <v>240</v>
      </c>
      <c r="H67" s="22">
        <v>570</v>
      </c>
      <c r="I67" s="10"/>
    </row>
    <row r="68" spans="1:9" hidden="1" x14ac:dyDescent="0.25">
      <c r="A68" s="75">
        <v>40550</v>
      </c>
      <c r="B68" s="8" t="s">
        <v>317</v>
      </c>
      <c r="C68" s="8" t="s">
        <v>309</v>
      </c>
      <c r="D68" s="8" t="s">
        <v>136</v>
      </c>
      <c r="E68" s="8" t="s">
        <v>338</v>
      </c>
      <c r="F68" s="8">
        <v>53</v>
      </c>
      <c r="G68" s="22">
        <v>490.25</v>
      </c>
      <c r="H68" s="22">
        <v>1113</v>
      </c>
      <c r="I68" s="10"/>
    </row>
    <row r="69" spans="1:9" hidden="1" x14ac:dyDescent="0.25">
      <c r="A69" s="75">
        <v>40571</v>
      </c>
      <c r="B69" s="8" t="s">
        <v>319</v>
      </c>
      <c r="C69" s="8" t="s">
        <v>308</v>
      </c>
      <c r="D69" s="8" t="s">
        <v>132</v>
      </c>
      <c r="E69" s="8" t="s">
        <v>432</v>
      </c>
      <c r="F69" s="8">
        <v>42</v>
      </c>
      <c r="G69" s="22">
        <v>609</v>
      </c>
      <c r="H69" s="22">
        <v>1134</v>
      </c>
      <c r="I69" s="10"/>
    </row>
    <row r="70" spans="1:9" hidden="1" x14ac:dyDescent="0.25">
      <c r="A70" s="75">
        <v>40545</v>
      </c>
      <c r="B70" s="8" t="s">
        <v>319</v>
      </c>
      <c r="C70" s="8" t="s">
        <v>309</v>
      </c>
      <c r="D70" s="8" t="s">
        <v>136</v>
      </c>
      <c r="E70" s="8" t="s">
        <v>330</v>
      </c>
      <c r="F70" s="8">
        <v>30</v>
      </c>
      <c r="G70" s="22">
        <v>435</v>
      </c>
      <c r="H70" s="22">
        <v>810</v>
      </c>
      <c r="I70" s="10"/>
    </row>
    <row r="71" spans="1:9" hidden="1" x14ac:dyDescent="0.25">
      <c r="A71" s="75">
        <v>40558</v>
      </c>
      <c r="B71" s="8" t="s">
        <v>317</v>
      </c>
      <c r="C71" s="8" t="s">
        <v>307</v>
      </c>
      <c r="D71" s="8" t="s">
        <v>328</v>
      </c>
      <c r="E71" s="8" t="s">
        <v>330</v>
      </c>
      <c r="F71" s="8">
        <v>63</v>
      </c>
      <c r="G71" s="22">
        <v>582.75</v>
      </c>
      <c r="H71" s="22">
        <v>1323</v>
      </c>
      <c r="I71" s="10"/>
    </row>
    <row r="72" spans="1:9" hidden="1" x14ac:dyDescent="0.25">
      <c r="A72" s="75">
        <v>40553</v>
      </c>
      <c r="B72" s="8" t="s">
        <v>317</v>
      </c>
      <c r="C72" s="8" t="s">
        <v>307</v>
      </c>
      <c r="D72" s="8" t="s">
        <v>132</v>
      </c>
      <c r="E72" s="8" t="s">
        <v>341</v>
      </c>
      <c r="F72" s="8">
        <v>17</v>
      </c>
      <c r="G72" s="22">
        <v>157.25</v>
      </c>
      <c r="H72" s="22">
        <v>357</v>
      </c>
      <c r="I72" s="10"/>
    </row>
    <row r="73" spans="1:9" hidden="1" x14ac:dyDescent="0.25">
      <c r="A73" s="75">
        <v>40566</v>
      </c>
      <c r="B73" s="8" t="s">
        <v>319</v>
      </c>
      <c r="C73" s="8" t="s">
        <v>307</v>
      </c>
      <c r="D73" s="8" t="s">
        <v>136</v>
      </c>
      <c r="E73" s="8" t="s">
        <v>338</v>
      </c>
      <c r="F73" s="8">
        <v>22</v>
      </c>
      <c r="G73" s="22">
        <v>319</v>
      </c>
      <c r="H73" s="22">
        <v>594</v>
      </c>
      <c r="I73" s="10"/>
    </row>
    <row r="74" spans="1:9" hidden="1" x14ac:dyDescent="0.25">
      <c r="A74" s="75">
        <v>40549</v>
      </c>
      <c r="B74" s="8" t="s">
        <v>311</v>
      </c>
      <c r="C74" s="8" t="s">
        <v>307</v>
      </c>
      <c r="D74" s="8" t="s">
        <v>312</v>
      </c>
      <c r="E74" s="8" t="s">
        <v>329</v>
      </c>
      <c r="F74" s="8">
        <v>54</v>
      </c>
      <c r="G74" s="22">
        <v>432</v>
      </c>
      <c r="H74" s="22">
        <v>1026</v>
      </c>
      <c r="I74" s="10"/>
    </row>
    <row r="75" spans="1:9" hidden="1" x14ac:dyDescent="0.25">
      <c r="A75" s="75">
        <v>40561</v>
      </c>
      <c r="B75" s="8" t="s">
        <v>315</v>
      </c>
      <c r="C75" s="8" t="s">
        <v>310</v>
      </c>
      <c r="D75" s="8" t="s">
        <v>132</v>
      </c>
      <c r="E75" s="8" t="s">
        <v>432</v>
      </c>
      <c r="F75" s="8">
        <v>53</v>
      </c>
      <c r="G75" s="22">
        <v>583</v>
      </c>
      <c r="H75" s="22">
        <v>1219</v>
      </c>
      <c r="I75" s="10"/>
    </row>
    <row r="76" spans="1:9" hidden="1" x14ac:dyDescent="0.25">
      <c r="A76" s="75">
        <v>40554</v>
      </c>
      <c r="B76" s="8" t="s">
        <v>319</v>
      </c>
      <c r="C76" s="8" t="s">
        <v>307</v>
      </c>
      <c r="D76" s="8" t="s">
        <v>132</v>
      </c>
      <c r="E76" s="8" t="s">
        <v>344</v>
      </c>
      <c r="F76" s="8">
        <v>49</v>
      </c>
      <c r="G76" s="22">
        <v>710.5</v>
      </c>
      <c r="H76" s="22">
        <v>1323</v>
      </c>
      <c r="I76" s="10"/>
    </row>
    <row r="77" spans="1:9" hidden="1" x14ac:dyDescent="0.25">
      <c r="A77" s="75">
        <v>40564</v>
      </c>
      <c r="B77" s="8" t="s">
        <v>321</v>
      </c>
      <c r="C77" s="8" t="s">
        <v>310</v>
      </c>
      <c r="D77" s="8" t="s">
        <v>132</v>
      </c>
      <c r="E77" s="8" t="s">
        <v>342</v>
      </c>
      <c r="F77" s="8">
        <v>11</v>
      </c>
      <c r="G77" s="22">
        <v>110</v>
      </c>
      <c r="H77" s="22">
        <v>242</v>
      </c>
      <c r="I77" s="10"/>
    </row>
    <row r="78" spans="1:9" hidden="1" x14ac:dyDescent="0.25">
      <c r="A78" s="75">
        <v>40561</v>
      </c>
      <c r="B78" s="8" t="s">
        <v>317</v>
      </c>
      <c r="C78" s="8" t="s">
        <v>307</v>
      </c>
      <c r="D78" s="8" t="s">
        <v>328</v>
      </c>
      <c r="E78" s="8" t="s">
        <v>314</v>
      </c>
      <c r="F78" s="8">
        <v>12</v>
      </c>
      <c r="G78" s="22">
        <v>111</v>
      </c>
      <c r="H78" s="22">
        <v>252</v>
      </c>
      <c r="I78" s="10"/>
    </row>
    <row r="79" spans="1:9" hidden="1" x14ac:dyDescent="0.25">
      <c r="A79" s="75">
        <v>40553</v>
      </c>
      <c r="B79" s="8" t="s">
        <v>311</v>
      </c>
      <c r="C79" s="8" t="s">
        <v>308</v>
      </c>
      <c r="D79" s="8" t="s">
        <v>132</v>
      </c>
      <c r="E79" s="8" t="s">
        <v>322</v>
      </c>
      <c r="F79" s="8">
        <v>8</v>
      </c>
      <c r="G79" s="22">
        <v>64</v>
      </c>
      <c r="H79" s="22">
        <v>152</v>
      </c>
      <c r="I79" s="10"/>
    </row>
    <row r="80" spans="1:9" hidden="1" x14ac:dyDescent="0.25">
      <c r="A80" s="75">
        <v>40560</v>
      </c>
      <c r="B80" s="8" t="s">
        <v>311</v>
      </c>
      <c r="C80" s="8" t="s">
        <v>308</v>
      </c>
      <c r="D80" s="8" t="s">
        <v>312</v>
      </c>
      <c r="E80" s="8" t="s">
        <v>428</v>
      </c>
      <c r="F80" s="8">
        <v>59</v>
      </c>
      <c r="G80" s="22">
        <v>472</v>
      </c>
      <c r="H80" s="22">
        <v>1121</v>
      </c>
      <c r="I80" s="10"/>
    </row>
    <row r="81" spans="1:9" hidden="1" x14ac:dyDescent="0.25">
      <c r="A81" s="75">
        <v>40566</v>
      </c>
      <c r="B81" s="8" t="s">
        <v>311</v>
      </c>
      <c r="C81" s="8" t="s">
        <v>310</v>
      </c>
      <c r="D81" s="8" t="s">
        <v>7</v>
      </c>
      <c r="E81" s="8" t="s">
        <v>326</v>
      </c>
      <c r="F81" s="8">
        <v>49</v>
      </c>
      <c r="G81" s="22">
        <v>392</v>
      </c>
      <c r="H81" s="22">
        <v>931</v>
      </c>
      <c r="I81" s="10"/>
    </row>
    <row r="82" spans="1:9" hidden="1" x14ac:dyDescent="0.25">
      <c r="A82" s="75">
        <v>40566</v>
      </c>
      <c r="B82" s="8" t="s">
        <v>319</v>
      </c>
      <c r="C82" s="8" t="s">
        <v>307</v>
      </c>
      <c r="D82" s="8" t="s">
        <v>312</v>
      </c>
      <c r="E82" s="8" t="s">
        <v>339</v>
      </c>
      <c r="F82" s="8">
        <v>44</v>
      </c>
      <c r="G82" s="22">
        <v>638</v>
      </c>
      <c r="H82" s="22">
        <v>1188</v>
      </c>
      <c r="I82" s="10"/>
    </row>
    <row r="83" spans="1:9" hidden="1" x14ac:dyDescent="0.25">
      <c r="A83" s="75">
        <v>40571</v>
      </c>
      <c r="B83" s="8" t="s">
        <v>317</v>
      </c>
      <c r="C83" s="8" t="s">
        <v>309</v>
      </c>
      <c r="D83" s="8" t="s">
        <v>7</v>
      </c>
      <c r="E83" s="8" t="s">
        <v>324</v>
      </c>
      <c r="F83" s="8">
        <v>62</v>
      </c>
      <c r="G83" s="22">
        <v>573.5</v>
      </c>
      <c r="H83" s="22">
        <v>1302</v>
      </c>
      <c r="I83" s="10"/>
    </row>
    <row r="84" spans="1:9" hidden="1" x14ac:dyDescent="0.25">
      <c r="A84" s="75">
        <v>40572</v>
      </c>
      <c r="B84" s="8" t="s">
        <v>319</v>
      </c>
      <c r="C84" s="8" t="s">
        <v>308</v>
      </c>
      <c r="D84" s="8" t="s">
        <v>328</v>
      </c>
      <c r="E84" s="8" t="s">
        <v>343</v>
      </c>
      <c r="F84" s="8">
        <v>10</v>
      </c>
      <c r="G84" s="22">
        <v>145</v>
      </c>
      <c r="H84" s="22">
        <v>270</v>
      </c>
      <c r="I84" s="10"/>
    </row>
    <row r="85" spans="1:9" hidden="1" x14ac:dyDescent="0.25">
      <c r="A85" s="75">
        <v>40556</v>
      </c>
      <c r="B85" s="8" t="s">
        <v>315</v>
      </c>
      <c r="C85" s="8" t="s">
        <v>310</v>
      </c>
      <c r="D85" s="8" t="s">
        <v>132</v>
      </c>
      <c r="E85" s="8" t="s">
        <v>324</v>
      </c>
      <c r="F85" s="8">
        <v>52</v>
      </c>
      <c r="G85" s="22">
        <v>572</v>
      </c>
      <c r="H85" s="22">
        <v>1196</v>
      </c>
      <c r="I85" s="10"/>
    </row>
    <row r="86" spans="1:9" hidden="1" x14ac:dyDescent="0.25">
      <c r="A86" s="75">
        <v>40561</v>
      </c>
      <c r="B86" s="8" t="s">
        <v>319</v>
      </c>
      <c r="C86" s="8" t="s">
        <v>308</v>
      </c>
      <c r="D86" s="8" t="s">
        <v>132</v>
      </c>
      <c r="E86" s="8" t="s">
        <v>343</v>
      </c>
      <c r="F86" s="8">
        <v>17</v>
      </c>
      <c r="G86" s="22">
        <v>246.5</v>
      </c>
      <c r="H86" s="22">
        <v>459</v>
      </c>
      <c r="I86" s="10"/>
    </row>
    <row r="87" spans="1:9" hidden="1" x14ac:dyDescent="0.25">
      <c r="A87" s="75">
        <v>40547</v>
      </c>
      <c r="B87" s="8" t="s">
        <v>317</v>
      </c>
      <c r="C87" s="8" t="s">
        <v>308</v>
      </c>
      <c r="D87" s="8" t="s">
        <v>3</v>
      </c>
      <c r="E87" s="8" t="s">
        <v>344</v>
      </c>
      <c r="F87" s="8">
        <v>29</v>
      </c>
      <c r="G87" s="22">
        <v>268.25</v>
      </c>
      <c r="H87" s="22">
        <v>609</v>
      </c>
      <c r="I87" s="10"/>
    </row>
    <row r="88" spans="1:9" hidden="1" x14ac:dyDescent="0.25">
      <c r="A88" s="75">
        <v>40571</v>
      </c>
      <c r="B88" s="8" t="s">
        <v>321</v>
      </c>
      <c r="C88" s="8" t="s">
        <v>310</v>
      </c>
      <c r="D88" s="8" t="s">
        <v>3</v>
      </c>
      <c r="E88" s="8" t="s">
        <v>333</v>
      </c>
      <c r="F88" s="8">
        <v>25</v>
      </c>
      <c r="G88" s="22">
        <v>250</v>
      </c>
      <c r="H88" s="22">
        <v>550</v>
      </c>
      <c r="I88" s="10"/>
    </row>
    <row r="89" spans="1:9" hidden="1" x14ac:dyDescent="0.25">
      <c r="A89" s="75">
        <v>40554</v>
      </c>
      <c r="B89" s="8" t="s">
        <v>319</v>
      </c>
      <c r="C89" s="8" t="s">
        <v>307</v>
      </c>
      <c r="D89" s="8" t="s">
        <v>312</v>
      </c>
      <c r="E89" s="8" t="s">
        <v>336</v>
      </c>
      <c r="F89" s="8">
        <v>14</v>
      </c>
      <c r="G89" s="22">
        <v>203</v>
      </c>
      <c r="H89" s="22">
        <v>378</v>
      </c>
      <c r="I89" s="10"/>
    </row>
    <row r="90" spans="1:9" hidden="1" x14ac:dyDescent="0.25">
      <c r="A90" s="75">
        <v>40565</v>
      </c>
      <c r="B90" s="8" t="s">
        <v>321</v>
      </c>
      <c r="C90" s="8" t="s">
        <v>309</v>
      </c>
      <c r="D90" s="8" t="s">
        <v>136</v>
      </c>
      <c r="E90" s="8" t="s">
        <v>330</v>
      </c>
      <c r="F90" s="8">
        <v>53</v>
      </c>
      <c r="G90" s="22">
        <v>530</v>
      </c>
      <c r="H90" s="22">
        <v>1166</v>
      </c>
      <c r="I90" s="10"/>
    </row>
    <row r="91" spans="1:9" hidden="1" x14ac:dyDescent="0.25">
      <c r="A91" s="75">
        <v>40553</v>
      </c>
      <c r="B91" s="8" t="s">
        <v>317</v>
      </c>
      <c r="C91" s="8" t="s">
        <v>310</v>
      </c>
      <c r="D91" s="8" t="s">
        <v>3</v>
      </c>
      <c r="E91" s="8" t="s">
        <v>341</v>
      </c>
      <c r="F91" s="8">
        <v>47</v>
      </c>
      <c r="G91" s="22">
        <v>434.75</v>
      </c>
      <c r="H91" s="22">
        <v>987</v>
      </c>
      <c r="I91" s="10"/>
    </row>
    <row r="92" spans="1:9" hidden="1" x14ac:dyDescent="0.25">
      <c r="A92" s="75">
        <v>40567</v>
      </c>
      <c r="B92" s="8" t="s">
        <v>315</v>
      </c>
      <c r="C92" s="8" t="s">
        <v>308</v>
      </c>
      <c r="D92" s="8" t="s">
        <v>312</v>
      </c>
      <c r="E92" s="8" t="s">
        <v>344</v>
      </c>
      <c r="F92" s="8">
        <v>13</v>
      </c>
      <c r="G92" s="22">
        <v>143</v>
      </c>
      <c r="H92" s="22">
        <v>299</v>
      </c>
      <c r="I92" s="10"/>
    </row>
    <row r="93" spans="1:9" hidden="1" x14ac:dyDescent="0.25">
      <c r="A93" s="75">
        <v>40548</v>
      </c>
      <c r="B93" s="8" t="s">
        <v>311</v>
      </c>
      <c r="C93" s="8" t="s">
        <v>309</v>
      </c>
      <c r="D93" s="8" t="s">
        <v>312</v>
      </c>
      <c r="E93" s="8" t="s">
        <v>323</v>
      </c>
      <c r="F93" s="8">
        <v>12</v>
      </c>
      <c r="G93" s="22">
        <v>96</v>
      </c>
      <c r="H93" s="22">
        <v>228</v>
      </c>
      <c r="I93" s="10"/>
    </row>
    <row r="94" spans="1:9" hidden="1" x14ac:dyDescent="0.25">
      <c r="A94" s="75">
        <v>40546</v>
      </c>
      <c r="B94" s="8" t="s">
        <v>315</v>
      </c>
      <c r="C94" s="8" t="s">
        <v>308</v>
      </c>
      <c r="D94" s="8" t="s">
        <v>7</v>
      </c>
      <c r="E94" s="8" t="s">
        <v>324</v>
      </c>
      <c r="F94" s="8">
        <v>20</v>
      </c>
      <c r="G94" s="22">
        <v>220</v>
      </c>
      <c r="H94" s="22">
        <v>460</v>
      </c>
      <c r="I94" s="10"/>
    </row>
    <row r="95" spans="1:9" hidden="1" x14ac:dyDescent="0.25">
      <c r="A95" s="75">
        <v>40552</v>
      </c>
      <c r="B95" s="8" t="s">
        <v>321</v>
      </c>
      <c r="C95" s="8" t="s">
        <v>307</v>
      </c>
      <c r="D95" s="8" t="s">
        <v>136</v>
      </c>
      <c r="E95" s="8" t="s">
        <v>325</v>
      </c>
      <c r="F95" s="8">
        <v>40</v>
      </c>
      <c r="G95" s="22">
        <v>400</v>
      </c>
      <c r="H95" s="22">
        <v>880</v>
      </c>
      <c r="I95" s="10"/>
    </row>
    <row r="96" spans="1:9" hidden="1" x14ac:dyDescent="0.25">
      <c r="A96" s="75">
        <v>40566</v>
      </c>
      <c r="B96" s="8" t="s">
        <v>321</v>
      </c>
      <c r="C96" s="8" t="s">
        <v>307</v>
      </c>
      <c r="D96" s="8" t="s">
        <v>328</v>
      </c>
      <c r="E96" s="8" t="s">
        <v>345</v>
      </c>
      <c r="F96" s="8">
        <v>9</v>
      </c>
      <c r="G96" s="22">
        <v>90</v>
      </c>
      <c r="H96" s="22">
        <v>198</v>
      </c>
      <c r="I96" s="10"/>
    </row>
    <row r="97" spans="1:9" hidden="1" x14ac:dyDescent="0.25">
      <c r="A97" s="75">
        <v>40552</v>
      </c>
      <c r="B97" s="8" t="s">
        <v>315</v>
      </c>
      <c r="C97" s="8" t="s">
        <v>307</v>
      </c>
      <c r="D97" s="8" t="s">
        <v>312</v>
      </c>
      <c r="E97" s="8" t="s">
        <v>332</v>
      </c>
      <c r="F97" s="8">
        <v>38</v>
      </c>
      <c r="G97" s="22">
        <v>418</v>
      </c>
      <c r="H97" s="22">
        <v>874</v>
      </c>
      <c r="I97" s="10"/>
    </row>
    <row r="98" spans="1:9" hidden="1" x14ac:dyDescent="0.25">
      <c r="A98" s="75">
        <v>40545</v>
      </c>
      <c r="B98" s="8" t="s">
        <v>321</v>
      </c>
      <c r="C98" s="8" t="s">
        <v>310</v>
      </c>
      <c r="D98" s="8" t="s">
        <v>328</v>
      </c>
      <c r="E98" s="8" t="s">
        <v>313</v>
      </c>
      <c r="F98" s="8">
        <v>24</v>
      </c>
      <c r="G98" s="22">
        <v>240</v>
      </c>
      <c r="H98" s="22">
        <v>528</v>
      </c>
      <c r="I98" s="10"/>
    </row>
    <row r="99" spans="1:9" hidden="1" x14ac:dyDescent="0.25">
      <c r="A99" s="75">
        <v>40560</v>
      </c>
      <c r="B99" s="8" t="s">
        <v>319</v>
      </c>
      <c r="C99" s="8" t="s">
        <v>309</v>
      </c>
      <c r="D99" s="8" t="s">
        <v>7</v>
      </c>
      <c r="E99" s="8" t="s">
        <v>322</v>
      </c>
      <c r="F99" s="8">
        <v>10</v>
      </c>
      <c r="G99" s="22">
        <v>145</v>
      </c>
      <c r="H99" s="22">
        <v>270</v>
      </c>
      <c r="I99" s="10"/>
    </row>
    <row r="100" spans="1:9" hidden="1" x14ac:dyDescent="0.25">
      <c r="A100" s="75">
        <v>40571</v>
      </c>
      <c r="B100" s="8" t="s">
        <v>319</v>
      </c>
      <c r="C100" s="8" t="s">
        <v>310</v>
      </c>
      <c r="D100" s="8" t="s">
        <v>328</v>
      </c>
      <c r="E100" s="8" t="s">
        <v>313</v>
      </c>
      <c r="F100" s="8">
        <v>56</v>
      </c>
      <c r="G100" s="22">
        <v>812</v>
      </c>
      <c r="H100" s="22">
        <v>1512</v>
      </c>
      <c r="I100" s="10"/>
    </row>
    <row r="101" spans="1:9" hidden="1" x14ac:dyDescent="0.25">
      <c r="A101" s="75">
        <v>40561</v>
      </c>
      <c r="B101" s="8" t="s">
        <v>311</v>
      </c>
      <c r="C101" s="8" t="s">
        <v>308</v>
      </c>
      <c r="D101" s="8" t="s">
        <v>7</v>
      </c>
      <c r="E101" s="8" t="s">
        <v>327</v>
      </c>
      <c r="F101" s="8">
        <v>62</v>
      </c>
      <c r="G101" s="22">
        <v>496</v>
      </c>
      <c r="H101" s="22">
        <v>1178</v>
      </c>
      <c r="I101" s="10"/>
    </row>
    <row r="102" spans="1:9" hidden="1" x14ac:dyDescent="0.25">
      <c r="A102" s="75">
        <v>40571</v>
      </c>
      <c r="B102" s="8" t="s">
        <v>319</v>
      </c>
      <c r="C102" s="8" t="s">
        <v>310</v>
      </c>
      <c r="D102" s="8" t="s">
        <v>312</v>
      </c>
      <c r="E102" s="8" t="s">
        <v>432</v>
      </c>
      <c r="F102" s="8">
        <v>44</v>
      </c>
      <c r="G102" s="22">
        <v>638</v>
      </c>
      <c r="H102" s="22">
        <v>1188</v>
      </c>
      <c r="I102" s="10"/>
    </row>
    <row r="103" spans="1:9" hidden="1" x14ac:dyDescent="0.25">
      <c r="A103" s="75">
        <v>40560</v>
      </c>
      <c r="B103" s="8" t="s">
        <v>315</v>
      </c>
      <c r="C103" s="8" t="s">
        <v>307</v>
      </c>
      <c r="D103" s="8" t="s">
        <v>3</v>
      </c>
      <c r="E103" s="8" t="s">
        <v>346</v>
      </c>
      <c r="F103" s="8">
        <v>39</v>
      </c>
      <c r="G103" s="22">
        <v>429</v>
      </c>
      <c r="H103" s="22">
        <v>897</v>
      </c>
      <c r="I103" s="10"/>
    </row>
    <row r="104" spans="1:9" hidden="1" x14ac:dyDescent="0.25">
      <c r="A104" s="75">
        <v>40561</v>
      </c>
      <c r="B104" s="8" t="s">
        <v>311</v>
      </c>
      <c r="C104" s="8" t="s">
        <v>307</v>
      </c>
      <c r="D104" s="8" t="s">
        <v>312</v>
      </c>
      <c r="E104" s="8" t="s">
        <v>337</v>
      </c>
      <c r="F104" s="8">
        <v>24</v>
      </c>
      <c r="G104" s="22">
        <v>192</v>
      </c>
      <c r="H104" s="22">
        <v>456</v>
      </c>
      <c r="I104" s="10"/>
    </row>
    <row r="105" spans="1:9" hidden="1" x14ac:dyDescent="0.25">
      <c r="A105" s="75">
        <v>40565</v>
      </c>
      <c r="B105" s="8" t="s">
        <v>321</v>
      </c>
      <c r="C105" s="8" t="s">
        <v>309</v>
      </c>
      <c r="D105" s="8" t="s">
        <v>132</v>
      </c>
      <c r="E105" s="8" t="s">
        <v>338</v>
      </c>
      <c r="F105" s="8">
        <v>6</v>
      </c>
      <c r="G105" s="22">
        <v>60</v>
      </c>
      <c r="H105" s="22">
        <v>132</v>
      </c>
      <c r="I105" s="10"/>
    </row>
    <row r="106" spans="1:9" x14ac:dyDescent="0.25">
      <c r="A106" s="75">
        <v>40545</v>
      </c>
      <c r="B106" s="8" t="s">
        <v>321</v>
      </c>
      <c r="C106" s="8" t="s">
        <v>309</v>
      </c>
      <c r="D106" s="8" t="s">
        <v>136</v>
      </c>
      <c r="E106" s="8" t="s">
        <v>331</v>
      </c>
      <c r="F106" s="8">
        <v>19</v>
      </c>
      <c r="G106" s="22">
        <v>190</v>
      </c>
      <c r="H106" s="22">
        <v>418</v>
      </c>
      <c r="I106" s="10"/>
    </row>
  </sheetData>
  <mergeCells count="1">
    <mergeCell ref="O2:O6"/>
  </mergeCell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tabColor rgb="FF0000FF"/>
  </sheetPr>
  <dimension ref="A1:D15"/>
  <sheetViews>
    <sheetView workbookViewId="0">
      <selection activeCell="C11" sqref="C11"/>
    </sheetView>
  </sheetViews>
  <sheetFormatPr defaultRowHeight="15" x14ac:dyDescent="0.25"/>
  <cols>
    <col min="1" max="1" width="21.85546875" bestFit="1" customWidth="1"/>
    <col min="2" max="2" width="10.5703125" customWidth="1"/>
    <col min="3" max="3" width="13.42578125" customWidth="1"/>
    <col min="4" max="4" width="10.85546875" bestFit="1" customWidth="1"/>
    <col min="5" max="5" width="15" bestFit="1" customWidth="1"/>
  </cols>
  <sheetData>
    <row r="1" spans="1:4" x14ac:dyDescent="0.25">
      <c r="A1" s="163" t="s">
        <v>526</v>
      </c>
      <c r="B1" s="163"/>
      <c r="C1" s="163"/>
    </row>
    <row r="2" spans="1:4" x14ac:dyDescent="0.25">
      <c r="A2" s="152" t="s">
        <v>502</v>
      </c>
      <c r="B2" s="152" t="s">
        <v>137</v>
      </c>
      <c r="C2" s="152" t="s">
        <v>503</v>
      </c>
    </row>
    <row r="3" spans="1:4" x14ac:dyDescent="0.25">
      <c r="A3" s="11" t="str">
        <f>DOLLAR(B3,0)&amp;" &lt;= Sales &lt; "&amp;DOLLAR(B4,0)</f>
        <v>$ 0 &lt;= Sales &lt; $ 2.000</v>
      </c>
      <c r="B3" s="164">
        <v>0</v>
      </c>
      <c r="C3" s="165">
        <v>0</v>
      </c>
    </row>
    <row r="4" spans="1:4" x14ac:dyDescent="0.25">
      <c r="A4" s="11" t="str">
        <f t="shared" ref="A4:A7" si="0">DOLLAR(B4,0)&amp;" &lt;= Sales &lt; "&amp;DOLLAR(B5,0)</f>
        <v>$ 2.000 &lt;= Sales &lt; $ 3.000</v>
      </c>
      <c r="B4" s="164">
        <v>2000</v>
      </c>
      <c r="C4" s="165">
        <v>0.01</v>
      </c>
    </row>
    <row r="5" spans="1:4" x14ac:dyDescent="0.25">
      <c r="A5" s="11" t="str">
        <f t="shared" si="0"/>
        <v>$ 3.000 &lt;= Sales &lt; $ 4.000</v>
      </c>
      <c r="B5" s="164">
        <v>3000</v>
      </c>
      <c r="C5" s="165">
        <v>0.02</v>
      </c>
    </row>
    <row r="6" spans="1:4" x14ac:dyDescent="0.25">
      <c r="A6" s="11" t="str">
        <f t="shared" si="0"/>
        <v>$ 4.000 &lt;= Sales &lt; $ 5.000</v>
      </c>
      <c r="B6" s="164">
        <v>4000</v>
      </c>
      <c r="C6" s="165">
        <v>0.03</v>
      </c>
    </row>
    <row r="7" spans="1:4" x14ac:dyDescent="0.25">
      <c r="A7" s="11" t="str">
        <f t="shared" si="0"/>
        <v>$ 5.000 &lt;= Sales &lt; $ 7.000</v>
      </c>
      <c r="B7" s="164">
        <v>5000</v>
      </c>
      <c r="C7" s="165">
        <v>0.04</v>
      </c>
    </row>
    <row r="8" spans="1:4" x14ac:dyDescent="0.25">
      <c r="A8" s="11" t="str">
        <f>"Sales &gt;= "&amp;DOLLAR(B8,0)</f>
        <v>Sales &gt;= $ 7.000</v>
      </c>
      <c r="B8" s="164">
        <v>7000</v>
      </c>
      <c r="C8" s="165">
        <v>0.05</v>
      </c>
    </row>
    <row r="10" spans="1:4" x14ac:dyDescent="0.25">
      <c r="A10" s="152" t="s">
        <v>358</v>
      </c>
      <c r="B10" s="152" t="s">
        <v>37</v>
      </c>
      <c r="C10" s="152" t="s">
        <v>490</v>
      </c>
      <c r="D10" s="152" t="s">
        <v>490</v>
      </c>
    </row>
    <row r="11" spans="1:4" x14ac:dyDescent="0.25">
      <c r="A11" s="8" t="s">
        <v>504</v>
      </c>
      <c r="B11" s="66">
        <v>5018</v>
      </c>
      <c r="C11" s="23"/>
      <c r="D11" s="23">
        <f>IF(B11&gt;=B$8,C$8,IF(B11&gt;=B$7,C$7,IF(B11&gt;=B$6,C$6,IF(B11&gt;=B$5,C$5,IF(B11&gt;=B$4,C$4,C$3)))))*B11</f>
        <v>200.72</v>
      </c>
    </row>
    <row r="12" spans="1:4" x14ac:dyDescent="0.25">
      <c r="A12" s="8" t="s">
        <v>507</v>
      </c>
      <c r="B12" s="66">
        <v>1000</v>
      </c>
      <c r="C12" s="23"/>
      <c r="D12" s="23">
        <f>IF(B12&gt;=B$8,C$8,IF(B12&gt;=B$7,C$7,IF(B12&gt;=B$6,C$6,IF(B12&gt;=B$5,C$5,IF(B12&gt;=B$4,C$4,C$3)))))*B12</f>
        <v>0</v>
      </c>
    </row>
    <row r="13" spans="1:4" x14ac:dyDescent="0.25">
      <c r="A13" s="8" t="s">
        <v>510</v>
      </c>
      <c r="B13" s="66">
        <v>7000</v>
      </c>
      <c r="C13" s="23"/>
      <c r="D13" s="23">
        <f>IF(B13&gt;=B$8,C$8,IF(B13&gt;=B$7,C$7,IF(B13&gt;=B$6,C$6,IF(B13&gt;=B$5,C$5,IF(B13&gt;=B$4,C$4,C$3)))))*B13</f>
        <v>350</v>
      </c>
    </row>
    <row r="14" spans="1:4" x14ac:dyDescent="0.25">
      <c r="A14" s="8" t="s">
        <v>513</v>
      </c>
      <c r="B14" s="66">
        <v>3012</v>
      </c>
      <c r="C14" s="23"/>
      <c r="D14" s="23">
        <f>IF(B14&gt;=B$8,C$8,IF(B14&gt;=B$7,C$7,IF(B14&gt;=B$6,C$6,IF(B14&gt;=B$5,C$5,IF(B14&gt;=B$4,C$4,C$3)))))*B14</f>
        <v>60.24</v>
      </c>
    </row>
    <row r="15" spans="1:4" x14ac:dyDescent="0.25">
      <c r="A15" s="8" t="s">
        <v>516</v>
      </c>
      <c r="B15" s="66">
        <v>9558</v>
      </c>
      <c r="C15" s="23"/>
      <c r="D15" s="23">
        <f>IF(B15&gt;=B$8,C$8,IF(B15&gt;=B$7,C$7,IF(B15&gt;=B$6,C$6,IF(B15&gt;=B$5,C$5,IF(B15&gt;=B$4,C$4,C$3)))))*B15</f>
        <v>477.90000000000003</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tabColor rgb="FF0000FF"/>
  </sheetPr>
  <dimension ref="A1:D16"/>
  <sheetViews>
    <sheetView workbookViewId="0">
      <selection activeCell="C11" sqref="C11"/>
    </sheetView>
  </sheetViews>
  <sheetFormatPr defaultRowHeight="15" x14ac:dyDescent="0.25"/>
  <cols>
    <col min="1" max="1" width="21.85546875" bestFit="1" customWidth="1"/>
    <col min="2" max="2" width="10.5703125" customWidth="1"/>
    <col min="3" max="3" width="13.42578125" customWidth="1"/>
    <col min="4" max="4" width="10.85546875" bestFit="1" customWidth="1"/>
    <col min="5" max="5" width="15" bestFit="1" customWidth="1"/>
  </cols>
  <sheetData>
    <row r="1" spans="1:4" x14ac:dyDescent="0.25">
      <c r="A1" s="163" t="s">
        <v>527</v>
      </c>
      <c r="B1" s="163"/>
      <c r="C1" s="163"/>
      <c r="D1" s="163"/>
    </row>
    <row r="2" spans="1:4" x14ac:dyDescent="0.25">
      <c r="A2" s="152" t="s">
        <v>528</v>
      </c>
      <c r="B2" s="152" t="s">
        <v>529</v>
      </c>
      <c r="C2" s="152"/>
      <c r="D2" s="152" t="s">
        <v>530</v>
      </c>
    </row>
    <row r="3" spans="1:4" x14ac:dyDescent="0.25">
      <c r="A3" s="8" t="str">
        <f>B3&amp;" &lt;= Sales &lt; "&amp;B4</f>
        <v>0 &lt;= Sales &lt; 90</v>
      </c>
      <c r="B3" s="24">
        <v>0</v>
      </c>
      <c r="C3" s="24" t="s">
        <v>531</v>
      </c>
      <c r="D3" s="21" t="s">
        <v>532</v>
      </c>
    </row>
    <row r="4" spans="1:4" x14ac:dyDescent="0.25">
      <c r="A4" s="8" t="str">
        <f t="shared" ref="A4:A7" si="0">B4&amp;" &lt;= Sales &lt; "&amp;B5</f>
        <v>90 &lt;= Sales &lt; 110</v>
      </c>
      <c r="B4" s="166">
        <v>90</v>
      </c>
      <c r="C4" s="166" t="s">
        <v>533</v>
      </c>
      <c r="D4" s="156" t="s">
        <v>534</v>
      </c>
    </row>
    <row r="5" spans="1:4" x14ac:dyDescent="0.25">
      <c r="A5" s="8" t="str">
        <f t="shared" si="0"/>
        <v>110 &lt;= Sales &lt; 130</v>
      </c>
      <c r="B5" s="24">
        <v>110</v>
      </c>
      <c r="C5" s="24" t="s">
        <v>535</v>
      </c>
      <c r="D5" s="21" t="s">
        <v>536</v>
      </c>
    </row>
    <row r="6" spans="1:4" x14ac:dyDescent="0.25">
      <c r="A6" s="8" t="str">
        <f t="shared" si="0"/>
        <v>130 &lt;= Sales &lt; 150</v>
      </c>
      <c r="B6" s="166">
        <v>130</v>
      </c>
      <c r="C6" s="166" t="s">
        <v>537</v>
      </c>
      <c r="D6" s="156" t="s">
        <v>538</v>
      </c>
    </row>
    <row r="7" spans="1:4" x14ac:dyDescent="0.25">
      <c r="A7" s="8" t="str">
        <f t="shared" si="0"/>
        <v>150 &lt;= Sales &lt; 160</v>
      </c>
      <c r="B7" s="24">
        <v>150</v>
      </c>
      <c r="C7" s="24" t="s">
        <v>539</v>
      </c>
      <c r="D7" s="21" t="s">
        <v>540</v>
      </c>
    </row>
    <row r="8" spans="1:4" x14ac:dyDescent="0.25">
      <c r="A8" s="153" t="str">
        <f>"Sales &gt;= "&amp;B8</f>
        <v>Sales &gt;= 160</v>
      </c>
      <c r="B8" s="166">
        <v>160</v>
      </c>
      <c r="C8" s="166" t="s">
        <v>541</v>
      </c>
      <c r="D8" s="156" t="s">
        <v>542</v>
      </c>
    </row>
    <row r="10" spans="1:4" x14ac:dyDescent="0.25">
      <c r="A10" s="152" t="s">
        <v>358</v>
      </c>
      <c r="B10" s="152" t="s">
        <v>37</v>
      </c>
      <c r="C10" s="152" t="s">
        <v>530</v>
      </c>
    </row>
    <row r="11" spans="1:4" x14ac:dyDescent="0.25">
      <c r="A11" s="8" t="s">
        <v>543</v>
      </c>
      <c r="B11" s="24">
        <v>118</v>
      </c>
      <c r="C11" s="20"/>
    </row>
    <row r="12" spans="1:4" x14ac:dyDescent="0.25">
      <c r="A12" s="8" t="s">
        <v>544</v>
      </c>
      <c r="B12" s="24">
        <v>88</v>
      </c>
      <c r="C12" s="20"/>
    </row>
    <row r="13" spans="1:4" x14ac:dyDescent="0.25">
      <c r="A13" s="8" t="s">
        <v>545</v>
      </c>
      <c r="B13" s="24">
        <v>147</v>
      </c>
      <c r="C13" s="20"/>
    </row>
    <row r="14" spans="1:4" x14ac:dyDescent="0.25">
      <c r="A14" s="8" t="s">
        <v>546</v>
      </c>
      <c r="B14" s="24">
        <v>53</v>
      </c>
      <c r="C14" s="20"/>
    </row>
    <row r="15" spans="1:4" x14ac:dyDescent="0.25">
      <c r="A15" s="8" t="s">
        <v>547</v>
      </c>
      <c r="B15" s="24">
        <v>143</v>
      </c>
      <c r="C15" s="20"/>
    </row>
    <row r="16" spans="1:4" x14ac:dyDescent="0.25">
      <c r="A16" s="8" t="s">
        <v>548</v>
      </c>
      <c r="B16" s="24">
        <v>168</v>
      </c>
      <c r="C16" s="20"/>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tabColor rgb="FF0000FF"/>
  </sheetPr>
  <dimension ref="A1:F25"/>
  <sheetViews>
    <sheetView workbookViewId="0">
      <selection activeCell="A10" sqref="A10"/>
    </sheetView>
  </sheetViews>
  <sheetFormatPr defaultColWidth="9.140625" defaultRowHeight="15" x14ac:dyDescent="0.25"/>
  <cols>
    <col min="1" max="1" width="9.7109375" bestFit="1" customWidth="1"/>
    <col min="2" max="2" width="13.85546875" customWidth="1"/>
    <col min="3" max="3" width="13.42578125" customWidth="1"/>
    <col min="4" max="4" width="10.85546875" bestFit="1" customWidth="1"/>
    <col min="5" max="5" width="15" bestFit="1" customWidth="1"/>
    <col min="6" max="6" width="28.85546875" customWidth="1"/>
  </cols>
  <sheetData>
    <row r="1" spans="1:6" x14ac:dyDescent="0.25">
      <c r="A1" s="163" t="s">
        <v>549</v>
      </c>
      <c r="B1" s="163"/>
      <c r="C1" s="163"/>
      <c r="D1" s="163"/>
      <c r="E1" s="163"/>
    </row>
    <row r="2" spans="1:6" x14ac:dyDescent="0.25">
      <c r="A2" s="167" t="s">
        <v>550</v>
      </c>
      <c r="B2" s="167" t="s">
        <v>358</v>
      </c>
      <c r="C2" s="167" t="s">
        <v>551</v>
      </c>
      <c r="D2" s="167" t="s">
        <v>552</v>
      </c>
      <c r="E2" s="167" t="s">
        <v>553</v>
      </c>
    </row>
    <row r="3" spans="1:6" x14ac:dyDescent="0.25">
      <c r="A3" s="8" t="s">
        <v>554</v>
      </c>
      <c r="B3" s="8" t="s">
        <v>321</v>
      </c>
      <c r="C3" s="8" t="s">
        <v>555</v>
      </c>
      <c r="D3" s="22">
        <v>25</v>
      </c>
      <c r="E3" s="22">
        <v>12</v>
      </c>
    </row>
    <row r="4" spans="1:6" x14ac:dyDescent="0.25">
      <c r="A4" s="8" t="s">
        <v>556</v>
      </c>
      <c r="B4" s="8" t="s">
        <v>315</v>
      </c>
      <c r="C4" s="8" t="s">
        <v>557</v>
      </c>
      <c r="D4" s="22">
        <v>27</v>
      </c>
      <c r="E4" s="22">
        <v>14.5</v>
      </c>
    </row>
    <row r="5" spans="1:6" x14ac:dyDescent="0.25">
      <c r="A5" s="8" t="s">
        <v>558</v>
      </c>
      <c r="B5" s="8" t="s">
        <v>311</v>
      </c>
      <c r="C5" s="8" t="s">
        <v>559</v>
      </c>
      <c r="D5" s="22">
        <v>22</v>
      </c>
      <c r="E5" s="22">
        <v>11</v>
      </c>
    </row>
    <row r="6" spans="1:6" x14ac:dyDescent="0.25">
      <c r="A6" s="8" t="s">
        <v>560</v>
      </c>
      <c r="B6" s="8" t="s">
        <v>561</v>
      </c>
      <c r="C6" s="8" t="s">
        <v>562</v>
      </c>
      <c r="D6" s="22">
        <v>24</v>
      </c>
      <c r="E6" s="22">
        <v>13</v>
      </c>
    </row>
    <row r="7" spans="1:6" x14ac:dyDescent="0.25">
      <c r="A7" s="8" t="s">
        <v>563</v>
      </c>
      <c r="B7" s="8" t="s">
        <v>317</v>
      </c>
      <c r="C7" s="8" t="s">
        <v>564</v>
      </c>
      <c r="D7" s="22">
        <v>23</v>
      </c>
      <c r="E7" s="22">
        <v>12</v>
      </c>
    </row>
    <row r="9" spans="1:6" x14ac:dyDescent="0.25">
      <c r="A9" s="167" t="str">
        <f>A2</f>
        <v>ProductID</v>
      </c>
      <c r="B9" s="167" t="str">
        <f>B2</f>
        <v>Name</v>
      </c>
      <c r="C9" s="167" t="str">
        <f>D2</f>
        <v>Price</v>
      </c>
      <c r="D9" s="167" t="s">
        <v>305</v>
      </c>
      <c r="E9" s="167" t="s">
        <v>76</v>
      </c>
    </row>
    <row r="10" spans="1:6" x14ac:dyDescent="0.25">
      <c r="A10" s="8"/>
      <c r="B10" s="301"/>
      <c r="C10" s="169"/>
      <c r="D10" s="8">
        <v>2</v>
      </c>
      <c r="E10" s="23"/>
    </row>
    <row r="13" spans="1:6" x14ac:dyDescent="0.25">
      <c r="A13" s="163" t="s">
        <v>565</v>
      </c>
      <c r="B13" s="163"/>
      <c r="C13" s="163"/>
      <c r="D13" s="163"/>
      <c r="E13" s="163"/>
    </row>
    <row r="14" spans="1:6" ht="21" x14ac:dyDescent="0.35">
      <c r="A14" s="170">
        <f t="shared" ref="A14:E14" si="0">MATCH(A15,$A$15:$E$15,0)</f>
        <v>1</v>
      </c>
      <c r="B14" s="170">
        <f t="shared" si="0"/>
        <v>2</v>
      </c>
      <c r="C14" s="170">
        <f t="shared" si="0"/>
        <v>3</v>
      </c>
      <c r="D14" s="170">
        <f t="shared" si="0"/>
        <v>4</v>
      </c>
      <c r="E14" s="170">
        <f t="shared" si="0"/>
        <v>5</v>
      </c>
      <c r="F14" t="s">
        <v>566</v>
      </c>
    </row>
    <row r="15" spans="1:6" x14ac:dyDescent="0.25">
      <c r="A15" s="167" t="s">
        <v>550</v>
      </c>
      <c r="B15" s="167" t="s">
        <v>358</v>
      </c>
      <c r="C15" s="167" t="s">
        <v>551</v>
      </c>
      <c r="D15" s="167" t="s">
        <v>552</v>
      </c>
      <c r="E15" s="167" t="s">
        <v>553</v>
      </c>
      <c r="F15" t="s">
        <v>567</v>
      </c>
    </row>
    <row r="16" spans="1:6" x14ac:dyDescent="0.25">
      <c r="A16" s="8" t="s">
        <v>554</v>
      </c>
      <c r="B16" s="8" t="s">
        <v>321</v>
      </c>
      <c r="C16" s="8" t="s">
        <v>555</v>
      </c>
      <c r="D16" s="22">
        <v>25</v>
      </c>
      <c r="E16" s="22">
        <v>12</v>
      </c>
    </row>
    <row r="17" spans="1:5" x14ac:dyDescent="0.25">
      <c r="A17" s="8" t="s">
        <v>556</v>
      </c>
      <c r="B17" s="8" t="s">
        <v>315</v>
      </c>
      <c r="C17" s="8" t="s">
        <v>557</v>
      </c>
      <c r="D17" s="22">
        <v>27</v>
      </c>
      <c r="E17" s="22">
        <v>14.5</v>
      </c>
    </row>
    <row r="18" spans="1:5" x14ac:dyDescent="0.25">
      <c r="A18" s="8" t="s">
        <v>558</v>
      </c>
      <c r="B18" s="8" t="s">
        <v>311</v>
      </c>
      <c r="C18" s="8" t="s">
        <v>559</v>
      </c>
      <c r="D18" s="22">
        <v>22</v>
      </c>
      <c r="E18" s="22">
        <v>11</v>
      </c>
    </row>
    <row r="19" spans="1:5" x14ac:dyDescent="0.25">
      <c r="A19" s="8" t="s">
        <v>560</v>
      </c>
      <c r="B19" s="8" t="s">
        <v>561</v>
      </c>
      <c r="C19" s="8" t="s">
        <v>562</v>
      </c>
      <c r="D19" s="22">
        <v>24</v>
      </c>
      <c r="E19" s="22">
        <v>13</v>
      </c>
    </row>
    <row r="20" spans="1:5" x14ac:dyDescent="0.25">
      <c r="A20" s="8" t="s">
        <v>563</v>
      </c>
      <c r="B20" s="8" t="s">
        <v>317</v>
      </c>
      <c r="C20" s="8" t="s">
        <v>564</v>
      </c>
      <c r="D20" s="22">
        <v>23</v>
      </c>
      <c r="E20" s="22">
        <v>12</v>
      </c>
    </row>
    <row r="22" spans="1:5" x14ac:dyDescent="0.25">
      <c r="A22" s="167" t="str">
        <f>A15</f>
        <v>ProductID</v>
      </c>
      <c r="B22" s="167" t="str">
        <f>B15</f>
        <v>Name</v>
      </c>
      <c r="C22" s="167" t="s">
        <v>552</v>
      </c>
      <c r="D22" s="167" t="s">
        <v>305</v>
      </c>
      <c r="E22" s="167" t="s">
        <v>76</v>
      </c>
    </row>
    <row r="23" spans="1:5" x14ac:dyDescent="0.25">
      <c r="A23" s="8" t="s">
        <v>556</v>
      </c>
      <c r="B23" s="168"/>
      <c r="C23" s="169"/>
      <c r="D23" s="8">
        <v>2</v>
      </c>
      <c r="E23" s="23">
        <f>C23*D23</f>
        <v>0</v>
      </c>
    </row>
    <row r="25" spans="1:5" x14ac:dyDescent="0.25">
      <c r="B25" s="10"/>
      <c r="C25" s="10"/>
    </row>
  </sheetData>
  <dataValidations count="2">
    <dataValidation type="list" allowBlank="1" showInputMessage="1" showErrorMessage="1" sqref="A23" xr:uid="{00000000-0002-0000-3A00-000000000000}">
      <formula1>$A$16:$A$20</formula1>
    </dataValidation>
    <dataValidation type="list" allowBlank="1" showInputMessage="1" showErrorMessage="1" sqref="A10" xr:uid="{00000000-0002-0000-3A00-000001000000}">
      <formula1>$A$3:$A$7</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tabColor rgb="FF0000FF"/>
  </sheetPr>
  <dimension ref="A1:E3"/>
  <sheetViews>
    <sheetView zoomScale="115" zoomScaleNormal="115" workbookViewId="0">
      <selection activeCell="A3" sqref="A3"/>
    </sheetView>
  </sheetViews>
  <sheetFormatPr defaultColWidth="9.140625" defaultRowHeight="15" x14ac:dyDescent="0.25"/>
  <cols>
    <col min="1" max="1" width="15" customWidth="1"/>
    <col min="2" max="3" width="13.140625" customWidth="1"/>
    <col min="4" max="4" width="10.85546875" bestFit="1" customWidth="1"/>
    <col min="5" max="5" width="17.7109375" customWidth="1"/>
  </cols>
  <sheetData>
    <row r="1" spans="1:5" ht="30" x14ac:dyDescent="0.25">
      <c r="A1" s="163" t="s">
        <v>568</v>
      </c>
      <c r="B1" s="163"/>
      <c r="C1" s="163"/>
      <c r="D1" s="163"/>
      <c r="E1" s="163"/>
    </row>
    <row r="2" spans="1:5" x14ac:dyDescent="0.25">
      <c r="A2" s="167" t="s">
        <v>569</v>
      </c>
      <c r="B2" s="167" t="s">
        <v>570</v>
      </c>
      <c r="C2" s="167" t="s">
        <v>571</v>
      </c>
      <c r="D2" s="167" t="s">
        <v>90</v>
      </c>
      <c r="E2" s="167" t="s">
        <v>572</v>
      </c>
    </row>
    <row r="3" spans="1:5" x14ac:dyDescent="0.25">
      <c r="A3" s="8" t="s">
        <v>573</v>
      </c>
      <c r="B3" s="168"/>
      <c r="C3" s="171"/>
      <c r="D3" s="169"/>
      <c r="E3" s="171"/>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tabColor rgb="FF0000FF"/>
  </sheetPr>
  <dimension ref="C1:V37"/>
  <sheetViews>
    <sheetView workbookViewId="0">
      <selection activeCell="C4" sqref="C4"/>
    </sheetView>
  </sheetViews>
  <sheetFormatPr defaultRowHeight="15" x14ac:dyDescent="0.25"/>
  <cols>
    <col min="1" max="2" width="3" customWidth="1"/>
    <col min="3" max="3" width="15.85546875" bestFit="1" customWidth="1"/>
    <col min="4" max="4" width="10.140625" bestFit="1" customWidth="1"/>
    <col min="5" max="5" width="10.5703125" bestFit="1" customWidth="1"/>
    <col min="6" max="6" width="9.85546875" bestFit="1" customWidth="1"/>
    <col min="7" max="7" width="17.5703125" bestFit="1" customWidth="1"/>
    <col min="18" max="18" width="16.42578125" bestFit="1" customWidth="1"/>
    <col min="19" max="19" width="8.42578125" bestFit="1" customWidth="1"/>
    <col min="20" max="20" width="13.5703125" bestFit="1" customWidth="1"/>
    <col min="21" max="21" width="9.85546875" bestFit="1" customWidth="1"/>
    <col min="22" max="22" width="16.85546875" bestFit="1" customWidth="1"/>
  </cols>
  <sheetData>
    <row r="1" spans="3:22" ht="15" customHeight="1" x14ac:dyDescent="0.25"/>
    <row r="2" spans="3:22" ht="21" x14ac:dyDescent="0.35">
      <c r="C2" s="172">
        <f>MATCH(C3,$C$3:$G$3,0)</f>
        <v>1</v>
      </c>
      <c r="D2" s="172">
        <f>MATCH(D3,$C$3:$G$3,0)</f>
        <v>2</v>
      </c>
      <c r="E2" s="172">
        <f>MATCH(E3,$C$3:$G$3,0)</f>
        <v>3</v>
      </c>
      <c r="F2" s="172">
        <f>MATCH(F3,$C$3:$G$3,0)</f>
        <v>4</v>
      </c>
      <c r="G2" s="172">
        <f>MATCH(G3,$C$3:$G$3,0)</f>
        <v>5</v>
      </c>
    </row>
    <row r="3" spans="3:22" x14ac:dyDescent="0.25">
      <c r="C3" s="167" t="s">
        <v>569</v>
      </c>
      <c r="D3" s="167" t="s">
        <v>570</v>
      </c>
      <c r="E3" s="167" t="s">
        <v>571</v>
      </c>
      <c r="F3" s="167" t="s">
        <v>90</v>
      </c>
      <c r="G3" s="167" t="s">
        <v>572</v>
      </c>
      <c r="R3" s="8" t="str">
        <f ca="1">"1258-"&amp;LEFT(S3,2)&amp;LEFT(T3,2)&amp;"-"&amp;INT(RAND()*8000+1001)</f>
        <v>1258-DaDo-3715</v>
      </c>
      <c r="S3" s="8" t="s">
        <v>574</v>
      </c>
      <c r="T3" s="8" t="s">
        <v>575</v>
      </c>
      <c r="U3" s="22">
        <f ca="1">1000+ROUND(RAND()*8000,2)</f>
        <v>4506.82</v>
      </c>
      <c r="V3" s="8" t="str">
        <f>LEFT(S3,2)&amp;LEFT(T3,2)&amp;"@gmail.com"</f>
        <v>DaDo@gmail.com</v>
      </c>
    </row>
    <row r="4" spans="3:22" x14ac:dyDescent="0.25">
      <c r="C4" s="8" t="s">
        <v>576</v>
      </c>
      <c r="D4" s="8" t="s">
        <v>574</v>
      </c>
      <c r="E4" s="8" t="s">
        <v>575</v>
      </c>
      <c r="F4" s="22">
        <v>4191.5599999999995</v>
      </c>
      <c r="G4" s="8" t="s">
        <v>577</v>
      </c>
    </row>
    <row r="5" spans="3:22" x14ac:dyDescent="0.25">
      <c r="C5" s="8" t="s">
        <v>573</v>
      </c>
      <c r="D5" s="8" t="s">
        <v>578</v>
      </c>
      <c r="E5" s="8" t="s">
        <v>579</v>
      </c>
      <c r="F5" s="22">
        <v>3676.61</v>
      </c>
      <c r="G5" s="8" t="s">
        <v>580</v>
      </c>
    </row>
    <row r="6" spans="3:22" x14ac:dyDescent="0.25">
      <c r="C6" s="8" t="s">
        <v>581</v>
      </c>
      <c r="D6" s="8" t="s">
        <v>582</v>
      </c>
      <c r="E6" s="8" t="s">
        <v>583</v>
      </c>
      <c r="F6" s="22">
        <v>7350.44</v>
      </c>
      <c r="G6" s="8" t="s">
        <v>584</v>
      </c>
    </row>
    <row r="7" spans="3:22" x14ac:dyDescent="0.25">
      <c r="C7" s="8" t="s">
        <v>585</v>
      </c>
      <c r="D7" s="8" t="s">
        <v>586</v>
      </c>
      <c r="E7" s="8" t="s">
        <v>587</v>
      </c>
      <c r="F7" s="22">
        <v>1367.3600000000001</v>
      </c>
      <c r="G7" s="8" t="s">
        <v>588</v>
      </c>
    </row>
    <row r="8" spans="3:22" x14ac:dyDescent="0.25">
      <c r="C8" s="8" t="s">
        <v>589</v>
      </c>
      <c r="D8" s="8" t="s">
        <v>590</v>
      </c>
      <c r="E8" s="8" t="s">
        <v>591</v>
      </c>
      <c r="F8" s="22">
        <v>3196.24</v>
      </c>
      <c r="G8" s="8" t="s">
        <v>592</v>
      </c>
    </row>
    <row r="9" spans="3:22" x14ac:dyDescent="0.25">
      <c r="C9" s="8" t="s">
        <v>593</v>
      </c>
      <c r="D9" s="8" t="s">
        <v>594</v>
      </c>
      <c r="E9" s="8" t="s">
        <v>595</v>
      </c>
      <c r="F9" s="22">
        <v>7052.93</v>
      </c>
      <c r="G9" s="8" t="s">
        <v>596</v>
      </c>
    </row>
    <row r="10" spans="3:22" x14ac:dyDescent="0.25">
      <c r="C10" s="8" t="s">
        <v>597</v>
      </c>
      <c r="D10" s="8" t="s">
        <v>598</v>
      </c>
      <c r="E10" s="8" t="s">
        <v>599</v>
      </c>
      <c r="F10" s="22">
        <v>1445.17</v>
      </c>
      <c r="G10" s="8" t="s">
        <v>600</v>
      </c>
    </row>
    <row r="11" spans="3:22" x14ac:dyDescent="0.25">
      <c r="C11" s="8" t="s">
        <v>601</v>
      </c>
      <c r="D11" s="8" t="s">
        <v>602</v>
      </c>
      <c r="E11" s="8" t="s">
        <v>603</v>
      </c>
      <c r="F11" s="22">
        <v>7812.45</v>
      </c>
      <c r="G11" s="8" t="s">
        <v>604</v>
      </c>
    </row>
    <row r="12" spans="3:22" x14ac:dyDescent="0.25">
      <c r="C12" s="8" t="s">
        <v>605</v>
      </c>
      <c r="D12" s="8" t="s">
        <v>606</v>
      </c>
      <c r="E12" s="8" t="s">
        <v>607</v>
      </c>
      <c r="F12" s="22">
        <v>6225.46</v>
      </c>
      <c r="G12" s="8" t="s">
        <v>608</v>
      </c>
    </row>
    <row r="13" spans="3:22" x14ac:dyDescent="0.25">
      <c r="C13" s="8" t="s">
        <v>609</v>
      </c>
      <c r="D13" s="8" t="s">
        <v>610</v>
      </c>
      <c r="E13" s="8" t="s">
        <v>611</v>
      </c>
      <c r="F13" s="22">
        <v>4749.54</v>
      </c>
      <c r="G13" s="8" t="s">
        <v>612</v>
      </c>
    </row>
    <row r="14" spans="3:22" x14ac:dyDescent="0.25">
      <c r="C14" s="8" t="s">
        <v>613</v>
      </c>
      <c r="D14" s="8" t="s">
        <v>614</v>
      </c>
      <c r="E14" s="8" t="s">
        <v>615</v>
      </c>
      <c r="F14" s="22">
        <v>6943.25</v>
      </c>
      <c r="G14" s="8" t="s">
        <v>616</v>
      </c>
    </row>
    <row r="15" spans="3:22" x14ac:dyDescent="0.25">
      <c r="C15" s="8" t="s">
        <v>617</v>
      </c>
      <c r="D15" s="8" t="s">
        <v>618</v>
      </c>
      <c r="E15" s="8" t="s">
        <v>619</v>
      </c>
      <c r="F15" s="22">
        <v>8101.48</v>
      </c>
      <c r="G15" s="8" t="s">
        <v>620</v>
      </c>
    </row>
    <row r="16" spans="3:22" x14ac:dyDescent="0.25">
      <c r="C16" s="8" t="s">
        <v>621</v>
      </c>
      <c r="D16" s="8" t="s">
        <v>622</v>
      </c>
      <c r="E16" s="8" t="s">
        <v>623</v>
      </c>
      <c r="F16" s="22">
        <v>6647.43</v>
      </c>
      <c r="G16" s="8" t="s">
        <v>624</v>
      </c>
    </row>
    <row r="17" spans="3:7" x14ac:dyDescent="0.25">
      <c r="C17" s="8" t="s">
        <v>625</v>
      </c>
      <c r="D17" s="8" t="s">
        <v>278</v>
      </c>
      <c r="E17" s="8" t="s">
        <v>626</v>
      </c>
      <c r="F17" s="22">
        <v>5095.71</v>
      </c>
      <c r="G17" s="8" t="s">
        <v>627</v>
      </c>
    </row>
    <row r="18" spans="3:7" x14ac:dyDescent="0.25">
      <c r="C18" s="8" t="s">
        <v>628</v>
      </c>
      <c r="D18" s="8" t="s">
        <v>629</v>
      </c>
      <c r="E18" s="8" t="s">
        <v>630</v>
      </c>
      <c r="F18" s="22">
        <v>6533.32</v>
      </c>
      <c r="G18" s="8" t="s">
        <v>631</v>
      </c>
    </row>
    <row r="19" spans="3:7" x14ac:dyDescent="0.25">
      <c r="C19" s="8" t="s">
        <v>632</v>
      </c>
      <c r="D19" s="8" t="s">
        <v>633</v>
      </c>
      <c r="E19" s="8" t="s">
        <v>634</v>
      </c>
      <c r="F19" s="22">
        <v>4790.2800000000007</v>
      </c>
      <c r="G19" s="8" t="s">
        <v>635</v>
      </c>
    </row>
    <row r="20" spans="3:7" x14ac:dyDescent="0.25">
      <c r="C20" s="8" t="s">
        <v>636</v>
      </c>
      <c r="D20" s="8" t="s">
        <v>637</v>
      </c>
      <c r="E20" s="8" t="s">
        <v>638</v>
      </c>
      <c r="F20" s="22">
        <v>3611.78</v>
      </c>
      <c r="G20" s="8" t="s">
        <v>639</v>
      </c>
    </row>
    <row r="21" spans="3:7" x14ac:dyDescent="0.25">
      <c r="C21" s="8" t="s">
        <v>640</v>
      </c>
      <c r="D21" s="8" t="s">
        <v>641</v>
      </c>
      <c r="E21" s="8" t="s">
        <v>642</v>
      </c>
      <c r="F21" s="22">
        <v>1844.15</v>
      </c>
      <c r="G21" s="8" t="s">
        <v>643</v>
      </c>
    </row>
    <row r="22" spans="3:7" x14ac:dyDescent="0.25">
      <c r="C22" s="8" t="s">
        <v>644</v>
      </c>
      <c r="D22" s="8" t="s">
        <v>645</v>
      </c>
      <c r="E22" s="8" t="s">
        <v>646</v>
      </c>
      <c r="F22" s="22">
        <v>8910.2000000000007</v>
      </c>
      <c r="G22" s="8" t="s">
        <v>647</v>
      </c>
    </row>
    <row r="23" spans="3:7" x14ac:dyDescent="0.25">
      <c r="C23" s="8" t="s">
        <v>648</v>
      </c>
      <c r="D23" s="8" t="s">
        <v>649</v>
      </c>
      <c r="E23" s="8" t="s">
        <v>650</v>
      </c>
      <c r="F23" s="22">
        <v>7341.38</v>
      </c>
      <c r="G23" s="8" t="s">
        <v>651</v>
      </c>
    </row>
    <row r="24" spans="3:7" x14ac:dyDescent="0.25">
      <c r="C24" s="8" t="s">
        <v>652</v>
      </c>
      <c r="D24" s="8" t="s">
        <v>653</v>
      </c>
      <c r="E24" s="8" t="s">
        <v>654</v>
      </c>
      <c r="F24" s="22">
        <v>7140.8</v>
      </c>
      <c r="G24" s="8" t="s">
        <v>655</v>
      </c>
    </row>
    <row r="25" spans="3:7" x14ac:dyDescent="0.25">
      <c r="C25" s="8" t="s">
        <v>656</v>
      </c>
      <c r="D25" s="8" t="s">
        <v>618</v>
      </c>
      <c r="E25" s="8" t="s">
        <v>657</v>
      </c>
      <c r="F25" s="22">
        <v>5994.36</v>
      </c>
      <c r="G25" s="8" t="s">
        <v>658</v>
      </c>
    </row>
    <row r="26" spans="3:7" x14ac:dyDescent="0.25">
      <c r="C26" s="8" t="s">
        <v>659</v>
      </c>
      <c r="D26" s="8" t="s">
        <v>660</v>
      </c>
      <c r="E26" s="8" t="s">
        <v>661</v>
      </c>
      <c r="F26" s="22">
        <v>1556.44</v>
      </c>
      <c r="G26" s="8" t="s">
        <v>662</v>
      </c>
    </row>
    <row r="27" spans="3:7" x14ac:dyDescent="0.25">
      <c r="C27" s="8" t="s">
        <v>663</v>
      </c>
      <c r="D27" s="8" t="s">
        <v>606</v>
      </c>
      <c r="E27" s="8" t="s">
        <v>664</v>
      </c>
      <c r="F27" s="22">
        <v>6420.78</v>
      </c>
      <c r="G27" s="8" t="s">
        <v>665</v>
      </c>
    </row>
    <row r="28" spans="3:7" x14ac:dyDescent="0.25">
      <c r="C28" s="8" t="s">
        <v>666</v>
      </c>
      <c r="D28" s="8" t="s">
        <v>667</v>
      </c>
      <c r="E28" s="8" t="s">
        <v>668</v>
      </c>
      <c r="F28" s="22">
        <v>1989.48</v>
      </c>
      <c r="G28" s="8" t="s">
        <v>669</v>
      </c>
    </row>
    <row r="29" spans="3:7" x14ac:dyDescent="0.25">
      <c r="C29" s="8" t="s">
        <v>670</v>
      </c>
      <c r="D29" s="8" t="s">
        <v>671</v>
      </c>
      <c r="E29" s="8" t="s">
        <v>672</v>
      </c>
      <c r="F29" s="22">
        <v>8832.36</v>
      </c>
      <c r="G29" s="8" t="s">
        <v>673</v>
      </c>
    </row>
    <row r="30" spans="3:7" x14ac:dyDescent="0.25">
      <c r="C30" s="8" t="s">
        <v>674</v>
      </c>
      <c r="D30" s="8" t="s">
        <v>675</v>
      </c>
      <c r="E30" s="8" t="s">
        <v>676</v>
      </c>
      <c r="F30" s="22">
        <v>1623.9299999999998</v>
      </c>
      <c r="G30" s="8" t="s">
        <v>677</v>
      </c>
    </row>
    <row r="31" spans="3:7" x14ac:dyDescent="0.25">
      <c r="C31" s="8" t="s">
        <v>678</v>
      </c>
      <c r="D31" s="8" t="s">
        <v>679</v>
      </c>
      <c r="E31" s="8" t="s">
        <v>680</v>
      </c>
      <c r="F31" s="22">
        <v>7312.21</v>
      </c>
      <c r="G31" s="8" t="s">
        <v>681</v>
      </c>
    </row>
    <row r="32" spans="3:7" x14ac:dyDescent="0.25">
      <c r="C32" s="8" t="s">
        <v>682</v>
      </c>
      <c r="D32" s="8" t="s">
        <v>683</v>
      </c>
      <c r="E32" s="8" t="s">
        <v>684</v>
      </c>
      <c r="F32" s="22">
        <v>7792.32</v>
      </c>
      <c r="G32" s="8" t="s">
        <v>685</v>
      </c>
    </row>
    <row r="33" spans="3:7" x14ac:dyDescent="0.25">
      <c r="C33" s="8" t="s">
        <v>686</v>
      </c>
      <c r="D33" s="8" t="s">
        <v>687</v>
      </c>
      <c r="E33" s="8" t="s">
        <v>688</v>
      </c>
      <c r="F33" s="22">
        <v>4898.3999999999996</v>
      </c>
      <c r="G33" s="8" t="s">
        <v>689</v>
      </c>
    </row>
    <row r="34" spans="3:7" x14ac:dyDescent="0.25">
      <c r="C34" s="8" t="s">
        <v>690</v>
      </c>
      <c r="D34" s="8" t="s">
        <v>691</v>
      </c>
      <c r="E34" s="8" t="s">
        <v>692</v>
      </c>
      <c r="F34" s="22">
        <v>1810.45</v>
      </c>
      <c r="G34" s="8" t="s">
        <v>693</v>
      </c>
    </row>
    <row r="35" spans="3:7" x14ac:dyDescent="0.25">
      <c r="C35" s="8" t="s">
        <v>694</v>
      </c>
      <c r="D35" s="8" t="s">
        <v>695</v>
      </c>
      <c r="E35" s="8" t="s">
        <v>696</v>
      </c>
      <c r="F35" s="22">
        <v>2813.8199999999997</v>
      </c>
      <c r="G35" s="8" t="s">
        <v>697</v>
      </c>
    </row>
    <row r="36" spans="3:7" x14ac:dyDescent="0.25">
      <c r="C36" s="8" t="s">
        <v>698</v>
      </c>
      <c r="D36" s="8" t="s">
        <v>699</v>
      </c>
      <c r="E36" s="8" t="s">
        <v>700</v>
      </c>
      <c r="F36" s="22">
        <v>1135.83</v>
      </c>
      <c r="G36" s="8" t="s">
        <v>701</v>
      </c>
    </row>
    <row r="37" spans="3:7" x14ac:dyDescent="0.25">
      <c r="C37" s="8" t="s">
        <v>702</v>
      </c>
      <c r="D37" s="8" t="s">
        <v>699</v>
      </c>
      <c r="E37" s="8" t="s">
        <v>700</v>
      </c>
      <c r="F37" s="22">
        <v>6875.03</v>
      </c>
      <c r="G37" s="8" t="s">
        <v>701</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tabColor rgb="FF0000FF"/>
  </sheetPr>
  <dimension ref="A1:V37"/>
  <sheetViews>
    <sheetView workbookViewId="0">
      <selection activeCell="F5" sqref="F5"/>
    </sheetView>
  </sheetViews>
  <sheetFormatPr defaultColWidth="9.140625" defaultRowHeight="15" x14ac:dyDescent="0.25"/>
  <cols>
    <col min="1" max="1" width="7.7109375" customWidth="1"/>
    <col min="2" max="2" width="3" customWidth="1"/>
    <col min="3" max="3" width="15.85546875" bestFit="1" customWidth="1"/>
    <col min="4" max="4" width="10.140625" bestFit="1" customWidth="1"/>
    <col min="5" max="5" width="10.5703125" bestFit="1" customWidth="1"/>
    <col min="6" max="6" width="9.85546875" bestFit="1" customWidth="1"/>
    <col min="7" max="7" width="17.5703125" bestFit="1" customWidth="1"/>
    <col min="18" max="18" width="16.42578125" bestFit="1" customWidth="1"/>
    <col min="19" max="19" width="8.42578125" bestFit="1" customWidth="1"/>
    <col min="20" max="20" width="13.5703125" bestFit="1" customWidth="1"/>
    <col min="21" max="21" width="9.85546875" bestFit="1" customWidth="1"/>
    <col min="22" max="22" width="16.85546875" bestFit="1" customWidth="1"/>
  </cols>
  <sheetData>
    <row r="1" spans="1:22" x14ac:dyDescent="0.25">
      <c r="F1" s="433" t="str">
        <f>MATCH(F3,$C$3:$G$3,0)&amp;" column ==&gt;&gt;"</f>
        <v>4 column ==&gt;&gt;</v>
      </c>
    </row>
    <row r="2" spans="1:22" ht="56.25" customHeight="1" x14ac:dyDescent="0.25">
      <c r="C2">
        <v>1</v>
      </c>
      <c r="D2">
        <v>2</v>
      </c>
      <c r="E2">
        <v>3</v>
      </c>
      <c r="F2" s="434"/>
      <c r="G2">
        <v>5</v>
      </c>
    </row>
    <row r="3" spans="1:22" x14ac:dyDescent="0.25">
      <c r="C3" s="167" t="s">
        <v>569</v>
      </c>
      <c r="D3" s="167" t="s">
        <v>570</v>
      </c>
      <c r="E3" s="167" t="s">
        <v>571</v>
      </c>
      <c r="F3" s="167" t="s">
        <v>90</v>
      </c>
      <c r="G3" s="167" t="s">
        <v>572</v>
      </c>
      <c r="R3" s="8" t="str">
        <f ca="1">"1258-"&amp;LEFT(S3,2)&amp;LEFT(T3,2)&amp;"-"&amp;INT(RAND()*8000+1001)</f>
        <v>1258-DaDo-6873</v>
      </c>
      <c r="S3" s="8" t="s">
        <v>574</v>
      </c>
      <c r="T3" s="8" t="s">
        <v>575</v>
      </c>
      <c r="U3" s="22">
        <f ca="1">1000+ROUND(RAND()*8000,2)</f>
        <v>1258.21</v>
      </c>
      <c r="V3" s="8" t="str">
        <f>LEFT(S3,2)&amp;LEFT(T3,2)&amp;"@gmail.com"</f>
        <v>DaDo@gmail.com</v>
      </c>
    </row>
    <row r="4" spans="1:22" x14ac:dyDescent="0.25">
      <c r="B4">
        <v>1</v>
      </c>
      <c r="C4" s="8" t="s">
        <v>576</v>
      </c>
      <c r="D4" s="8" t="s">
        <v>574</v>
      </c>
      <c r="E4" s="8" t="s">
        <v>575</v>
      </c>
      <c r="F4" s="9">
        <v>4191.5599999999995</v>
      </c>
      <c r="G4" s="8" t="s">
        <v>577</v>
      </c>
    </row>
    <row r="5" spans="1:22" x14ac:dyDescent="0.25">
      <c r="A5" t="s">
        <v>703</v>
      </c>
      <c r="C5" s="78" t="s">
        <v>573</v>
      </c>
      <c r="D5" s="78" t="s">
        <v>578</v>
      </c>
      <c r="E5" s="78" t="s">
        <v>579</v>
      </c>
      <c r="F5" s="173">
        <v>3676.61</v>
      </c>
      <c r="G5" s="78" t="s">
        <v>580</v>
      </c>
    </row>
    <row r="6" spans="1:22" x14ac:dyDescent="0.25">
      <c r="B6">
        <v>3</v>
      </c>
      <c r="C6" s="8" t="s">
        <v>581</v>
      </c>
      <c r="D6" s="8" t="s">
        <v>582</v>
      </c>
      <c r="E6" s="8" t="s">
        <v>583</v>
      </c>
      <c r="F6" s="9">
        <v>7350.44</v>
      </c>
      <c r="G6" s="8" t="s">
        <v>584</v>
      </c>
    </row>
    <row r="7" spans="1:22" x14ac:dyDescent="0.25">
      <c r="B7">
        <v>4</v>
      </c>
      <c r="C7" s="8" t="s">
        <v>585</v>
      </c>
      <c r="D7" s="8" t="s">
        <v>586</v>
      </c>
      <c r="E7" s="8" t="s">
        <v>587</v>
      </c>
      <c r="F7" s="9">
        <v>1367.3600000000001</v>
      </c>
      <c r="G7" s="8" t="s">
        <v>588</v>
      </c>
    </row>
    <row r="8" spans="1:22" x14ac:dyDescent="0.25">
      <c r="B8">
        <v>5</v>
      </c>
      <c r="C8" s="8" t="s">
        <v>589</v>
      </c>
      <c r="D8" s="8" t="s">
        <v>590</v>
      </c>
      <c r="E8" s="8" t="s">
        <v>591</v>
      </c>
      <c r="F8" s="9">
        <v>3196.24</v>
      </c>
      <c r="G8" s="8" t="s">
        <v>592</v>
      </c>
    </row>
    <row r="9" spans="1:22" x14ac:dyDescent="0.25">
      <c r="B9">
        <v>6</v>
      </c>
      <c r="C9" s="8" t="s">
        <v>593</v>
      </c>
      <c r="D9" s="8" t="s">
        <v>594</v>
      </c>
      <c r="E9" s="8" t="s">
        <v>595</v>
      </c>
      <c r="F9" s="9">
        <v>7052.93</v>
      </c>
      <c r="G9" s="8" t="s">
        <v>596</v>
      </c>
    </row>
    <row r="10" spans="1:22" x14ac:dyDescent="0.25">
      <c r="B10">
        <v>7</v>
      </c>
      <c r="C10" s="8" t="s">
        <v>597</v>
      </c>
      <c r="D10" s="8" t="s">
        <v>598</v>
      </c>
      <c r="E10" s="8" t="s">
        <v>599</v>
      </c>
      <c r="F10" s="9">
        <v>1445.17</v>
      </c>
      <c r="G10" s="8" t="s">
        <v>600</v>
      </c>
    </row>
    <row r="11" spans="1:22" x14ac:dyDescent="0.25">
      <c r="B11">
        <v>8</v>
      </c>
      <c r="C11" s="8" t="s">
        <v>601</v>
      </c>
      <c r="D11" s="8" t="s">
        <v>602</v>
      </c>
      <c r="E11" s="8" t="s">
        <v>603</v>
      </c>
      <c r="F11" s="9">
        <v>7812.45</v>
      </c>
      <c r="G11" s="8" t="s">
        <v>604</v>
      </c>
    </row>
    <row r="12" spans="1:22" x14ac:dyDescent="0.25">
      <c r="B12">
        <v>9</v>
      </c>
      <c r="C12" s="8" t="s">
        <v>605</v>
      </c>
      <c r="D12" s="8" t="s">
        <v>606</v>
      </c>
      <c r="E12" s="8" t="s">
        <v>607</v>
      </c>
      <c r="F12" s="9">
        <v>6225.46</v>
      </c>
      <c r="G12" s="8" t="s">
        <v>608</v>
      </c>
    </row>
    <row r="13" spans="1:22" x14ac:dyDescent="0.25">
      <c r="B13">
        <v>10</v>
      </c>
      <c r="C13" s="8" t="s">
        <v>609</v>
      </c>
      <c r="D13" s="8" t="s">
        <v>610</v>
      </c>
      <c r="E13" s="8" t="s">
        <v>611</v>
      </c>
      <c r="F13" s="9">
        <v>4749.54</v>
      </c>
      <c r="G13" s="8" t="s">
        <v>612</v>
      </c>
    </row>
    <row r="14" spans="1:22" x14ac:dyDescent="0.25">
      <c r="B14">
        <v>11</v>
      </c>
      <c r="C14" s="8" t="s">
        <v>613</v>
      </c>
      <c r="D14" s="8" t="s">
        <v>614</v>
      </c>
      <c r="E14" s="8" t="s">
        <v>615</v>
      </c>
      <c r="F14" s="9">
        <v>6943.25</v>
      </c>
      <c r="G14" s="8" t="s">
        <v>616</v>
      </c>
    </row>
    <row r="15" spans="1:22" x14ac:dyDescent="0.25">
      <c r="B15">
        <v>12</v>
      </c>
      <c r="C15" s="8" t="s">
        <v>617</v>
      </c>
      <c r="D15" s="8" t="s">
        <v>618</v>
      </c>
      <c r="E15" s="8" t="s">
        <v>619</v>
      </c>
      <c r="F15" s="9">
        <v>8101.48</v>
      </c>
      <c r="G15" s="8" t="s">
        <v>620</v>
      </c>
    </row>
    <row r="16" spans="1:22" x14ac:dyDescent="0.25">
      <c r="B16">
        <v>13</v>
      </c>
      <c r="C16" s="8" t="s">
        <v>621</v>
      </c>
      <c r="D16" s="8" t="s">
        <v>622</v>
      </c>
      <c r="E16" s="8" t="s">
        <v>623</v>
      </c>
      <c r="F16" s="9">
        <v>6647.43</v>
      </c>
      <c r="G16" s="8" t="s">
        <v>624</v>
      </c>
    </row>
    <row r="17" spans="1:7" x14ac:dyDescent="0.25">
      <c r="B17">
        <v>14</v>
      </c>
      <c r="C17" s="8" t="s">
        <v>625</v>
      </c>
      <c r="D17" s="8" t="s">
        <v>278</v>
      </c>
      <c r="E17" s="8" t="s">
        <v>626</v>
      </c>
      <c r="F17" s="9">
        <v>5095.71</v>
      </c>
      <c r="G17" s="8" t="s">
        <v>627</v>
      </c>
    </row>
    <row r="18" spans="1:7" x14ac:dyDescent="0.25">
      <c r="B18">
        <v>15</v>
      </c>
      <c r="C18" s="8" t="s">
        <v>628</v>
      </c>
      <c r="D18" s="8" t="s">
        <v>629</v>
      </c>
      <c r="E18" s="8" t="s">
        <v>630</v>
      </c>
      <c r="F18" s="22">
        <v>6533.32</v>
      </c>
      <c r="G18" s="8" t="s">
        <v>631</v>
      </c>
    </row>
    <row r="19" spans="1:7" x14ac:dyDescent="0.25">
      <c r="B19">
        <v>16</v>
      </c>
      <c r="C19" s="8" t="s">
        <v>632</v>
      </c>
      <c r="D19" s="8" t="s">
        <v>633</v>
      </c>
      <c r="E19" s="8" t="s">
        <v>634</v>
      </c>
      <c r="F19" s="22">
        <v>4790.2800000000007</v>
      </c>
      <c r="G19" s="8" t="s">
        <v>635</v>
      </c>
    </row>
    <row r="20" spans="1:7" x14ac:dyDescent="0.25">
      <c r="B20">
        <v>17</v>
      </c>
      <c r="C20" s="8" t="s">
        <v>636</v>
      </c>
      <c r="D20" s="8" t="s">
        <v>637</v>
      </c>
      <c r="E20" s="8" t="s">
        <v>638</v>
      </c>
      <c r="F20" s="22">
        <v>3611.78</v>
      </c>
      <c r="G20" s="8" t="s">
        <v>639</v>
      </c>
    </row>
    <row r="21" spans="1:7" x14ac:dyDescent="0.25">
      <c r="B21">
        <v>18</v>
      </c>
      <c r="C21" s="8" t="s">
        <v>640</v>
      </c>
      <c r="D21" s="8" t="s">
        <v>641</v>
      </c>
      <c r="E21" s="8" t="s">
        <v>642</v>
      </c>
      <c r="F21" s="22">
        <v>1844.15</v>
      </c>
      <c r="G21" s="8" t="s">
        <v>643</v>
      </c>
    </row>
    <row r="22" spans="1:7" x14ac:dyDescent="0.25">
      <c r="B22">
        <v>19</v>
      </c>
      <c r="C22" s="8" t="s">
        <v>644</v>
      </c>
      <c r="D22" s="8" t="s">
        <v>645</v>
      </c>
      <c r="E22" s="8" t="s">
        <v>646</v>
      </c>
      <c r="F22" s="22">
        <v>8910.2000000000007</v>
      </c>
      <c r="G22" s="8" t="s">
        <v>647</v>
      </c>
    </row>
    <row r="23" spans="1:7" x14ac:dyDescent="0.25">
      <c r="B23">
        <v>20</v>
      </c>
      <c r="C23" s="8" t="s">
        <v>648</v>
      </c>
      <c r="D23" s="8" t="s">
        <v>649</v>
      </c>
      <c r="E23" s="8" t="s">
        <v>650</v>
      </c>
      <c r="F23" s="22">
        <v>7341.38</v>
      </c>
      <c r="G23" s="8" t="s">
        <v>651</v>
      </c>
    </row>
    <row r="24" spans="1:7" x14ac:dyDescent="0.25">
      <c r="B24">
        <v>21</v>
      </c>
      <c r="C24" s="8" t="s">
        <v>652</v>
      </c>
      <c r="D24" s="8" t="s">
        <v>653</v>
      </c>
      <c r="E24" s="8" t="s">
        <v>654</v>
      </c>
      <c r="F24" s="22">
        <v>7140.8</v>
      </c>
      <c r="G24" s="8" t="s">
        <v>655</v>
      </c>
    </row>
    <row r="25" spans="1:7" x14ac:dyDescent="0.25">
      <c r="B25">
        <v>22</v>
      </c>
      <c r="C25" s="8" t="s">
        <v>656</v>
      </c>
      <c r="D25" s="8" t="s">
        <v>618</v>
      </c>
      <c r="E25" s="8" t="s">
        <v>657</v>
      </c>
      <c r="F25" s="22">
        <v>5994.36</v>
      </c>
      <c r="G25" s="8" t="s">
        <v>658</v>
      </c>
    </row>
    <row r="26" spans="1:7" x14ac:dyDescent="0.25">
      <c r="B26">
        <v>23</v>
      </c>
      <c r="C26" s="8" t="s">
        <v>659</v>
      </c>
      <c r="D26" s="8" t="s">
        <v>660</v>
      </c>
      <c r="E26" s="8" t="s">
        <v>661</v>
      </c>
      <c r="F26" s="22">
        <v>1556.44</v>
      </c>
      <c r="G26" s="8" t="s">
        <v>662</v>
      </c>
    </row>
    <row r="27" spans="1:7" x14ac:dyDescent="0.25">
      <c r="B27">
        <v>24</v>
      </c>
      <c r="C27" s="8" t="s">
        <v>663</v>
      </c>
      <c r="D27" s="8" t="s">
        <v>606</v>
      </c>
      <c r="E27" s="8" t="s">
        <v>664</v>
      </c>
      <c r="F27" s="22">
        <v>6420.78</v>
      </c>
      <c r="G27" s="8" t="s">
        <v>665</v>
      </c>
    </row>
    <row r="28" spans="1:7" x14ac:dyDescent="0.25">
      <c r="B28">
        <v>25</v>
      </c>
      <c r="C28" s="8" t="s">
        <v>666</v>
      </c>
      <c r="D28" s="8" t="s">
        <v>667</v>
      </c>
      <c r="E28" s="8" t="s">
        <v>668</v>
      </c>
      <c r="F28" s="22">
        <v>1989.48</v>
      </c>
      <c r="G28" s="8" t="s">
        <v>669</v>
      </c>
    </row>
    <row r="29" spans="1:7" x14ac:dyDescent="0.25">
      <c r="B29">
        <v>26</v>
      </c>
      <c r="C29" s="8" t="s">
        <v>670</v>
      </c>
      <c r="D29" s="8" t="s">
        <v>671</v>
      </c>
      <c r="E29" s="8" t="s">
        <v>672</v>
      </c>
      <c r="F29" s="22">
        <v>8832.36</v>
      </c>
      <c r="G29" s="8" t="s">
        <v>673</v>
      </c>
    </row>
    <row r="30" spans="1:7" x14ac:dyDescent="0.25">
      <c r="B30">
        <v>27</v>
      </c>
      <c r="C30" s="8" t="s">
        <v>674</v>
      </c>
      <c r="D30" s="8" t="s">
        <v>675</v>
      </c>
      <c r="E30" s="8" t="s">
        <v>676</v>
      </c>
      <c r="F30" s="22">
        <v>1623.9299999999998</v>
      </c>
      <c r="G30" s="8" t="s">
        <v>677</v>
      </c>
    </row>
    <row r="31" spans="1:7" x14ac:dyDescent="0.25">
      <c r="B31">
        <v>28</v>
      </c>
      <c r="C31" s="8" t="s">
        <v>678</v>
      </c>
      <c r="D31" s="8" t="s">
        <v>679</v>
      </c>
      <c r="E31" s="8" t="s">
        <v>680</v>
      </c>
      <c r="F31" s="22">
        <v>7312.21</v>
      </c>
      <c r="G31" s="8" t="s">
        <v>681</v>
      </c>
    </row>
    <row r="32" spans="1:7" x14ac:dyDescent="0.25">
      <c r="A32">
        <v>29</v>
      </c>
      <c r="C32" s="8" t="s">
        <v>682</v>
      </c>
      <c r="D32" s="8" t="s">
        <v>683</v>
      </c>
      <c r="E32" s="8" t="s">
        <v>684</v>
      </c>
      <c r="F32" s="22">
        <v>7792.32</v>
      </c>
      <c r="G32" s="8" t="s">
        <v>685</v>
      </c>
    </row>
    <row r="33" spans="1:7" x14ac:dyDescent="0.25">
      <c r="A33">
        <v>30</v>
      </c>
      <c r="C33" s="8" t="s">
        <v>686</v>
      </c>
      <c r="D33" s="8" t="s">
        <v>687</v>
      </c>
      <c r="E33" s="8" t="s">
        <v>688</v>
      </c>
      <c r="F33" s="22">
        <v>4898.3999999999996</v>
      </c>
      <c r="G33" s="8" t="s">
        <v>689</v>
      </c>
    </row>
    <row r="34" spans="1:7" x14ac:dyDescent="0.25">
      <c r="A34">
        <v>31</v>
      </c>
      <c r="C34" s="8" t="s">
        <v>690</v>
      </c>
      <c r="D34" s="8" t="s">
        <v>691</v>
      </c>
      <c r="E34" s="8" t="s">
        <v>692</v>
      </c>
      <c r="F34" s="22">
        <v>1810.45</v>
      </c>
      <c r="G34" s="8" t="s">
        <v>693</v>
      </c>
    </row>
    <row r="35" spans="1:7" x14ac:dyDescent="0.25">
      <c r="A35">
        <v>32</v>
      </c>
      <c r="C35" s="8" t="s">
        <v>694</v>
      </c>
      <c r="D35" s="8" t="s">
        <v>695</v>
      </c>
      <c r="E35" s="8" t="s">
        <v>696</v>
      </c>
      <c r="F35" s="22">
        <v>2813.8199999999997</v>
      </c>
      <c r="G35" s="8" t="s">
        <v>697</v>
      </c>
    </row>
    <row r="36" spans="1:7" x14ac:dyDescent="0.25">
      <c r="A36">
        <v>33</v>
      </c>
      <c r="C36" s="8" t="s">
        <v>698</v>
      </c>
      <c r="D36" s="8" t="s">
        <v>699</v>
      </c>
      <c r="E36" s="8" t="s">
        <v>700</v>
      </c>
      <c r="F36" s="22">
        <v>1135.83</v>
      </c>
      <c r="G36" s="8" t="s">
        <v>701</v>
      </c>
    </row>
    <row r="37" spans="1:7" x14ac:dyDescent="0.25">
      <c r="A37">
        <v>34</v>
      </c>
      <c r="C37" s="8" t="s">
        <v>702</v>
      </c>
      <c r="D37" s="8" t="s">
        <v>699</v>
      </c>
      <c r="E37" s="8" t="s">
        <v>700</v>
      </c>
      <c r="F37" s="22">
        <v>6875.03</v>
      </c>
      <c r="G37" s="8" t="s">
        <v>701</v>
      </c>
    </row>
  </sheetData>
  <mergeCells count="1">
    <mergeCell ref="F1:F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0000FF"/>
  </sheetPr>
  <dimension ref="A1:N47"/>
  <sheetViews>
    <sheetView workbookViewId="0">
      <selection activeCell="D2" sqref="D2"/>
    </sheetView>
  </sheetViews>
  <sheetFormatPr defaultRowHeight="15" x14ac:dyDescent="0.25"/>
  <cols>
    <col min="1" max="1" width="26.140625" bestFit="1" customWidth="1"/>
    <col min="2" max="2" width="4.28515625" customWidth="1"/>
    <col min="3" max="3" width="26.140625" bestFit="1" customWidth="1"/>
    <col min="4" max="4" width="14.140625" customWidth="1"/>
    <col min="5" max="5" width="1.140625" customWidth="1"/>
  </cols>
  <sheetData>
    <row r="1" spans="1:14" x14ac:dyDescent="0.25">
      <c r="A1" s="14" t="s">
        <v>704</v>
      </c>
      <c r="C1" s="14" t="s">
        <v>705</v>
      </c>
      <c r="D1" s="14" t="s">
        <v>706</v>
      </c>
      <c r="N1" t="str">
        <f ca="1">TRIM(RIGHT(A2,LEN(A2)-5))&amp;" "&amp;INDEX({"Inc.","Com.","Bus."},INT(RAND()*3+1))</f>
        <v>ntina Compiseno Inc. Inc.</v>
      </c>
    </row>
    <row r="2" spans="1:14" x14ac:dyDescent="0.25">
      <c r="A2" s="174" t="s">
        <v>707</v>
      </c>
      <c r="C2" s="174" t="s">
        <v>707</v>
      </c>
      <c r="D2" s="10"/>
      <c r="F2" t="s">
        <v>709</v>
      </c>
    </row>
    <row r="3" spans="1:14" x14ac:dyDescent="0.25">
      <c r="A3" s="174" t="s">
        <v>710</v>
      </c>
      <c r="C3" s="174" t="s">
        <v>710</v>
      </c>
      <c r="D3" s="10"/>
    </row>
    <row r="4" spans="1:14" x14ac:dyDescent="0.25">
      <c r="A4" s="174" t="s">
        <v>712</v>
      </c>
      <c r="C4" s="174" t="s">
        <v>708</v>
      </c>
      <c r="D4" s="10"/>
    </row>
    <row r="5" spans="1:14" x14ac:dyDescent="0.25">
      <c r="A5" s="174" t="s">
        <v>714</v>
      </c>
      <c r="C5" s="174" t="s">
        <v>714</v>
      </c>
      <c r="D5" s="10"/>
    </row>
    <row r="6" spans="1:14" x14ac:dyDescent="0.25">
      <c r="A6" s="174" t="s">
        <v>716</v>
      </c>
      <c r="C6" s="174" t="s">
        <v>716</v>
      </c>
      <c r="D6" s="10"/>
    </row>
    <row r="7" spans="1:14" x14ac:dyDescent="0.25">
      <c r="A7" s="174" t="s">
        <v>718</v>
      </c>
      <c r="C7" s="174" t="s">
        <v>718</v>
      </c>
      <c r="D7" s="10"/>
    </row>
    <row r="8" spans="1:14" x14ac:dyDescent="0.25">
      <c r="A8" s="174" t="s">
        <v>720</v>
      </c>
      <c r="C8" s="174" t="s">
        <v>720</v>
      </c>
      <c r="D8" s="10"/>
    </row>
    <row r="9" spans="1:14" x14ac:dyDescent="0.25">
      <c r="A9" s="174" t="s">
        <v>722</v>
      </c>
      <c r="C9" s="174" t="s">
        <v>711</v>
      </c>
      <c r="D9" s="10"/>
    </row>
    <row r="10" spans="1:14" x14ac:dyDescent="0.25">
      <c r="A10" s="174" t="s">
        <v>721</v>
      </c>
      <c r="C10" s="174" t="s">
        <v>721</v>
      </c>
      <c r="D10" s="10"/>
    </row>
    <row r="11" spans="1:14" x14ac:dyDescent="0.25">
      <c r="A11" s="174" t="s">
        <v>719</v>
      </c>
      <c r="C11" s="174" t="s">
        <v>719</v>
      </c>
      <c r="D11" s="10"/>
    </row>
    <row r="12" spans="1:14" x14ac:dyDescent="0.25">
      <c r="A12" s="174" t="s">
        <v>717</v>
      </c>
      <c r="C12" s="174" t="s">
        <v>717</v>
      </c>
      <c r="D12" s="10"/>
    </row>
    <row r="13" spans="1:14" x14ac:dyDescent="0.25">
      <c r="A13" s="174" t="s">
        <v>723</v>
      </c>
      <c r="C13" s="174" t="s">
        <v>713</v>
      </c>
      <c r="D13" s="10"/>
    </row>
    <row r="14" spans="1:14" x14ac:dyDescent="0.25">
      <c r="A14" s="174" t="s">
        <v>715</v>
      </c>
      <c r="C14" s="174" t="s">
        <v>715</v>
      </c>
      <c r="D14" s="10"/>
    </row>
    <row r="15" spans="1:14" x14ac:dyDescent="0.25">
      <c r="A15" s="174" t="s">
        <v>724</v>
      </c>
    </row>
    <row r="16" spans="1:14" x14ac:dyDescent="0.25">
      <c r="A16" s="174" t="s">
        <v>725</v>
      </c>
    </row>
    <row r="17" spans="1:6" x14ac:dyDescent="0.25">
      <c r="A17" s="174" t="s">
        <v>726</v>
      </c>
    </row>
    <row r="18" spans="1:6" x14ac:dyDescent="0.25">
      <c r="A18" s="174" t="s">
        <v>727</v>
      </c>
      <c r="C18" s="14" t="s">
        <v>705</v>
      </c>
      <c r="D18" s="14" t="s">
        <v>706</v>
      </c>
    </row>
    <row r="19" spans="1:6" x14ac:dyDescent="0.25">
      <c r="A19" s="174" t="s">
        <v>728</v>
      </c>
      <c r="C19" s="174" t="s">
        <v>708</v>
      </c>
      <c r="D19" s="10" t="e">
        <f>(MATCH(C19,$A$2:$A$31,0))</f>
        <v>#N/A</v>
      </c>
      <c r="F19" t="s">
        <v>709</v>
      </c>
    </row>
    <row r="20" spans="1:6" x14ac:dyDescent="0.25">
      <c r="A20" s="174" t="s">
        <v>729</v>
      </c>
      <c r="C20" s="174" t="s">
        <v>711</v>
      </c>
      <c r="D20" s="10" t="e">
        <f t="shared" ref="D20:D31" si="0">(MATCH(C20,$A$2:$A$31,0))</f>
        <v>#N/A</v>
      </c>
    </row>
    <row r="21" spans="1:6" x14ac:dyDescent="0.25">
      <c r="A21" s="174" t="s">
        <v>730</v>
      </c>
      <c r="C21" s="174" t="s">
        <v>713</v>
      </c>
      <c r="D21" s="10" t="e">
        <f t="shared" si="0"/>
        <v>#N/A</v>
      </c>
    </row>
    <row r="22" spans="1:6" x14ac:dyDescent="0.25">
      <c r="A22" s="174" t="s">
        <v>731</v>
      </c>
      <c r="C22" s="174" t="s">
        <v>715</v>
      </c>
      <c r="D22" s="10">
        <f t="shared" si="0"/>
        <v>13</v>
      </c>
    </row>
    <row r="23" spans="1:6" x14ac:dyDescent="0.25">
      <c r="A23" s="174" t="s">
        <v>732</v>
      </c>
      <c r="C23" s="174" t="s">
        <v>717</v>
      </c>
      <c r="D23" s="10">
        <f t="shared" si="0"/>
        <v>11</v>
      </c>
    </row>
    <row r="24" spans="1:6" x14ac:dyDescent="0.25">
      <c r="A24" s="174" t="s">
        <v>733</v>
      </c>
      <c r="C24" s="174" t="s">
        <v>719</v>
      </c>
      <c r="D24" s="10">
        <f t="shared" si="0"/>
        <v>10</v>
      </c>
    </row>
    <row r="25" spans="1:6" x14ac:dyDescent="0.25">
      <c r="A25" s="174" t="s">
        <v>734</v>
      </c>
      <c r="C25" s="174" t="s">
        <v>721</v>
      </c>
      <c r="D25" s="10">
        <f t="shared" si="0"/>
        <v>9</v>
      </c>
    </row>
    <row r="26" spans="1:6" x14ac:dyDescent="0.25">
      <c r="A26" s="174" t="s">
        <v>735</v>
      </c>
      <c r="C26" s="174" t="s">
        <v>720</v>
      </c>
      <c r="D26" s="10">
        <f t="shared" si="0"/>
        <v>7</v>
      </c>
    </row>
    <row r="27" spans="1:6" x14ac:dyDescent="0.25">
      <c r="A27" s="174" t="s">
        <v>736</v>
      </c>
      <c r="C27" s="174" t="s">
        <v>718</v>
      </c>
      <c r="D27" s="10">
        <f t="shared" si="0"/>
        <v>6</v>
      </c>
    </row>
    <row r="28" spans="1:6" x14ac:dyDescent="0.25">
      <c r="A28" s="174" t="s">
        <v>737</v>
      </c>
      <c r="C28" s="174" t="s">
        <v>716</v>
      </c>
      <c r="D28" s="10">
        <f t="shared" si="0"/>
        <v>5</v>
      </c>
    </row>
    <row r="29" spans="1:6" x14ac:dyDescent="0.25">
      <c r="A29" s="174" t="s">
        <v>738</v>
      </c>
      <c r="C29" s="174" t="s">
        <v>714</v>
      </c>
      <c r="D29" s="10">
        <f t="shared" si="0"/>
        <v>4</v>
      </c>
    </row>
    <row r="30" spans="1:6" x14ac:dyDescent="0.25">
      <c r="A30" s="174" t="s">
        <v>739</v>
      </c>
      <c r="C30" s="174" t="s">
        <v>710</v>
      </c>
      <c r="D30" s="10">
        <f t="shared" si="0"/>
        <v>2</v>
      </c>
    </row>
    <row r="31" spans="1:6" x14ac:dyDescent="0.25">
      <c r="A31" s="174" t="s">
        <v>740</v>
      </c>
      <c r="C31" s="174" t="s">
        <v>707</v>
      </c>
      <c r="D31" s="10">
        <f t="shared" si="0"/>
        <v>1</v>
      </c>
    </row>
    <row r="32" spans="1:6" x14ac:dyDescent="0.25">
      <c r="A32" s="175"/>
    </row>
    <row r="34" spans="3:6" x14ac:dyDescent="0.25">
      <c r="C34" s="14" t="s">
        <v>705</v>
      </c>
      <c r="D34" s="14" t="s">
        <v>706</v>
      </c>
    </row>
    <row r="35" spans="3:6" x14ac:dyDescent="0.25">
      <c r="C35" s="174" t="s">
        <v>715</v>
      </c>
      <c r="D35" s="10" t="b">
        <f t="shared" ref="D35:D47" si="1">ISNUMBER(MATCH(C35,$A$2:$A$31,0))</f>
        <v>1</v>
      </c>
      <c r="F35" t="s">
        <v>741</v>
      </c>
    </row>
    <row r="36" spans="3:6" x14ac:dyDescent="0.25">
      <c r="C36" s="174" t="s">
        <v>717</v>
      </c>
      <c r="D36" s="10" t="b">
        <f t="shared" si="1"/>
        <v>1</v>
      </c>
    </row>
    <row r="37" spans="3:6" x14ac:dyDescent="0.25">
      <c r="C37" s="174" t="s">
        <v>719</v>
      </c>
      <c r="D37" s="10" t="b">
        <f t="shared" si="1"/>
        <v>1</v>
      </c>
    </row>
    <row r="38" spans="3:6" x14ac:dyDescent="0.25">
      <c r="C38" s="174" t="s">
        <v>721</v>
      </c>
      <c r="D38" s="10" t="b">
        <f t="shared" si="1"/>
        <v>1</v>
      </c>
    </row>
    <row r="39" spans="3:6" x14ac:dyDescent="0.25">
      <c r="C39" s="174" t="s">
        <v>720</v>
      </c>
      <c r="D39" s="10" t="b">
        <f t="shared" si="1"/>
        <v>1</v>
      </c>
    </row>
    <row r="40" spans="3:6" x14ac:dyDescent="0.25">
      <c r="C40" s="174" t="s">
        <v>718</v>
      </c>
      <c r="D40" s="10" t="b">
        <f t="shared" si="1"/>
        <v>1</v>
      </c>
    </row>
    <row r="41" spans="3:6" x14ac:dyDescent="0.25">
      <c r="C41" s="174" t="s">
        <v>716</v>
      </c>
      <c r="D41" s="10" t="b">
        <f t="shared" si="1"/>
        <v>1</v>
      </c>
    </row>
    <row r="42" spans="3:6" x14ac:dyDescent="0.25">
      <c r="C42" s="174" t="s">
        <v>714</v>
      </c>
      <c r="D42" s="10" t="b">
        <f t="shared" si="1"/>
        <v>1</v>
      </c>
    </row>
    <row r="43" spans="3:6" x14ac:dyDescent="0.25">
      <c r="C43" s="174" t="s">
        <v>710</v>
      </c>
      <c r="D43" s="10" t="b">
        <f t="shared" si="1"/>
        <v>1</v>
      </c>
    </row>
    <row r="44" spans="3:6" x14ac:dyDescent="0.25">
      <c r="C44" s="174" t="s">
        <v>707</v>
      </c>
      <c r="D44" s="10" t="b">
        <f t="shared" si="1"/>
        <v>1</v>
      </c>
    </row>
    <row r="45" spans="3:6" x14ac:dyDescent="0.25">
      <c r="C45" s="174" t="s">
        <v>708</v>
      </c>
      <c r="D45" s="10" t="b">
        <f t="shared" si="1"/>
        <v>0</v>
      </c>
    </row>
    <row r="46" spans="3:6" x14ac:dyDescent="0.25">
      <c r="C46" s="174" t="s">
        <v>711</v>
      </c>
      <c r="D46" s="10" t="b">
        <f t="shared" si="1"/>
        <v>0</v>
      </c>
    </row>
    <row r="47" spans="3:6" x14ac:dyDescent="0.25">
      <c r="C47" s="174" t="s">
        <v>713</v>
      </c>
      <c r="D47" s="10" t="b">
        <f t="shared" si="1"/>
        <v>0</v>
      </c>
    </row>
  </sheetData>
  <sortState xmlns:xlrd2="http://schemas.microsoft.com/office/spreadsheetml/2017/richdata2" ref="C2:D14">
    <sortCondition ref="D2"/>
  </sortState>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0000FF"/>
  </sheetPr>
  <dimension ref="A1:N16"/>
  <sheetViews>
    <sheetView zoomScaleNormal="100" workbookViewId="0">
      <selection activeCell="K12" sqref="K12"/>
    </sheetView>
  </sheetViews>
  <sheetFormatPr defaultRowHeight="15" x14ac:dyDescent="0.25"/>
  <cols>
    <col min="1" max="1" width="3.7109375" bestFit="1" customWidth="1"/>
    <col min="2" max="2" width="10.140625" bestFit="1" customWidth="1"/>
    <col min="3" max="3" width="7.28515625" bestFit="1" customWidth="1"/>
    <col min="4" max="4" width="5.140625" bestFit="1" customWidth="1"/>
    <col min="5" max="5" width="7.5703125" bestFit="1" customWidth="1"/>
    <col min="6" max="8" width="5.140625" bestFit="1" customWidth="1"/>
  </cols>
  <sheetData>
    <row r="1" spans="1:14" x14ac:dyDescent="0.25">
      <c r="D1" s="176" t="s">
        <v>742</v>
      </c>
      <c r="E1" s="176"/>
      <c r="F1" s="176"/>
      <c r="G1" s="176"/>
      <c r="H1" s="176"/>
    </row>
    <row r="2" spans="1:14" ht="49.5" customHeight="1" x14ac:dyDescent="0.25">
      <c r="D2" s="177" t="str">
        <f>IF(D3=$C$12,COUNTA($D3:D3)&amp;" column ====&gt;&gt;","")</f>
        <v/>
      </c>
      <c r="E2" s="177" t="str">
        <f>IF(E3=$C$12,COUNTA($D3:E3)&amp;" column ====&gt;&gt;","")</f>
        <v/>
      </c>
      <c r="F2" s="177" t="str">
        <f>IF(F3=$C$12,COUNTA($D3:F3)&amp;" column ====&gt;&gt;","")</f>
        <v/>
      </c>
      <c r="G2" s="177" t="str">
        <f>IF(G3=$C$12,COUNTA($D3:G3)&amp;" column ====&gt;&gt;","")</f>
        <v>4 column ====&gt;&gt;</v>
      </c>
      <c r="H2" s="177" t="str">
        <f>IF(H3=$C$12,COUNTA($D3:H3)&amp;" column ====&gt;&gt;","")</f>
        <v/>
      </c>
    </row>
    <row r="3" spans="1:14" x14ac:dyDescent="0.25">
      <c r="D3" s="178" t="s">
        <v>381</v>
      </c>
      <c r="E3" s="178" t="s">
        <v>382</v>
      </c>
      <c r="F3" s="178" t="s">
        <v>383</v>
      </c>
      <c r="G3" s="178" t="s">
        <v>384</v>
      </c>
      <c r="H3" s="178" t="s">
        <v>385</v>
      </c>
      <c r="J3" s="8"/>
      <c r="K3" s="14" t="s">
        <v>66</v>
      </c>
      <c r="L3" s="14" t="s">
        <v>67</v>
      </c>
      <c r="M3" s="14" t="s">
        <v>68</v>
      </c>
      <c r="N3" s="14" t="s">
        <v>69</v>
      </c>
    </row>
    <row r="4" spans="1:14" ht="39.75" customHeight="1" x14ac:dyDescent="0.25">
      <c r="A4" s="435" t="s">
        <v>37</v>
      </c>
      <c r="B4" t="str">
        <f>IF(MATCH(C$13,$C$4:$C$10,1)=COUNT(C$4:C4),COUNT(C$4:C4)&amp;" row =&gt;","")</f>
        <v/>
      </c>
      <c r="C4" s="5">
        <v>0</v>
      </c>
      <c r="D4" s="79">
        <f t="shared" ref="D4:H10" si="0">(ROW()+COLUMN())/1000</f>
        <v>8.0000000000000002E-3</v>
      </c>
      <c r="E4" s="79">
        <f t="shared" si="0"/>
        <v>8.9999999999999993E-3</v>
      </c>
      <c r="F4" s="79">
        <f t="shared" si="0"/>
        <v>0.01</v>
      </c>
      <c r="G4" s="79">
        <f t="shared" si="0"/>
        <v>1.0999999999999999E-2</v>
      </c>
      <c r="H4" s="79">
        <f t="shared" si="0"/>
        <v>1.2E-2</v>
      </c>
      <c r="J4" s="14" t="s">
        <v>381</v>
      </c>
      <c r="K4" s="8">
        <v>16</v>
      </c>
      <c r="L4" s="8">
        <v>12</v>
      </c>
      <c r="M4" s="8">
        <v>25</v>
      </c>
      <c r="N4" s="8">
        <v>12</v>
      </c>
    </row>
    <row r="5" spans="1:14" x14ac:dyDescent="0.25">
      <c r="A5" s="435"/>
      <c r="B5" t="str">
        <f>IF(MATCH(C$13,$C$4:$C$10,1)=COUNT(C$4:C5),COUNT(C$4:C5)&amp;" row =&gt;","")</f>
        <v/>
      </c>
      <c r="C5" s="5">
        <f>C4+1500</f>
        <v>1500</v>
      </c>
      <c r="D5" s="79">
        <f t="shared" si="0"/>
        <v>8.9999999999999993E-3</v>
      </c>
      <c r="E5" s="79">
        <f t="shared" si="0"/>
        <v>0.01</v>
      </c>
      <c r="F5" s="79">
        <f t="shared" si="0"/>
        <v>1.0999999999999999E-2</v>
      </c>
      <c r="G5" s="79">
        <f t="shared" si="0"/>
        <v>1.2E-2</v>
      </c>
      <c r="H5" s="79">
        <f t="shared" si="0"/>
        <v>1.2999999999999999E-2</v>
      </c>
      <c r="J5" s="14" t="s">
        <v>382</v>
      </c>
      <c r="K5" s="8">
        <v>22</v>
      </c>
      <c r="L5" s="8">
        <v>18</v>
      </c>
      <c r="M5" s="8">
        <v>12</v>
      </c>
      <c r="N5" s="8">
        <v>17</v>
      </c>
    </row>
    <row r="6" spans="1:14" x14ac:dyDescent="0.25">
      <c r="A6" s="435"/>
      <c r="B6" t="str">
        <f>IF(MATCH(C$13,$C$4:$C$10,1)=COUNT(C$4:C6),COUNT(C$4:C6)&amp;" row =&gt;","")</f>
        <v/>
      </c>
      <c r="C6" s="5">
        <f t="shared" ref="C6:C10" si="1">C5+1500</f>
        <v>3000</v>
      </c>
      <c r="D6" s="79">
        <f t="shared" si="0"/>
        <v>0.01</v>
      </c>
      <c r="E6" s="79">
        <f t="shared" si="0"/>
        <v>1.0999999999999999E-2</v>
      </c>
      <c r="F6" s="79">
        <f t="shared" si="0"/>
        <v>1.2E-2</v>
      </c>
      <c r="G6" s="79">
        <f t="shared" si="0"/>
        <v>1.2999999999999999E-2</v>
      </c>
      <c r="H6" s="79">
        <f t="shared" si="0"/>
        <v>1.4E-2</v>
      </c>
      <c r="J6" s="14" t="s">
        <v>383</v>
      </c>
      <c r="K6" s="8">
        <v>24</v>
      </c>
      <c r="L6" s="8">
        <v>16</v>
      </c>
      <c r="M6" s="8">
        <v>25</v>
      </c>
      <c r="N6" s="8">
        <v>16</v>
      </c>
    </row>
    <row r="7" spans="1:14" x14ac:dyDescent="0.25">
      <c r="A7" s="435"/>
      <c r="B7" t="str">
        <f>IF(MATCH(C$13,$C$4:$C$10,1)=COUNT(C$4:C7),COUNT(C$4:C7)&amp;" row =&gt;","")</f>
        <v/>
      </c>
      <c r="C7" s="5">
        <f t="shared" si="1"/>
        <v>4500</v>
      </c>
      <c r="D7" s="79">
        <f t="shared" si="0"/>
        <v>1.0999999999999999E-2</v>
      </c>
      <c r="E7" s="79">
        <f t="shared" si="0"/>
        <v>1.2E-2</v>
      </c>
      <c r="F7" s="79">
        <f t="shared" si="0"/>
        <v>1.2999999999999999E-2</v>
      </c>
      <c r="G7" s="79">
        <f t="shared" si="0"/>
        <v>1.4E-2</v>
      </c>
      <c r="H7" s="79">
        <f t="shared" si="0"/>
        <v>1.4999999999999999E-2</v>
      </c>
      <c r="J7" s="14" t="s">
        <v>384</v>
      </c>
      <c r="K7" s="8">
        <v>25</v>
      </c>
      <c r="L7" s="8">
        <v>19</v>
      </c>
      <c r="M7" s="8">
        <v>11</v>
      </c>
      <c r="N7" s="8">
        <v>24</v>
      </c>
    </row>
    <row r="8" spans="1:14" x14ac:dyDescent="0.25">
      <c r="A8" s="435"/>
      <c r="B8" t="str">
        <f>IF(MATCH(C$13,$C$4:$C$10,1)=COUNT(C$4:C8),COUNT(C$4:C8)&amp;" row =&gt;","")</f>
        <v/>
      </c>
      <c r="C8" s="5">
        <f t="shared" si="1"/>
        <v>6000</v>
      </c>
      <c r="D8" s="79">
        <f t="shared" si="0"/>
        <v>1.2E-2</v>
      </c>
      <c r="E8" s="79">
        <f t="shared" si="0"/>
        <v>1.2999999999999999E-2</v>
      </c>
      <c r="F8" s="79">
        <f t="shared" si="0"/>
        <v>1.4E-2</v>
      </c>
      <c r="G8" s="79">
        <f t="shared" si="0"/>
        <v>1.4999999999999999E-2</v>
      </c>
      <c r="H8" s="79">
        <f t="shared" si="0"/>
        <v>1.6E-2</v>
      </c>
      <c r="J8" s="14" t="s">
        <v>385</v>
      </c>
      <c r="K8" s="8">
        <v>19</v>
      </c>
      <c r="L8" s="8">
        <v>13</v>
      </c>
      <c r="M8" s="8">
        <v>25</v>
      </c>
      <c r="N8" s="8">
        <v>17</v>
      </c>
    </row>
    <row r="9" spans="1:14" x14ac:dyDescent="0.25">
      <c r="A9" s="435"/>
      <c r="B9" t="str">
        <f>IF(MATCH(C$13,$C$4:$C$10,1)=COUNT(C$4:C9),COUNT(C$4:C9)&amp;" row =&gt;","")</f>
        <v>6 row =&gt;</v>
      </c>
      <c r="C9" s="5">
        <f t="shared" si="1"/>
        <v>7500</v>
      </c>
      <c r="D9" s="79">
        <f t="shared" si="0"/>
        <v>1.2999999999999999E-2</v>
      </c>
      <c r="E9" s="79">
        <f t="shared" si="0"/>
        <v>1.4E-2</v>
      </c>
      <c r="F9" s="79">
        <f t="shared" si="0"/>
        <v>1.4999999999999999E-2</v>
      </c>
      <c r="G9" s="79">
        <f t="shared" si="0"/>
        <v>1.6E-2</v>
      </c>
      <c r="H9" s="79">
        <f t="shared" si="0"/>
        <v>1.7000000000000001E-2</v>
      </c>
      <c r="J9" s="14" t="s">
        <v>386</v>
      </c>
      <c r="K9" s="8">
        <v>15</v>
      </c>
      <c r="L9" s="8">
        <v>12</v>
      </c>
      <c r="M9" s="8">
        <v>12</v>
      </c>
      <c r="N9" s="8">
        <v>12</v>
      </c>
    </row>
    <row r="10" spans="1:14" x14ac:dyDescent="0.25">
      <c r="A10" s="435"/>
      <c r="B10" t="str">
        <f>IF(MATCH(C$13,$C$4:$C$10,1)=COUNT(C$4:C10),COUNT(C$4:C10)&amp;" row =&gt;","")</f>
        <v/>
      </c>
      <c r="C10" s="5">
        <f t="shared" si="1"/>
        <v>9000</v>
      </c>
      <c r="D10" s="79">
        <f t="shared" si="0"/>
        <v>1.4E-2</v>
      </c>
      <c r="E10" s="79">
        <f t="shared" si="0"/>
        <v>1.4999999999999999E-2</v>
      </c>
      <c r="F10" s="79">
        <f t="shared" si="0"/>
        <v>1.6E-2</v>
      </c>
      <c r="G10" s="79">
        <f t="shared" si="0"/>
        <v>1.7000000000000001E-2</v>
      </c>
      <c r="H10" s="79">
        <f t="shared" si="0"/>
        <v>1.7999999999999999E-2</v>
      </c>
    </row>
    <row r="11" spans="1:14" x14ac:dyDescent="0.25">
      <c r="J11" s="361" t="s">
        <v>1393</v>
      </c>
    </row>
    <row r="12" spans="1:14" x14ac:dyDescent="0.25">
      <c r="B12" s="8" t="s">
        <v>743</v>
      </c>
      <c r="C12" s="8" t="s">
        <v>384</v>
      </c>
      <c r="E12" s="8" t="s">
        <v>744</v>
      </c>
      <c r="F12" s="10"/>
      <c r="J12" s="53" t="s">
        <v>1394</v>
      </c>
      <c r="K12" s="362"/>
      <c r="L12" s="53" t="s">
        <v>1395</v>
      </c>
      <c r="M12" s="362"/>
    </row>
    <row r="13" spans="1:14" x14ac:dyDescent="0.25">
      <c r="B13" s="8" t="str">
        <f>A4</f>
        <v>Sales</v>
      </c>
      <c r="C13" s="66">
        <v>8000</v>
      </c>
      <c r="E13" s="8" t="s">
        <v>745</v>
      </c>
      <c r="F13" s="10"/>
      <c r="J13" s="117" t="s">
        <v>743</v>
      </c>
      <c r="K13" s="8" t="s">
        <v>383</v>
      </c>
      <c r="L13" s="117" t="s">
        <v>743</v>
      </c>
      <c r="M13" s="8" t="s">
        <v>384</v>
      </c>
    </row>
    <row r="14" spans="1:14" x14ac:dyDescent="0.25">
      <c r="B14" s="8" t="s">
        <v>38</v>
      </c>
      <c r="C14" s="179"/>
      <c r="J14" s="117" t="s">
        <v>221</v>
      </c>
      <c r="K14" s="8" t="s">
        <v>67</v>
      </c>
      <c r="L14" s="117" t="s">
        <v>221</v>
      </c>
      <c r="M14" s="8" t="s">
        <v>68</v>
      </c>
    </row>
    <row r="15" spans="1:14" x14ac:dyDescent="0.25">
      <c r="J15" s="361" t="s">
        <v>1396</v>
      </c>
    </row>
    <row r="16" spans="1:14" x14ac:dyDescent="0.25">
      <c r="B16" t="s">
        <v>746</v>
      </c>
      <c r="C16" s="179">
        <f>VLOOKUP(C13,C4:H10,MATCH(C12,C3:H3,0))</f>
        <v>1.6E-2</v>
      </c>
      <c r="J16" s="8" t="s">
        <v>1038</v>
      </c>
      <c r="K16" s="362"/>
    </row>
  </sheetData>
  <mergeCells count="1">
    <mergeCell ref="A4:A10"/>
  </mergeCells>
  <conditionalFormatting sqref="B4:B10">
    <cfRule type="expression" dxfId="26" priority="1">
      <formula>$C4=LOOKUP($C$13,$C$4:$C$10)</formula>
    </cfRule>
  </conditionalFormatting>
  <conditionalFormatting sqref="D4:H10">
    <cfRule type="expression" dxfId="25" priority="2">
      <formula>AND(LOOKUP($C$13,$C$4:$C$10)=$C4,D$3=$C$12)</formula>
    </cfRule>
    <cfRule type="expression" dxfId="24" priority="3">
      <formula>LOOKUP($C$13,$C$4:$C$10)=$C4</formula>
    </cfRule>
    <cfRule type="expression" dxfId="23" priority="4">
      <formula>D$3=$C$12</formula>
    </cfRule>
  </conditionalFormatting>
  <conditionalFormatting sqref="D2:H2">
    <cfRule type="expression" dxfId="22" priority="5">
      <formula>D$3=$C$12</formula>
    </cfRule>
  </conditionalFormatting>
  <dataValidations count="3">
    <dataValidation type="list" allowBlank="1" showInputMessage="1" showErrorMessage="1" sqref="C12" xr:uid="{00000000-0002-0000-3F00-000000000000}">
      <formula1>$D$3:$H$3</formula1>
    </dataValidation>
    <dataValidation type="list" allowBlank="1" showInputMessage="1" showErrorMessage="1" sqref="K14 M14" xr:uid="{00000000-0002-0000-3F00-000001000000}">
      <formula1>$K$3:$N$3</formula1>
    </dataValidation>
    <dataValidation type="list" allowBlank="1" showInputMessage="1" showErrorMessage="1" sqref="K13 M13" xr:uid="{00000000-0002-0000-3F00-000002000000}">
      <formula1>$J$4:$J$9</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0000FF"/>
  </sheetPr>
  <dimension ref="A1:G10"/>
  <sheetViews>
    <sheetView showGridLines="0" zoomScaleNormal="100" workbookViewId="0">
      <selection activeCell="F3" sqref="F3"/>
    </sheetView>
  </sheetViews>
  <sheetFormatPr defaultColWidth="9.140625" defaultRowHeight="15" x14ac:dyDescent="0.25"/>
  <cols>
    <col min="1" max="1" width="16.28515625" customWidth="1"/>
    <col min="2" max="2" width="7.28515625" bestFit="1" customWidth="1"/>
    <col min="3" max="3" width="16.5703125" bestFit="1" customWidth="1"/>
    <col min="4" max="4" width="1.42578125" customWidth="1"/>
    <col min="5" max="5" width="16.5703125" bestFit="1" customWidth="1"/>
    <col min="6" max="6" width="20.85546875" customWidth="1"/>
    <col min="7" max="7" width="8.140625" customWidth="1"/>
  </cols>
  <sheetData>
    <row r="1" spans="1:7" ht="45" x14ac:dyDescent="0.25">
      <c r="A1" s="180" t="s">
        <v>747</v>
      </c>
      <c r="B1" s="180"/>
      <c r="C1" s="180"/>
      <c r="E1" s="180" t="s">
        <v>748</v>
      </c>
      <c r="F1" s="180"/>
      <c r="G1" s="180"/>
    </row>
    <row r="2" spans="1:7" x14ac:dyDescent="0.25">
      <c r="A2" s="181" t="s">
        <v>302</v>
      </c>
      <c r="B2" s="182" t="s">
        <v>552</v>
      </c>
      <c r="C2" s="182" t="s">
        <v>551</v>
      </c>
      <c r="E2" s="14" t="s">
        <v>551</v>
      </c>
      <c r="F2" s="14" t="s">
        <v>302</v>
      </c>
      <c r="G2" s="14" t="s">
        <v>552</v>
      </c>
    </row>
    <row r="3" spans="1:7" x14ac:dyDescent="0.25">
      <c r="A3" s="11" t="s">
        <v>315</v>
      </c>
      <c r="B3" s="183">
        <v>23</v>
      </c>
      <c r="C3" s="11" t="s">
        <v>749</v>
      </c>
      <c r="E3" s="8" t="s">
        <v>752</v>
      </c>
      <c r="F3" s="168"/>
      <c r="G3" s="23"/>
    </row>
    <row r="4" spans="1:7" x14ac:dyDescent="0.25">
      <c r="A4" s="11" t="s">
        <v>319</v>
      </c>
      <c r="B4" s="183">
        <v>30</v>
      </c>
      <c r="C4" s="11" t="s">
        <v>750</v>
      </c>
    </row>
    <row r="5" spans="1:7" x14ac:dyDescent="0.25">
      <c r="A5" s="11" t="s">
        <v>321</v>
      </c>
      <c r="B5" s="183">
        <v>22</v>
      </c>
      <c r="C5" s="11" t="s">
        <v>751</v>
      </c>
    </row>
    <row r="6" spans="1:7" x14ac:dyDescent="0.25">
      <c r="A6" s="11" t="s">
        <v>311</v>
      </c>
      <c r="B6" s="183">
        <v>25</v>
      </c>
      <c r="C6" s="11" t="s">
        <v>752</v>
      </c>
    </row>
    <row r="7" spans="1:7" x14ac:dyDescent="0.25">
      <c r="A7" s="184" t="s">
        <v>753</v>
      </c>
      <c r="B7" s="183">
        <v>23.5</v>
      </c>
      <c r="C7" s="11" t="s">
        <v>754</v>
      </c>
    </row>
    <row r="8" spans="1:7" ht="30" x14ac:dyDescent="0.25">
      <c r="A8" s="184" t="s">
        <v>755</v>
      </c>
      <c r="B8" s="183">
        <v>45</v>
      </c>
      <c r="C8" s="11" t="s">
        <v>756</v>
      </c>
    </row>
    <row r="9" spans="1:7" ht="3" customHeight="1" x14ac:dyDescent="0.25"/>
    <row r="10" spans="1:7" ht="78" customHeight="1" x14ac:dyDescent="0.25">
      <c r="A10" s="185" t="s">
        <v>757</v>
      </c>
      <c r="C10" s="185" t="s">
        <v>758</v>
      </c>
    </row>
  </sheetData>
  <dataValidations count="1">
    <dataValidation type="list" allowBlank="1" showInputMessage="1" showErrorMessage="1" sqref="E3" xr:uid="{00000000-0002-0000-4000-000000000000}">
      <formula1>$C$3:$C$8</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tabColor rgb="FF0000FF"/>
  </sheetPr>
  <dimension ref="A1:M26"/>
  <sheetViews>
    <sheetView zoomScaleNormal="100" workbookViewId="0">
      <selection activeCell="I14" sqref="I14"/>
    </sheetView>
  </sheetViews>
  <sheetFormatPr defaultColWidth="9.140625" defaultRowHeight="15" x14ac:dyDescent="0.25"/>
  <cols>
    <col min="1" max="1" width="10" customWidth="1"/>
    <col min="2" max="5" width="8.140625" customWidth="1"/>
    <col min="6" max="6" width="7.85546875" bestFit="1" customWidth="1"/>
    <col min="7" max="7" width="10.42578125" customWidth="1"/>
    <col min="9" max="9" width="12.140625" customWidth="1"/>
    <col min="11" max="11" width="13.7109375" bestFit="1" customWidth="1"/>
  </cols>
  <sheetData>
    <row r="1" spans="1:12" x14ac:dyDescent="0.25">
      <c r="A1" s="186" t="s">
        <v>759</v>
      </c>
      <c r="B1" s="186"/>
      <c r="C1" s="186"/>
      <c r="D1" s="186"/>
      <c r="E1" s="186"/>
      <c r="F1" s="186"/>
      <c r="G1" s="186"/>
      <c r="I1" s="8"/>
      <c r="J1" s="363" t="s">
        <v>66</v>
      </c>
      <c r="K1" s="363" t="s">
        <v>67</v>
      </c>
      <c r="L1" s="363" t="s">
        <v>68</v>
      </c>
    </row>
    <row r="2" spans="1:12" ht="45" x14ac:dyDescent="0.25">
      <c r="A2" s="187" t="s">
        <v>760</v>
      </c>
      <c r="B2" s="18" t="s">
        <v>761</v>
      </c>
      <c r="C2" s="18" t="s">
        <v>762</v>
      </c>
      <c r="D2" s="18" t="s">
        <v>763</v>
      </c>
      <c r="E2" s="18" t="s">
        <v>764</v>
      </c>
      <c r="F2" s="188" t="s">
        <v>765</v>
      </c>
      <c r="G2" s="189" t="s">
        <v>766</v>
      </c>
      <c r="I2" s="363" t="s">
        <v>1397</v>
      </c>
      <c r="J2" s="8">
        <v>40</v>
      </c>
      <c r="K2" s="8">
        <v>44</v>
      </c>
      <c r="L2" s="8">
        <v>73</v>
      </c>
    </row>
    <row r="3" spans="1:12" x14ac:dyDescent="0.25">
      <c r="A3" s="18" t="s">
        <v>767</v>
      </c>
      <c r="B3" s="22">
        <v>47.629999999999995</v>
      </c>
      <c r="C3" s="22">
        <v>58.769999999999996</v>
      </c>
      <c r="D3" s="22">
        <v>59.760000000000005</v>
      </c>
      <c r="E3" s="22">
        <v>42</v>
      </c>
      <c r="F3" s="23">
        <f t="shared" ref="F3:F14" si="0">MIN(B3:E3)</f>
        <v>42</v>
      </c>
      <c r="G3" s="10"/>
      <c r="I3" s="363" t="s">
        <v>1398</v>
      </c>
      <c r="J3" s="8">
        <v>42</v>
      </c>
      <c r="K3" s="8">
        <v>20</v>
      </c>
      <c r="L3" s="8">
        <v>51</v>
      </c>
    </row>
    <row r="4" spans="1:12" x14ac:dyDescent="0.25">
      <c r="A4" s="18" t="s">
        <v>768</v>
      </c>
      <c r="B4" s="22">
        <v>48.36</v>
      </c>
      <c r="C4" s="22">
        <v>38.1</v>
      </c>
      <c r="D4" s="22">
        <v>52.94</v>
      </c>
      <c r="E4" s="22">
        <v>55.81</v>
      </c>
      <c r="F4" s="23">
        <f t="shared" si="0"/>
        <v>38.1</v>
      </c>
      <c r="G4" s="10"/>
      <c r="I4" s="363" t="s">
        <v>1399</v>
      </c>
      <c r="J4" s="8">
        <v>65</v>
      </c>
      <c r="K4" s="8">
        <v>11</v>
      </c>
      <c r="L4" s="8">
        <v>56</v>
      </c>
    </row>
    <row r="5" spans="1:12" x14ac:dyDescent="0.25">
      <c r="A5" s="18" t="s">
        <v>769</v>
      </c>
      <c r="B5" s="22">
        <v>43.61</v>
      </c>
      <c r="C5" s="22">
        <v>32.11</v>
      </c>
      <c r="D5" s="22">
        <v>42.37</v>
      </c>
      <c r="E5" s="22">
        <v>59.739999999999995</v>
      </c>
      <c r="F5" s="23">
        <f t="shared" si="0"/>
        <v>32.11</v>
      </c>
      <c r="G5" s="10"/>
      <c r="I5" s="363" t="s">
        <v>1400</v>
      </c>
      <c r="J5" s="8">
        <v>20</v>
      </c>
      <c r="K5" s="8">
        <v>48</v>
      </c>
      <c r="L5" s="8">
        <v>30</v>
      </c>
    </row>
    <row r="6" spans="1:12" x14ac:dyDescent="0.25">
      <c r="A6" s="18" t="s">
        <v>770</v>
      </c>
      <c r="B6" s="22">
        <v>47.06</v>
      </c>
      <c r="C6" s="22">
        <v>43.89</v>
      </c>
      <c r="D6" s="22">
        <v>49.22</v>
      </c>
      <c r="E6" s="22">
        <v>33.67</v>
      </c>
      <c r="F6" s="23">
        <f t="shared" si="0"/>
        <v>33.67</v>
      </c>
      <c r="G6" s="10"/>
      <c r="I6" s="363" t="s">
        <v>1401</v>
      </c>
      <c r="J6" s="8">
        <v>20</v>
      </c>
      <c r="K6" s="8">
        <v>40</v>
      </c>
      <c r="L6" s="8">
        <v>12</v>
      </c>
    </row>
    <row r="7" spans="1:12" x14ac:dyDescent="0.25">
      <c r="A7" s="18" t="s">
        <v>771</v>
      </c>
      <c r="B7" s="22">
        <v>37.869999999999997</v>
      </c>
      <c r="C7" s="22">
        <v>58.75</v>
      </c>
      <c r="D7" s="22">
        <v>31.58</v>
      </c>
      <c r="E7" s="22">
        <v>45.230000000000004</v>
      </c>
      <c r="F7" s="23">
        <f t="shared" si="0"/>
        <v>31.58</v>
      </c>
      <c r="G7" s="10"/>
      <c r="I7" s="363" t="s">
        <v>1402</v>
      </c>
      <c r="J7" s="8">
        <v>42</v>
      </c>
      <c r="K7" s="8">
        <v>41</v>
      </c>
      <c r="L7" s="8">
        <v>66</v>
      </c>
    </row>
    <row r="8" spans="1:12" x14ac:dyDescent="0.25">
      <c r="A8" s="18" t="s">
        <v>772</v>
      </c>
      <c r="B8" s="22">
        <v>46.93</v>
      </c>
      <c r="C8" s="22">
        <v>59.379999999999995</v>
      </c>
      <c r="D8" s="22">
        <v>49.61</v>
      </c>
      <c r="E8" s="22">
        <v>57.81</v>
      </c>
      <c r="F8" s="23">
        <f t="shared" si="0"/>
        <v>46.93</v>
      </c>
      <c r="G8" s="10"/>
      <c r="I8" s="363" t="s">
        <v>1403</v>
      </c>
      <c r="J8" s="8">
        <v>18</v>
      </c>
      <c r="K8" s="8">
        <v>29</v>
      </c>
      <c r="L8" s="8">
        <v>34</v>
      </c>
    </row>
    <row r="9" spans="1:12" x14ac:dyDescent="0.25">
      <c r="A9" s="18" t="s">
        <v>773</v>
      </c>
      <c r="B9" s="22">
        <v>59.379999999999995</v>
      </c>
      <c r="C9" s="22">
        <v>41.13</v>
      </c>
      <c r="D9" s="22">
        <v>38.880000000000003</v>
      </c>
      <c r="E9" s="22">
        <v>36.130000000000003</v>
      </c>
      <c r="F9" s="23">
        <f t="shared" si="0"/>
        <v>36.130000000000003</v>
      </c>
      <c r="G9" s="10"/>
    </row>
    <row r="10" spans="1:12" x14ac:dyDescent="0.25">
      <c r="A10" s="18" t="s">
        <v>774</v>
      </c>
      <c r="B10" s="22">
        <v>51.68</v>
      </c>
      <c r="C10" s="22">
        <v>34.04</v>
      </c>
      <c r="D10" s="22">
        <v>42</v>
      </c>
      <c r="E10" s="22">
        <v>40.130000000000003</v>
      </c>
      <c r="F10" s="23">
        <f t="shared" si="0"/>
        <v>34.04</v>
      </c>
      <c r="G10" s="10"/>
      <c r="I10" s="18" t="s">
        <v>1404</v>
      </c>
      <c r="K10" s="18" t="s">
        <v>1405</v>
      </c>
    </row>
    <row r="11" spans="1:12" x14ac:dyDescent="0.25">
      <c r="A11" s="18" t="s">
        <v>775</v>
      </c>
      <c r="B11" s="22">
        <v>34.269999999999996</v>
      </c>
      <c r="C11" s="22">
        <v>49.92</v>
      </c>
      <c r="D11" s="22">
        <v>32.71</v>
      </c>
      <c r="E11" s="22">
        <v>34.53</v>
      </c>
      <c r="F11" s="23">
        <f t="shared" si="0"/>
        <v>32.71</v>
      </c>
      <c r="G11" s="10"/>
      <c r="I11" s="188" t="s">
        <v>1354</v>
      </c>
      <c r="K11" s="188" t="s">
        <v>1354</v>
      </c>
    </row>
    <row r="12" spans="1:12" x14ac:dyDescent="0.25">
      <c r="A12" s="18" t="s">
        <v>776</v>
      </c>
      <c r="B12" s="22">
        <v>48.97</v>
      </c>
      <c r="C12" s="22">
        <v>34.909999999999997</v>
      </c>
      <c r="D12" s="22">
        <v>57.230000000000004</v>
      </c>
      <c r="E12" s="22">
        <v>58.44</v>
      </c>
      <c r="F12" s="23">
        <f t="shared" si="0"/>
        <v>34.909999999999997</v>
      </c>
      <c r="G12" s="10"/>
      <c r="I12" s="8" t="s">
        <v>1400</v>
      </c>
      <c r="K12" s="8" t="s">
        <v>66</v>
      </c>
    </row>
    <row r="13" spans="1:12" x14ac:dyDescent="0.25">
      <c r="A13" s="18" t="s">
        <v>777</v>
      </c>
      <c r="B13" s="22">
        <v>48.9</v>
      </c>
      <c r="C13" s="22">
        <v>42.95</v>
      </c>
      <c r="D13" s="22">
        <v>43.42</v>
      </c>
      <c r="E13" s="22">
        <v>53.83</v>
      </c>
      <c r="F13" s="23">
        <f t="shared" si="0"/>
        <v>42.95</v>
      </c>
      <c r="G13" s="10"/>
      <c r="I13" s="188" t="s">
        <v>76</v>
      </c>
      <c r="K13" s="188" t="s">
        <v>76</v>
      </c>
    </row>
    <row r="14" spans="1:12" x14ac:dyDescent="0.25">
      <c r="A14" s="18" t="s">
        <v>778</v>
      </c>
      <c r="B14" s="22">
        <v>46.120000000000005</v>
      </c>
      <c r="C14" s="22">
        <v>40.21</v>
      </c>
      <c r="D14" s="22">
        <v>58.03</v>
      </c>
      <c r="E14" s="22">
        <v>57.6</v>
      </c>
      <c r="F14" s="23">
        <f t="shared" si="0"/>
        <v>40.21</v>
      </c>
      <c r="G14" s="10"/>
      <c r="I14" s="10"/>
      <c r="K14" s="10"/>
    </row>
    <row r="16" spans="1:12" x14ac:dyDescent="0.25">
      <c r="I16" t="s">
        <v>1406</v>
      </c>
    </row>
    <row r="17" spans="9:13" x14ac:dyDescent="0.25">
      <c r="I17" t="s">
        <v>1407</v>
      </c>
    </row>
    <row r="19" spans="9:13" x14ac:dyDescent="0.25">
      <c r="I19" s="363" t="s">
        <v>1397</v>
      </c>
      <c r="J19" s="8">
        <v>40</v>
      </c>
      <c r="L19" s="363" t="s">
        <v>1400</v>
      </c>
      <c r="M19" s="8">
        <v>20</v>
      </c>
    </row>
    <row r="20" spans="9:13" x14ac:dyDescent="0.25">
      <c r="I20" s="363" t="s">
        <v>1398</v>
      </c>
      <c r="J20" s="8">
        <v>42</v>
      </c>
      <c r="L20" s="363" t="s">
        <v>1401</v>
      </c>
      <c r="M20" s="8">
        <v>20</v>
      </c>
    </row>
    <row r="21" spans="9:13" x14ac:dyDescent="0.25">
      <c r="I21" s="363" t="s">
        <v>1399</v>
      </c>
      <c r="J21" s="8">
        <v>65</v>
      </c>
      <c r="L21" s="363" t="s">
        <v>1402</v>
      </c>
      <c r="M21" s="8">
        <v>42</v>
      </c>
    </row>
    <row r="23" spans="9:13" ht="30" x14ac:dyDescent="0.25">
      <c r="I23" s="204" t="s">
        <v>1408</v>
      </c>
      <c r="J23" s="205"/>
      <c r="K23" s="205"/>
      <c r="L23" s="205"/>
      <c r="M23" s="206"/>
    </row>
    <row r="24" spans="9:13" x14ac:dyDescent="0.25">
      <c r="I24" s="364" t="s">
        <v>231</v>
      </c>
      <c r="J24" s="365">
        <v>2</v>
      </c>
    </row>
    <row r="25" spans="9:13" x14ac:dyDescent="0.25">
      <c r="I25" s="5" t="s">
        <v>302</v>
      </c>
      <c r="J25" s="8" t="s">
        <v>1400</v>
      </c>
    </row>
    <row r="26" spans="9:13" x14ac:dyDescent="0.25">
      <c r="I26" s="5" t="s">
        <v>1409</v>
      </c>
      <c r="J26" s="362"/>
    </row>
  </sheetData>
  <dataValidations count="2">
    <dataValidation type="list" allowBlank="1" showInputMessage="1" showErrorMessage="1" sqref="K12" xr:uid="{00000000-0002-0000-4100-000000000000}">
      <formula1>$J$1:$L$1</formula1>
    </dataValidation>
    <dataValidation type="list" allowBlank="1" showInputMessage="1" showErrorMessage="1" sqref="I12" xr:uid="{00000000-0002-0000-4100-000001000000}">
      <formula1>$I$2:$I$8</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tabColor rgb="FF0000FF"/>
  </sheetPr>
  <dimension ref="A1:D9"/>
  <sheetViews>
    <sheetView zoomScale="92" zoomScaleNormal="92" workbookViewId="0"/>
  </sheetViews>
  <sheetFormatPr defaultColWidth="9.140625" defaultRowHeight="15" x14ac:dyDescent="0.25"/>
  <cols>
    <col min="1" max="1" width="10.42578125" customWidth="1"/>
    <col min="2" max="2" width="10" customWidth="1"/>
    <col min="3" max="3" width="13.140625" customWidth="1"/>
    <col min="4" max="4" width="29.140625" bestFit="1" customWidth="1"/>
    <col min="5" max="5" width="6" customWidth="1"/>
    <col min="6" max="6" width="24" customWidth="1"/>
    <col min="7" max="7" width="13.85546875" customWidth="1"/>
  </cols>
  <sheetData>
    <row r="1" spans="1:4" x14ac:dyDescent="0.25">
      <c r="A1" s="8" t="s">
        <v>779</v>
      </c>
      <c r="B1" s="8">
        <v>1.4500000000000001E-2</v>
      </c>
    </row>
    <row r="2" spans="1:4" ht="4.5" customHeight="1" x14ac:dyDescent="0.25"/>
    <row r="3" spans="1:4" ht="30" x14ac:dyDescent="0.25">
      <c r="A3" s="5" t="s">
        <v>465</v>
      </c>
      <c r="B3" s="5" t="s">
        <v>780</v>
      </c>
      <c r="C3" s="6" t="s">
        <v>781</v>
      </c>
      <c r="D3" s="5" t="s">
        <v>782</v>
      </c>
    </row>
    <row r="4" spans="1:4" x14ac:dyDescent="0.25">
      <c r="A4" s="8" t="s">
        <v>3</v>
      </c>
      <c r="B4" s="22">
        <v>127.33</v>
      </c>
      <c r="C4" s="23">
        <f t="shared" ref="C4:C7" si="0">B4*B$1</f>
        <v>1.8462850000000002</v>
      </c>
      <c r="D4" s="22">
        <f>B4-C4</f>
        <v>125.483715</v>
      </c>
    </row>
    <row r="5" spans="1:4" x14ac:dyDescent="0.25">
      <c r="A5" s="8" t="s">
        <v>134</v>
      </c>
      <c r="B5" s="22">
        <v>257.87</v>
      </c>
      <c r="C5" s="23">
        <f t="shared" si="0"/>
        <v>3.7391150000000004</v>
      </c>
      <c r="D5" s="22">
        <f t="shared" ref="D5:D7" si="1">B5-C5</f>
        <v>254.13088500000001</v>
      </c>
    </row>
    <row r="6" spans="1:4" x14ac:dyDescent="0.25">
      <c r="A6" s="8" t="s">
        <v>783</v>
      </c>
      <c r="B6" s="22">
        <v>198.35</v>
      </c>
      <c r="C6" s="23">
        <f t="shared" si="0"/>
        <v>2.8760750000000002</v>
      </c>
      <c r="D6" s="22">
        <f t="shared" si="1"/>
        <v>195.47392500000001</v>
      </c>
    </row>
    <row r="7" spans="1:4" ht="15.75" thickBot="1" x14ac:dyDescent="0.3">
      <c r="A7" s="190" t="s">
        <v>784</v>
      </c>
      <c r="B7" s="191">
        <v>243.19</v>
      </c>
      <c r="C7" s="192">
        <f t="shared" si="0"/>
        <v>3.5262550000000004</v>
      </c>
      <c r="D7" s="191">
        <f t="shared" si="1"/>
        <v>239.66374500000001</v>
      </c>
    </row>
    <row r="8" spans="1:4" ht="16.5" thickTop="1" thickBot="1" x14ac:dyDescent="0.3">
      <c r="A8" s="193" t="s">
        <v>785</v>
      </c>
      <c r="B8" s="194">
        <f>SUM(B4:B7)</f>
        <v>826.74</v>
      </c>
      <c r="C8" s="195">
        <f>SUM(C4:C7)</f>
        <v>11.987730000000001</v>
      </c>
      <c r="D8" s="195">
        <f>SUM(D4:D7)</f>
        <v>814.75226999999995</v>
      </c>
    </row>
    <row r="9" spans="1:4" ht="7.5" customHeight="1" thickTop="1" x14ac:dyDescent="0.25"/>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0000FF"/>
  </sheetPr>
  <dimension ref="A1:G28"/>
  <sheetViews>
    <sheetView zoomScale="92" zoomScaleNormal="92" workbookViewId="0">
      <selection activeCell="C4" sqref="C4"/>
    </sheetView>
  </sheetViews>
  <sheetFormatPr defaultColWidth="9.140625" defaultRowHeight="15" x14ac:dyDescent="0.25"/>
  <cols>
    <col min="1" max="1" width="10.42578125" customWidth="1"/>
    <col min="2" max="2" width="10" customWidth="1"/>
    <col min="3" max="3" width="13.140625" customWidth="1"/>
    <col min="4" max="4" width="29.140625" bestFit="1" customWidth="1"/>
    <col min="5" max="5" width="6" customWidth="1"/>
    <col min="6" max="6" width="24" customWidth="1"/>
    <col min="7" max="7" width="13.85546875" customWidth="1"/>
  </cols>
  <sheetData>
    <row r="1" spans="1:6" x14ac:dyDescent="0.25">
      <c r="A1" s="8" t="s">
        <v>779</v>
      </c>
      <c r="B1" s="8">
        <v>1.4500000000000001E-2</v>
      </c>
    </row>
    <row r="2" spans="1:6" ht="4.5" customHeight="1" x14ac:dyDescent="0.25"/>
    <row r="3" spans="1:6" ht="30" x14ac:dyDescent="0.25">
      <c r="A3" s="5" t="s">
        <v>465</v>
      </c>
      <c r="B3" s="5" t="s">
        <v>780</v>
      </c>
      <c r="C3" s="6" t="s">
        <v>781</v>
      </c>
      <c r="D3" s="5" t="s">
        <v>782</v>
      </c>
    </row>
    <row r="4" spans="1:6" x14ac:dyDescent="0.25">
      <c r="A4" s="8" t="s">
        <v>3</v>
      </c>
      <c r="B4" s="22">
        <v>127.33</v>
      </c>
      <c r="C4" s="23">
        <f t="shared" ref="C4:C7" si="0">B4*B$1</f>
        <v>1.8462850000000002</v>
      </c>
      <c r="D4" s="22">
        <f>B4-C4</f>
        <v>125.483715</v>
      </c>
      <c r="F4" s="30" t="str">
        <f>"Value in "&amp;ADDRESS(ROW(C4),COLUMN(C4),4)&amp;" = "&amp;C4&amp;" is formatted to look like: "&amp;DOLLAR(C4)</f>
        <v>Value in C4 = 1,846285 is formatted to look like: $ 1,85</v>
      </c>
    </row>
    <row r="5" spans="1:6" x14ac:dyDescent="0.25">
      <c r="A5" s="8" t="s">
        <v>134</v>
      </c>
      <c r="B5" s="22">
        <v>257.87</v>
      </c>
      <c r="C5" s="23">
        <f t="shared" si="0"/>
        <v>3.7391150000000004</v>
      </c>
      <c r="D5" s="22">
        <f t="shared" ref="D5:D7" si="1">B5-C5</f>
        <v>254.13088500000001</v>
      </c>
      <c r="F5" s="30" t="str">
        <f t="shared" ref="F5:F7" si="2">"Value in "&amp;ADDRESS(ROW(C5),COLUMN(C5),4)&amp;" = "&amp;C5&amp;" is formatted to look like: "&amp;DOLLAR(C5)</f>
        <v>Value in C5 = 3,739115 is formatted to look like: $ 3,74</v>
      </c>
    </row>
    <row r="6" spans="1:6" x14ac:dyDescent="0.25">
      <c r="A6" s="8" t="s">
        <v>783</v>
      </c>
      <c r="B6" s="22">
        <v>198.35</v>
      </c>
      <c r="C6" s="23">
        <f t="shared" si="0"/>
        <v>2.8760750000000002</v>
      </c>
      <c r="D6" s="22">
        <f t="shared" si="1"/>
        <v>195.47392500000001</v>
      </c>
      <c r="F6" s="30" t="str">
        <f t="shared" si="2"/>
        <v>Value in C6 = 2,876075 is formatted to look like: $ 2,88</v>
      </c>
    </row>
    <row r="7" spans="1:6" ht="15.75" thickBot="1" x14ac:dyDescent="0.3">
      <c r="A7" s="190" t="s">
        <v>784</v>
      </c>
      <c r="B7" s="191">
        <v>243.19</v>
      </c>
      <c r="C7" s="192">
        <f t="shared" si="0"/>
        <v>3.5262550000000004</v>
      </c>
      <c r="D7" s="191">
        <f t="shared" si="1"/>
        <v>239.66374500000001</v>
      </c>
      <c r="F7" s="30" t="str">
        <f t="shared" si="2"/>
        <v>Value in C7 = 3,526255 is formatted to look like: $ 3,53</v>
      </c>
    </row>
    <row r="8" spans="1:6" ht="61.5" thickTop="1" thickBot="1" x14ac:dyDescent="0.3">
      <c r="A8" s="193" t="s">
        <v>785</v>
      </c>
      <c r="B8" s="194">
        <f>SUM(B4:B7)</f>
        <v>826.74</v>
      </c>
      <c r="C8" s="195">
        <f>SUM(C4:C7)</f>
        <v>11.987730000000001</v>
      </c>
      <c r="D8" s="195">
        <f>SUM(D4:D7)</f>
        <v>814.75226999999995</v>
      </c>
      <c r="F8" s="196" t="s">
        <v>786</v>
      </c>
    </row>
    <row r="9" spans="1:6" ht="7.5" customHeight="1" thickTop="1" x14ac:dyDescent="0.25"/>
    <row r="10" spans="1:6" x14ac:dyDescent="0.25">
      <c r="C10" t="str">
        <f t="array" ref="C10">DOLLAR(C4)&amp;" + "&amp;DOLLAR(C5)&amp;" + "&amp;DOLLAR(C6)&amp;" + "&amp;DOLLAR(C7)&amp;" = "&amp;DOLLAR(SUM(ROUND(C4:C7,2)))&amp;". NOT "&amp;DOLLAR(C8)&amp;"."</f>
        <v>$ 1,85 + $ 3,74 + $ 2,88 + $ 3,53 = $ 12,00. NOT $ 11,99.</v>
      </c>
    </row>
    <row r="12" spans="1:6" x14ac:dyDescent="0.25">
      <c r="C12" s="23">
        <f>ROUND(B4*B$1,2)</f>
        <v>1.85</v>
      </c>
      <c r="D12" s="22">
        <f>B4-C12</f>
        <v>125.48</v>
      </c>
      <c r="E12" s="197"/>
      <c r="F12" s="30" t="str">
        <f>"Value in "&amp;ADDRESS(ROW(C12),COLUMN(C12),4)&amp;" = "&amp;C12&amp;" and is formatted to look like: "&amp;DOLLAR(C12)</f>
        <v>Value in C12 = 1,85 and is formatted to look like: $ 1,85</v>
      </c>
    </row>
    <row r="13" spans="1:6" x14ac:dyDescent="0.25">
      <c r="C13" s="23">
        <f t="shared" ref="C13:C14" si="3">ROUND(B5*B$1,2)</f>
        <v>3.74</v>
      </c>
      <c r="D13" s="22">
        <f t="shared" ref="D13:D15" si="4">B5-C13</f>
        <v>254.13</v>
      </c>
      <c r="E13" s="197"/>
      <c r="F13" s="30" t="str">
        <f t="shared" ref="F13:F15" si="5">"Value in "&amp;ADDRESS(ROW(C13),COLUMN(C13),4)&amp;" = "&amp;C13&amp;" and is formatted to look like: "&amp;DOLLAR(C13)</f>
        <v>Value in C13 = 3,74 and is formatted to look like: $ 3,74</v>
      </c>
    </row>
    <row r="14" spans="1:6" x14ac:dyDescent="0.25">
      <c r="C14" s="23">
        <f t="shared" si="3"/>
        <v>2.88</v>
      </c>
      <c r="D14" s="22">
        <f t="shared" si="4"/>
        <v>195.47</v>
      </c>
      <c r="E14" s="197"/>
      <c r="F14" s="30" t="str">
        <f t="shared" si="5"/>
        <v>Value in C14 = 2,88 and is formatted to look like: $ 2,88</v>
      </c>
    </row>
    <row r="15" spans="1:6" ht="15.75" thickBot="1" x14ac:dyDescent="0.3">
      <c r="C15" s="192">
        <f>ROUND(B7*B$1,2)</f>
        <v>3.53</v>
      </c>
      <c r="D15" s="191">
        <f t="shared" si="4"/>
        <v>239.66</v>
      </c>
      <c r="E15" s="197"/>
      <c r="F15" s="30" t="str">
        <f t="shared" si="5"/>
        <v>Value in C15 = 3,53 and is formatted to look like: $ 3,53</v>
      </c>
    </row>
    <row r="16" spans="1:6" ht="16.5" thickTop="1" thickBot="1" x14ac:dyDescent="0.3">
      <c r="A16" s="198"/>
      <c r="B16" s="199" t="s">
        <v>787</v>
      </c>
      <c r="C16" s="200">
        <f>SUM(C12:C15)</f>
        <v>11.999999999999998</v>
      </c>
      <c r="D16" s="195">
        <f>SUM(D12:D15)</f>
        <v>814.74</v>
      </c>
    </row>
    <row r="17" spans="1:7" ht="15.75" thickTop="1" x14ac:dyDescent="0.25"/>
    <row r="18" spans="1:7" x14ac:dyDescent="0.25">
      <c r="A18" s="150" t="s">
        <v>788</v>
      </c>
      <c r="B18" s="201"/>
      <c r="C18" s="201"/>
      <c r="D18" s="201"/>
      <c r="E18" s="201"/>
      <c r="F18" s="201"/>
      <c r="G18" s="202"/>
    </row>
    <row r="19" spans="1:7" x14ac:dyDescent="0.25">
      <c r="A19" s="45" t="s">
        <v>789</v>
      </c>
      <c r="B19" s="203"/>
      <c r="C19" s="203"/>
      <c r="D19" s="203"/>
      <c r="E19" s="203"/>
      <c r="F19" s="203"/>
      <c r="G19" s="46"/>
    </row>
    <row r="20" spans="1:7" ht="45" x14ac:dyDescent="0.25">
      <c r="A20" s="45" t="s">
        <v>790</v>
      </c>
      <c r="B20" s="203"/>
      <c r="C20" s="203"/>
      <c r="D20" s="203"/>
      <c r="E20" s="203"/>
      <c r="F20" s="203"/>
      <c r="G20" s="46"/>
    </row>
    <row r="21" spans="1:7" x14ac:dyDescent="0.25">
      <c r="A21" s="45" t="s">
        <v>791</v>
      </c>
      <c r="B21" s="203"/>
      <c r="C21" s="203"/>
      <c r="D21" s="203"/>
      <c r="E21" s="203"/>
      <c r="F21" s="203"/>
      <c r="G21" s="46"/>
    </row>
    <row r="22" spans="1:7" ht="75" x14ac:dyDescent="0.25">
      <c r="A22" s="204" t="str">
        <f>"Example of how rounding works for a tax calculation =&gt;"&amp;CHAR(10)&amp;DOLLAR(B4)&amp;" * "&amp;B1&amp;" = "&amp;B4*B1&amp;CHAR(10)&amp;" 'position you want to round to' is 2 places to right of decimal (penny)"&amp;CHAR(10)&amp;MID(B4*B1,5,1)&amp;" "&amp;IF(MID(B4*B1,5,1)+0&gt;=5,"&gt;=","&lt;")&amp;" 5 "&amp;CHAR(10)&amp;B4*B1&amp;" becomes "&amp;ROUND(B4*B1,2)</f>
        <v>Example of how rounding works for a tax calculation =&gt;
$ 127,33 * 0,0145 = 1,846285
 'position you want to round to' is 2 places to right of decimal (penny)
6 &gt;= 5 
1,846285 becomes 1,85</v>
      </c>
      <c r="B22" s="205"/>
      <c r="C22" s="205"/>
      <c r="D22" s="205"/>
      <c r="E22" s="205"/>
      <c r="F22" s="205"/>
      <c r="G22" s="206"/>
    </row>
    <row r="25" spans="1:7" ht="45" x14ac:dyDescent="0.25">
      <c r="A25" s="207" t="s">
        <v>792</v>
      </c>
      <c r="B25" s="207" t="s">
        <v>793</v>
      </c>
      <c r="C25" s="207" t="s">
        <v>794</v>
      </c>
      <c r="D25" s="35" t="s">
        <v>795</v>
      </c>
      <c r="E25" s="208" t="s">
        <v>796</v>
      </c>
      <c r="F25" s="209"/>
    </row>
    <row r="26" spans="1:7" ht="30" x14ac:dyDescent="0.25">
      <c r="A26" s="210" t="s">
        <v>797</v>
      </c>
      <c r="B26" s="211">
        <v>12.555</v>
      </c>
      <c r="C26" s="212">
        <f>ROUND(B26,2)</f>
        <v>12.56</v>
      </c>
      <c r="D26" s="8" t="str">
        <f>" Formula in "&amp;ADDRESS(ROW(C26),COLUMN(C26),4)&amp;" "&amp;TextFormula</f>
        <v xml:space="preserve"> Formula in C26 =ROUND(B26;2)</v>
      </c>
      <c r="E26" s="213">
        <v>2</v>
      </c>
      <c r="F26" s="72" t="s">
        <v>798</v>
      </c>
    </row>
    <row r="27" spans="1:7" ht="30" x14ac:dyDescent="0.25">
      <c r="A27" s="210" t="s">
        <v>799</v>
      </c>
      <c r="B27" s="211">
        <v>12.5</v>
      </c>
      <c r="C27" s="212">
        <f>ROUND(B27,0)</f>
        <v>13</v>
      </c>
      <c r="D27" s="8" t="str">
        <f>" Formula in "&amp;ADDRESS(ROW(C27),COLUMN(C27),4)&amp;" "&amp;TextFormula</f>
        <v xml:space="preserve"> Formula in C27 =ROUND(B27;0)</v>
      </c>
      <c r="E27" s="214">
        <v>0</v>
      </c>
      <c r="F27" s="72" t="s">
        <v>800</v>
      </c>
    </row>
    <row r="28" spans="1:7" ht="45" x14ac:dyDescent="0.25">
      <c r="A28" s="210" t="s">
        <v>801</v>
      </c>
      <c r="B28" s="211">
        <v>58900</v>
      </c>
      <c r="C28" s="212">
        <f>ROUND(B28,-3)</f>
        <v>59000</v>
      </c>
      <c r="D28" s="8" t="str">
        <f>" Formula in "&amp;ADDRESS(ROW(C28),COLUMN(C28),4)&amp;" "&amp;TextFormula</f>
        <v xml:space="preserve"> Formula in C28 =ROUND(B28;-3)</v>
      </c>
      <c r="E28" s="214">
        <v>-3</v>
      </c>
      <c r="F28" s="72" t="s">
        <v>802</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tabColor rgb="FF0000FF"/>
  </sheetPr>
  <dimension ref="A1:H116"/>
  <sheetViews>
    <sheetView zoomScale="115" zoomScaleNormal="115" workbookViewId="0">
      <selection activeCell="B2" sqref="B2"/>
    </sheetView>
  </sheetViews>
  <sheetFormatPr defaultRowHeight="15" x14ac:dyDescent="0.25"/>
  <cols>
    <col min="1" max="1" width="10.7109375" bestFit="1" customWidth="1"/>
    <col min="2" max="2" width="11.140625" bestFit="1" customWidth="1"/>
    <col min="3" max="3" width="1.42578125" customWidth="1"/>
    <col min="4" max="4" width="20" customWidth="1"/>
  </cols>
  <sheetData>
    <row r="1" spans="1:7" x14ac:dyDescent="0.25">
      <c r="B1" s="14" t="s">
        <v>803</v>
      </c>
      <c r="D1" s="8" t="s">
        <v>804</v>
      </c>
      <c r="E1" s="8">
        <f>SUM(B5:B13)</f>
        <v>524</v>
      </c>
    </row>
    <row r="2" spans="1:7" x14ac:dyDescent="0.25">
      <c r="B2" s="10"/>
      <c r="D2" s="8" t="s">
        <v>805</v>
      </c>
      <c r="E2" s="8">
        <f>COUNT(B5:B13)</f>
        <v>8</v>
      </c>
    </row>
    <row r="3" spans="1:7" x14ac:dyDescent="0.25">
      <c r="D3" s="72" t="str">
        <f>D1&amp;"/"&amp;D2&amp;" = "&amp;E1&amp;"/"&amp;E2</f>
        <v>SUM/COUNT = 524/8</v>
      </c>
      <c r="E3" s="10">
        <f>E1/E2</f>
        <v>65.5</v>
      </c>
      <c r="G3">
        <f>(B5+B6+B7+B9+B10+B11+B12+B13)/COUNT(B5:B7,B9:B13)</f>
        <v>65.5</v>
      </c>
    </row>
    <row r="4" spans="1:7" x14ac:dyDescent="0.25">
      <c r="A4" s="14" t="s">
        <v>397</v>
      </c>
      <c r="B4" s="14" t="s">
        <v>806</v>
      </c>
    </row>
    <row r="5" spans="1:7" x14ac:dyDescent="0.25">
      <c r="A5" s="8" t="s">
        <v>7</v>
      </c>
      <c r="B5" s="8">
        <v>59</v>
      </c>
    </row>
    <row r="6" spans="1:7" x14ac:dyDescent="0.25">
      <c r="A6" s="8" t="s">
        <v>4</v>
      </c>
      <c r="B6" s="8">
        <v>78</v>
      </c>
    </row>
    <row r="7" spans="1:7" x14ac:dyDescent="0.25">
      <c r="A7" s="8" t="s">
        <v>95</v>
      </c>
      <c r="B7" s="8">
        <v>92</v>
      </c>
    </row>
    <row r="8" spans="1:7" x14ac:dyDescent="0.25">
      <c r="A8" s="8" t="s">
        <v>807</v>
      </c>
      <c r="B8" s="8"/>
    </row>
    <row r="9" spans="1:7" x14ac:dyDescent="0.25">
      <c r="A9" s="8" t="s">
        <v>3</v>
      </c>
      <c r="B9" s="8">
        <v>74</v>
      </c>
    </row>
    <row r="10" spans="1:7" x14ac:dyDescent="0.25">
      <c r="A10" s="8" t="s">
        <v>13</v>
      </c>
      <c r="B10" s="8">
        <v>0</v>
      </c>
    </row>
    <row r="11" spans="1:7" x14ac:dyDescent="0.25">
      <c r="A11" s="8" t="s">
        <v>136</v>
      </c>
      <c r="B11" s="8">
        <v>81</v>
      </c>
    </row>
    <row r="12" spans="1:7" x14ac:dyDescent="0.25">
      <c r="A12" s="8" t="s">
        <v>808</v>
      </c>
      <c r="B12" s="8">
        <v>42</v>
      </c>
    </row>
    <row r="13" spans="1:7" x14ac:dyDescent="0.25">
      <c r="A13" s="8" t="s">
        <v>809</v>
      </c>
      <c r="B13" s="8">
        <v>98</v>
      </c>
    </row>
    <row r="115" spans="4:8" ht="135" x14ac:dyDescent="0.25">
      <c r="D115" s="215" t="s">
        <v>810</v>
      </c>
      <c r="E115" s="215"/>
      <c r="F115" s="215"/>
      <c r="G115" s="215"/>
      <c r="H115" s="215"/>
    </row>
    <row r="116" spans="4:8" ht="409.5" x14ac:dyDescent="0.25">
      <c r="D116" s="216" t="s">
        <v>811</v>
      </c>
      <c r="E116" s="217"/>
      <c r="F116" s="216" t="s">
        <v>812</v>
      </c>
      <c r="H116" s="216" t="s">
        <v>813</v>
      </c>
    </row>
  </sheetData>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tabColor rgb="FF0000FF"/>
  </sheetPr>
  <dimension ref="A1:H116"/>
  <sheetViews>
    <sheetView zoomScaleNormal="100" workbookViewId="0">
      <selection activeCell="A3" sqref="A3"/>
    </sheetView>
  </sheetViews>
  <sheetFormatPr defaultColWidth="9.140625" defaultRowHeight="15" x14ac:dyDescent="0.25"/>
  <cols>
    <col min="1" max="2" width="17.5703125" customWidth="1"/>
    <col min="3" max="3" width="12" customWidth="1"/>
    <col min="4" max="4" width="14.42578125" customWidth="1"/>
    <col min="5" max="5" width="11.140625" customWidth="1"/>
    <col min="6" max="6" width="9.28515625" customWidth="1"/>
  </cols>
  <sheetData>
    <row r="1" spans="1:8" ht="60" x14ac:dyDescent="0.25">
      <c r="A1" s="163" t="s">
        <v>814</v>
      </c>
      <c r="B1" s="163"/>
      <c r="D1" s="14" t="s">
        <v>815</v>
      </c>
    </row>
    <row r="2" spans="1:8" x14ac:dyDescent="0.25">
      <c r="A2" s="14" t="s">
        <v>815</v>
      </c>
      <c r="B2" s="14" t="s">
        <v>803</v>
      </c>
      <c r="D2" s="76"/>
    </row>
    <row r="3" spans="1:8" x14ac:dyDescent="0.25">
      <c r="A3" s="76"/>
      <c r="B3" s="76">
        <f>AVERAGE(A6:A14)</f>
        <v>560466.66666666663</v>
      </c>
    </row>
    <row r="4" spans="1:8" x14ac:dyDescent="0.25">
      <c r="D4" s="14" t="s">
        <v>816</v>
      </c>
    </row>
    <row r="5" spans="1:8" x14ac:dyDescent="0.25">
      <c r="A5" s="14" t="s">
        <v>816</v>
      </c>
      <c r="D5" s="66">
        <v>2000000</v>
      </c>
    </row>
    <row r="6" spans="1:8" x14ac:dyDescent="0.25">
      <c r="A6" s="66">
        <v>2000000</v>
      </c>
      <c r="D6" s="66">
        <v>1000800</v>
      </c>
    </row>
    <row r="7" spans="1:8" ht="15" customHeight="1" x14ac:dyDescent="0.25">
      <c r="A7" s="66">
        <v>1000800</v>
      </c>
      <c r="D7" s="66">
        <v>339500</v>
      </c>
      <c r="E7" s="436" t="str">
        <f>"When there is an even number of numbers, MEDIAN takes the average of the middle two = ("&amp;TEXT(D9,"#,###")&amp;" + "&amp;TEXT(D10,"#,###")&amp;")/2 = "&amp;TEXT(AVERAGE(D9:D10),"#,###")</f>
        <v>When there is an even number of numbers, MEDIAN takes the average of the middle two = (312500, + 301500,)/2 = 307000,</v>
      </c>
      <c r="F7" s="436"/>
      <c r="G7" s="436"/>
      <c r="H7" s="436"/>
    </row>
    <row r="8" spans="1:8" ht="15" customHeight="1" x14ac:dyDescent="0.25">
      <c r="A8" s="66">
        <v>339500</v>
      </c>
      <c r="D8" s="66">
        <v>325000</v>
      </c>
      <c r="E8" s="436"/>
      <c r="F8" s="436"/>
      <c r="G8" s="436"/>
      <c r="H8" s="436"/>
    </row>
    <row r="9" spans="1:8" x14ac:dyDescent="0.25">
      <c r="A9" s="66">
        <v>325000</v>
      </c>
      <c r="D9" s="66">
        <v>312500</v>
      </c>
      <c r="E9" s="436"/>
      <c r="F9" s="436"/>
      <c r="G9" s="436"/>
      <c r="H9" s="436"/>
    </row>
    <row r="10" spans="1:8" x14ac:dyDescent="0.25">
      <c r="A10" s="66">
        <v>312500</v>
      </c>
      <c r="D10" s="164">
        <v>301500</v>
      </c>
      <c r="E10" s="436"/>
      <c r="F10" s="436"/>
      <c r="G10" s="436"/>
      <c r="H10" s="436"/>
    </row>
    <row r="11" spans="1:8" x14ac:dyDescent="0.25">
      <c r="A11" s="66">
        <v>295800</v>
      </c>
      <c r="D11" s="66">
        <v>295800</v>
      </c>
      <c r="E11" s="436"/>
      <c r="F11" s="436"/>
      <c r="G11" s="436"/>
      <c r="H11" s="436"/>
    </row>
    <row r="12" spans="1:8" x14ac:dyDescent="0.25">
      <c r="A12" s="66">
        <v>275000</v>
      </c>
      <c r="D12" s="66">
        <v>275000</v>
      </c>
      <c r="E12" s="436"/>
      <c r="F12" s="436"/>
      <c r="G12" s="436"/>
      <c r="H12" s="436"/>
    </row>
    <row r="13" spans="1:8" x14ac:dyDescent="0.25">
      <c r="A13" s="66">
        <v>250000</v>
      </c>
      <c r="D13" s="66">
        <v>250000</v>
      </c>
    </row>
    <row r="14" spans="1:8" x14ac:dyDescent="0.25">
      <c r="A14" s="66">
        <v>245600</v>
      </c>
      <c r="D14" s="66">
        <v>245600</v>
      </c>
    </row>
    <row r="21" spans="1:1" x14ac:dyDescent="0.25">
      <c r="A21" s="68"/>
    </row>
    <row r="115" spans="2:6" ht="120" x14ac:dyDescent="0.25">
      <c r="B115" s="215" t="s">
        <v>810</v>
      </c>
      <c r="C115" s="215"/>
      <c r="D115" s="215"/>
      <c r="E115" s="215"/>
      <c r="F115" s="215"/>
    </row>
    <row r="116" spans="2:6" ht="409.5" x14ac:dyDescent="0.25">
      <c r="B116" s="216" t="s">
        <v>811</v>
      </c>
      <c r="C116" s="217"/>
      <c r="D116" s="216" t="s">
        <v>812</v>
      </c>
      <c r="F116" s="216" t="s">
        <v>813</v>
      </c>
    </row>
  </sheetData>
  <mergeCells count="1">
    <mergeCell ref="E7:H12"/>
  </mergeCells>
  <conditionalFormatting sqref="A6:A14">
    <cfRule type="expression" dxfId="21" priority="2">
      <formula>A6=MEDIAN($A$6:$A$15)</formula>
    </cfRule>
  </conditionalFormatting>
  <conditionalFormatting sqref="D5:D14">
    <cfRule type="expression" dxfId="20" priority="1">
      <formula>OR(D5=INDEX($D$5:$D$14,MATCH(MEDIAN($D$5:$D$14),$D$5:$D$14,-1)),D5=INDEX($D$5:$D$14,MATCH(MEDIAN($D$5:$D$14),$D$5:$D$14,-1)+1))</formula>
    </cfRule>
  </conditionalFormatting>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9">
    <tabColor rgb="FF0000FF"/>
  </sheetPr>
  <dimension ref="A1:M117"/>
  <sheetViews>
    <sheetView zoomScale="85" zoomScaleNormal="85" workbookViewId="0">
      <selection activeCell="C6" sqref="C6"/>
    </sheetView>
  </sheetViews>
  <sheetFormatPr defaultColWidth="9.140625" defaultRowHeight="15" x14ac:dyDescent="0.25"/>
  <cols>
    <col min="1" max="1" width="20.140625" bestFit="1" customWidth="1"/>
    <col min="2" max="2" width="5.28515625" bestFit="1" customWidth="1"/>
    <col min="3" max="3" width="11.140625" bestFit="1" customWidth="1"/>
    <col min="4" max="4" width="36.28515625" bestFit="1" customWidth="1"/>
    <col min="5" max="5" width="3.28515625" bestFit="1" customWidth="1"/>
  </cols>
  <sheetData>
    <row r="1" spans="1:7" ht="30" x14ac:dyDescent="0.25">
      <c r="A1" s="163" t="str">
        <f>"The AVEARGE for 'Below Par' is"&amp;CHAR(10)&amp;C9&amp;" / "&amp;C9&amp;" = "&amp;C9/C9</f>
        <v>The AVEARGE for 'Below Par' is
42 / 42 = 1</v>
      </c>
      <c r="B1" s="163"/>
      <c r="C1" s="163"/>
    </row>
    <row r="2" spans="1:7" x14ac:dyDescent="0.25">
      <c r="A2" s="14" t="s">
        <v>817</v>
      </c>
    </row>
    <row r="3" spans="1:7" x14ac:dyDescent="0.25">
      <c r="A3" s="10">
        <f>MODE(B13:B112)</f>
        <v>1</v>
      </c>
    </row>
    <row r="5" spans="1:7" x14ac:dyDescent="0.25">
      <c r="A5" s="5" t="s">
        <v>818</v>
      </c>
      <c r="B5" s="5" t="s">
        <v>819</v>
      </c>
      <c r="C5" s="5" t="s">
        <v>820</v>
      </c>
    </row>
    <row r="6" spans="1:7" x14ac:dyDescent="0.25">
      <c r="A6" s="8" t="s">
        <v>524</v>
      </c>
      <c r="B6" s="8">
        <v>4</v>
      </c>
      <c r="C6" s="10">
        <f>COUNTIF($A$13:$A$112,A6)</f>
        <v>13</v>
      </c>
      <c r="G6" t="str">
        <f t="shared" ref="G6:G9" si="0">A6&amp;" = "&amp;B6</f>
        <v>Great = 4</v>
      </c>
    </row>
    <row r="7" spans="1:7" x14ac:dyDescent="0.25">
      <c r="A7" s="8" t="s">
        <v>450</v>
      </c>
      <c r="B7" s="8">
        <v>3</v>
      </c>
      <c r="C7" s="10">
        <f>COUNTIF($A$13:$A$112,A7)</f>
        <v>16</v>
      </c>
      <c r="G7" t="str">
        <f t="shared" si="0"/>
        <v>Good = 3</v>
      </c>
    </row>
    <row r="8" spans="1:7" x14ac:dyDescent="0.25">
      <c r="A8" s="8" t="s">
        <v>523</v>
      </c>
      <c r="B8" s="8">
        <v>2</v>
      </c>
      <c r="C8" s="10">
        <f>COUNTIF($A$13:$A$112,A8)</f>
        <v>29</v>
      </c>
      <c r="G8" t="str">
        <f t="shared" si="0"/>
        <v>OK = 2</v>
      </c>
    </row>
    <row r="9" spans="1:7" x14ac:dyDescent="0.25">
      <c r="A9" s="8" t="s">
        <v>821</v>
      </c>
      <c r="B9" s="8">
        <v>1</v>
      </c>
      <c r="C9" s="10">
        <f>COUNTIF($A$13:$A$112,A9)</f>
        <v>42</v>
      </c>
      <c r="G9" t="str">
        <f t="shared" si="0"/>
        <v>Below Par = 1</v>
      </c>
    </row>
    <row r="11" spans="1:7" ht="45" x14ac:dyDescent="0.25">
      <c r="A11" s="45" t="str">
        <f>COUNT(B13:B112)&amp;" people were asked how they liked the new Soda Pop."</f>
        <v>100 people were asked how they liked the new Soda Pop.</v>
      </c>
      <c r="B11" s="46"/>
    </row>
    <row r="12" spans="1:7" x14ac:dyDescent="0.25">
      <c r="A12" s="6" t="s">
        <v>822</v>
      </c>
      <c r="B12" s="6" t="s">
        <v>819</v>
      </c>
    </row>
    <row r="13" spans="1:7" x14ac:dyDescent="0.25">
      <c r="A13" s="8" t="str">
        <f>INDEX({"Great";"Good";"OK";"Below Par"},MATCH(B13,{4;3;2;1},0))</f>
        <v>Below Par</v>
      </c>
      <c r="B13" s="8">
        <v>1</v>
      </c>
    </row>
    <row r="14" spans="1:7" x14ac:dyDescent="0.25">
      <c r="A14" s="8" t="str">
        <f>INDEX({"Great";"Good";"OK";"Below Par"},MATCH(B14,{4;3;2;1},0))</f>
        <v>Below Par</v>
      </c>
      <c r="B14" s="8">
        <v>1</v>
      </c>
    </row>
    <row r="15" spans="1:7" x14ac:dyDescent="0.25">
      <c r="A15" s="8" t="str">
        <f>INDEX({"Great";"Good";"OK";"Below Par"},MATCH(B15,{4;3;2;1},0))</f>
        <v>OK</v>
      </c>
      <c r="B15" s="8">
        <v>2</v>
      </c>
    </row>
    <row r="16" spans="1:7" x14ac:dyDescent="0.25">
      <c r="A16" s="8" t="str">
        <f>INDEX({"Great";"Good";"OK";"Below Par"},MATCH(B16,{4;3;2;1},0))</f>
        <v>Below Par</v>
      </c>
      <c r="B16" s="8">
        <v>1</v>
      </c>
    </row>
    <row r="17" spans="1:2" x14ac:dyDescent="0.25">
      <c r="A17" s="8" t="str">
        <f>INDEX({"Great";"Good";"OK";"Below Par"},MATCH(B17,{4;3;2;1},0))</f>
        <v>Great</v>
      </c>
      <c r="B17" s="8">
        <v>4</v>
      </c>
    </row>
    <row r="18" spans="1:2" x14ac:dyDescent="0.25">
      <c r="A18" s="8" t="str">
        <f>INDEX({"Great";"Good";"OK";"Below Par"},MATCH(B18,{4;3;2;1},0))</f>
        <v>Good</v>
      </c>
      <c r="B18" s="8">
        <v>3</v>
      </c>
    </row>
    <row r="19" spans="1:2" x14ac:dyDescent="0.25">
      <c r="A19" s="8" t="str">
        <f>INDEX({"Great";"Good";"OK";"Below Par"},MATCH(B19,{4;3;2;1},0))</f>
        <v>Below Par</v>
      </c>
      <c r="B19" s="8">
        <v>1</v>
      </c>
    </row>
    <row r="20" spans="1:2" x14ac:dyDescent="0.25">
      <c r="A20" s="8" t="str">
        <f>INDEX({"Great";"Good";"OK";"Below Par"},MATCH(B20,{4;3;2;1},0))</f>
        <v>Below Par</v>
      </c>
      <c r="B20" s="8">
        <v>1</v>
      </c>
    </row>
    <row r="21" spans="1:2" x14ac:dyDescent="0.25">
      <c r="A21" s="8" t="str">
        <f>INDEX({"Great";"Good";"OK";"Below Par"},MATCH(B21,{4;3;2;1},0))</f>
        <v>Great</v>
      </c>
      <c r="B21" s="8">
        <v>4</v>
      </c>
    </row>
    <row r="22" spans="1:2" x14ac:dyDescent="0.25">
      <c r="A22" s="8" t="str">
        <f>INDEX({"Great";"Good";"OK";"Below Par"},MATCH(B22,{4;3;2;1},0))</f>
        <v>OK</v>
      </c>
      <c r="B22" s="8">
        <v>2</v>
      </c>
    </row>
    <row r="23" spans="1:2" x14ac:dyDescent="0.25">
      <c r="A23" s="8" t="str">
        <f>INDEX({"Great";"Good";"OK";"Below Par"},MATCH(B23,{4;3;2;1},0))</f>
        <v>OK</v>
      </c>
      <c r="B23" s="8">
        <v>2</v>
      </c>
    </row>
    <row r="24" spans="1:2" x14ac:dyDescent="0.25">
      <c r="A24" s="8" t="str">
        <f>INDEX({"Great";"Good";"OK";"Below Par"},MATCH(B24,{4;3;2;1},0))</f>
        <v>OK</v>
      </c>
      <c r="B24" s="8">
        <v>2</v>
      </c>
    </row>
    <row r="25" spans="1:2" x14ac:dyDescent="0.25">
      <c r="A25" s="8" t="str">
        <f>INDEX({"Great";"Good";"OK";"Below Par"},MATCH(B25,{4;3;2;1},0))</f>
        <v>Good</v>
      </c>
      <c r="B25" s="8">
        <v>3</v>
      </c>
    </row>
    <row r="26" spans="1:2" x14ac:dyDescent="0.25">
      <c r="A26" s="8" t="str">
        <f>INDEX({"Great";"Good";"OK";"Below Par"},MATCH(B26,{4;3;2;1},0))</f>
        <v>Below Par</v>
      </c>
      <c r="B26" s="8">
        <v>1</v>
      </c>
    </row>
    <row r="27" spans="1:2" x14ac:dyDescent="0.25">
      <c r="A27" s="8" t="str">
        <f>INDEX({"Great";"Good";"OK";"Below Par"},MATCH(B27,{4;3;2;1},0))</f>
        <v>Good</v>
      </c>
      <c r="B27" s="8">
        <v>3</v>
      </c>
    </row>
    <row r="28" spans="1:2" x14ac:dyDescent="0.25">
      <c r="A28" s="8" t="str">
        <f>INDEX({"Great";"Good";"OK";"Below Par"},MATCH(B28,{4;3;2;1},0))</f>
        <v>Below Par</v>
      </c>
      <c r="B28" s="8">
        <v>1</v>
      </c>
    </row>
    <row r="29" spans="1:2" x14ac:dyDescent="0.25">
      <c r="A29" s="8" t="str">
        <f>INDEX({"Great";"Good";"OK";"Below Par"},MATCH(B29,{4;3;2;1},0))</f>
        <v>Great</v>
      </c>
      <c r="B29" s="8">
        <v>4</v>
      </c>
    </row>
    <row r="30" spans="1:2" x14ac:dyDescent="0.25">
      <c r="A30" s="8" t="str">
        <f>INDEX({"Great";"Good";"OK";"Below Par"},MATCH(B30,{4;3;2;1},0))</f>
        <v>Good</v>
      </c>
      <c r="B30" s="8">
        <v>3</v>
      </c>
    </row>
    <row r="31" spans="1:2" x14ac:dyDescent="0.25">
      <c r="A31" s="8" t="str">
        <f>INDEX({"Great";"Good";"OK";"Below Par"},MATCH(B31,{4;3;2;1},0))</f>
        <v>Below Par</v>
      </c>
      <c r="B31" s="8">
        <v>1</v>
      </c>
    </row>
    <row r="32" spans="1:2" x14ac:dyDescent="0.25">
      <c r="A32" s="8" t="str">
        <f>INDEX({"Great";"Good";"OK";"Below Par"},MATCH(B32,{4;3;2;1},0))</f>
        <v>Great</v>
      </c>
      <c r="B32" s="8">
        <v>4</v>
      </c>
    </row>
    <row r="33" spans="1:2" x14ac:dyDescent="0.25">
      <c r="A33" s="8" t="str">
        <f>INDEX({"Great";"Good";"OK";"Below Par"},MATCH(B33,{4;3;2;1},0))</f>
        <v>Below Par</v>
      </c>
      <c r="B33" s="8">
        <v>1</v>
      </c>
    </row>
    <row r="34" spans="1:2" x14ac:dyDescent="0.25">
      <c r="A34" s="8" t="str">
        <f>INDEX({"Great";"Good";"OK";"Below Par"},MATCH(B34,{4;3;2;1},0))</f>
        <v>Great</v>
      </c>
      <c r="B34" s="8">
        <v>4</v>
      </c>
    </row>
    <row r="35" spans="1:2" x14ac:dyDescent="0.25">
      <c r="A35" s="8" t="str">
        <f>INDEX({"Great";"Good";"OK";"Below Par"},MATCH(B35,{4;3;2;1},0))</f>
        <v>OK</v>
      </c>
      <c r="B35" s="8">
        <v>2</v>
      </c>
    </row>
    <row r="36" spans="1:2" x14ac:dyDescent="0.25">
      <c r="A36" s="8" t="str">
        <f>INDEX({"Great";"Good";"OK";"Below Par"},MATCH(B36,{4;3;2;1},0))</f>
        <v>OK</v>
      </c>
      <c r="B36" s="8">
        <v>2</v>
      </c>
    </row>
    <row r="37" spans="1:2" x14ac:dyDescent="0.25">
      <c r="A37" s="8" t="str">
        <f>INDEX({"Great";"Good";"OK";"Below Par"},MATCH(B37,{4;3;2;1},0))</f>
        <v>Below Par</v>
      </c>
      <c r="B37" s="8">
        <v>1</v>
      </c>
    </row>
    <row r="38" spans="1:2" x14ac:dyDescent="0.25">
      <c r="A38" s="8" t="str">
        <f>INDEX({"Great";"Good";"OK";"Below Par"},MATCH(B38,{4;3;2;1},0))</f>
        <v>Below Par</v>
      </c>
      <c r="B38" s="8">
        <v>1</v>
      </c>
    </row>
    <row r="39" spans="1:2" x14ac:dyDescent="0.25">
      <c r="A39" s="8" t="str">
        <f>INDEX({"Great";"Good";"OK";"Below Par"},MATCH(B39,{4;3;2;1},0))</f>
        <v>Below Par</v>
      </c>
      <c r="B39" s="8">
        <v>1</v>
      </c>
    </row>
    <row r="40" spans="1:2" x14ac:dyDescent="0.25">
      <c r="A40" s="8" t="str">
        <f>INDEX({"Great";"Good";"OK";"Below Par"},MATCH(B40,{4;3;2;1},0))</f>
        <v>Below Par</v>
      </c>
      <c r="B40" s="8">
        <v>1</v>
      </c>
    </row>
    <row r="41" spans="1:2" x14ac:dyDescent="0.25">
      <c r="A41" s="8" t="str">
        <f>INDEX({"Great";"Good";"OK";"Below Par"},MATCH(B41,{4;3;2;1},0))</f>
        <v>OK</v>
      </c>
      <c r="B41" s="8">
        <v>2</v>
      </c>
    </row>
    <row r="42" spans="1:2" x14ac:dyDescent="0.25">
      <c r="A42" s="8" t="str">
        <f>INDEX({"Great";"Good";"OK";"Below Par"},MATCH(B42,{4;3;2;1},0))</f>
        <v>OK</v>
      </c>
      <c r="B42" s="8">
        <v>2</v>
      </c>
    </row>
    <row r="43" spans="1:2" x14ac:dyDescent="0.25">
      <c r="A43" s="8" t="str">
        <f>INDEX({"Great";"Good";"OK";"Below Par"},MATCH(B43,{4;3;2;1},0))</f>
        <v>Below Par</v>
      </c>
      <c r="B43" s="8">
        <v>1</v>
      </c>
    </row>
    <row r="44" spans="1:2" x14ac:dyDescent="0.25">
      <c r="A44" s="8" t="str">
        <f>INDEX({"Great";"Good";"OK";"Below Par"},MATCH(B44,{4;3;2;1},0))</f>
        <v>Below Par</v>
      </c>
      <c r="B44" s="8">
        <v>1</v>
      </c>
    </row>
    <row r="45" spans="1:2" x14ac:dyDescent="0.25">
      <c r="A45" s="8" t="str">
        <f>INDEX({"Great";"Good";"OK";"Below Par"},MATCH(B45,{4;3;2;1},0))</f>
        <v>Below Par</v>
      </c>
      <c r="B45" s="8">
        <v>1</v>
      </c>
    </row>
    <row r="46" spans="1:2" x14ac:dyDescent="0.25">
      <c r="A46" s="8" t="str">
        <f>INDEX({"Great";"Good";"OK";"Below Par"},MATCH(B46,{4;3;2;1},0))</f>
        <v>Good</v>
      </c>
      <c r="B46" s="8">
        <v>3</v>
      </c>
    </row>
    <row r="47" spans="1:2" x14ac:dyDescent="0.25">
      <c r="A47" s="8" t="str">
        <f>INDEX({"Great";"Good";"OK";"Below Par"},MATCH(B47,{4;3;2;1},0))</f>
        <v>Below Par</v>
      </c>
      <c r="B47" s="8">
        <v>1</v>
      </c>
    </row>
    <row r="48" spans="1:2" x14ac:dyDescent="0.25">
      <c r="A48" s="8" t="str">
        <f>INDEX({"Great";"Good";"OK";"Below Par"},MATCH(B48,{4;3;2;1},0))</f>
        <v>Below Par</v>
      </c>
      <c r="B48" s="8">
        <v>1</v>
      </c>
    </row>
    <row r="49" spans="1:2" x14ac:dyDescent="0.25">
      <c r="A49" s="8" t="str">
        <f>INDEX({"Great";"Good";"OK";"Below Par"},MATCH(B49,{4;3;2;1},0))</f>
        <v>Great</v>
      </c>
      <c r="B49" s="8">
        <v>4</v>
      </c>
    </row>
    <row r="50" spans="1:2" x14ac:dyDescent="0.25">
      <c r="A50" s="8" t="str">
        <f>INDEX({"Great";"Good";"OK";"Below Par"},MATCH(B50,{4;3;2;1},0))</f>
        <v>Great</v>
      </c>
      <c r="B50" s="8">
        <v>4</v>
      </c>
    </row>
    <row r="51" spans="1:2" x14ac:dyDescent="0.25">
      <c r="A51" s="8" t="str">
        <f>INDEX({"Great";"Good";"OK";"Below Par"},MATCH(B51,{4;3;2;1},0))</f>
        <v>Good</v>
      </c>
      <c r="B51" s="8">
        <v>3</v>
      </c>
    </row>
    <row r="52" spans="1:2" x14ac:dyDescent="0.25">
      <c r="A52" s="8" t="str">
        <f>INDEX({"Great";"Good";"OK";"Below Par"},MATCH(B52,{4;3;2;1},0))</f>
        <v>OK</v>
      </c>
      <c r="B52" s="8">
        <v>2</v>
      </c>
    </row>
    <row r="53" spans="1:2" x14ac:dyDescent="0.25">
      <c r="A53" s="8" t="str">
        <f>INDEX({"Great";"Good";"OK";"Below Par"},MATCH(B53,{4;3;2;1},0))</f>
        <v>Good</v>
      </c>
      <c r="B53" s="8">
        <v>3</v>
      </c>
    </row>
    <row r="54" spans="1:2" x14ac:dyDescent="0.25">
      <c r="A54" s="8" t="str">
        <f>INDEX({"Great";"Good";"OK";"Below Par"},MATCH(B54,{4;3;2;1},0))</f>
        <v>OK</v>
      </c>
      <c r="B54" s="8">
        <v>2</v>
      </c>
    </row>
    <row r="55" spans="1:2" x14ac:dyDescent="0.25">
      <c r="A55" s="8" t="str">
        <f>INDEX({"Great";"Good";"OK";"Below Par"},MATCH(B55,{4;3;2;1},0))</f>
        <v>OK</v>
      </c>
      <c r="B55" s="8">
        <v>2</v>
      </c>
    </row>
    <row r="56" spans="1:2" x14ac:dyDescent="0.25">
      <c r="A56" s="8" t="str">
        <f>INDEX({"Great";"Good";"OK";"Below Par"},MATCH(B56,{4;3;2;1},0))</f>
        <v>OK</v>
      </c>
      <c r="B56" s="8">
        <v>2</v>
      </c>
    </row>
    <row r="57" spans="1:2" x14ac:dyDescent="0.25">
      <c r="A57" s="8" t="str">
        <f>INDEX({"Great";"Good";"OK";"Below Par"},MATCH(B57,{4;3;2;1},0))</f>
        <v>Below Par</v>
      </c>
      <c r="B57" s="8">
        <v>1</v>
      </c>
    </row>
    <row r="58" spans="1:2" x14ac:dyDescent="0.25">
      <c r="A58" s="8" t="str">
        <f>INDEX({"Great";"Good";"OK";"Below Par"},MATCH(B58,{4;3;2;1},0))</f>
        <v>Great</v>
      </c>
      <c r="B58" s="8">
        <v>4</v>
      </c>
    </row>
    <row r="59" spans="1:2" x14ac:dyDescent="0.25">
      <c r="A59" s="8" t="str">
        <f>INDEX({"Great";"Good";"OK";"Below Par"},MATCH(B59,{4;3;2;1},0))</f>
        <v>OK</v>
      </c>
      <c r="B59" s="8">
        <v>2</v>
      </c>
    </row>
    <row r="60" spans="1:2" x14ac:dyDescent="0.25">
      <c r="A60" s="8" t="str">
        <f>INDEX({"Great";"Good";"OK";"Below Par"},MATCH(B60,{4;3;2;1},0))</f>
        <v>OK</v>
      </c>
      <c r="B60" s="8">
        <v>2</v>
      </c>
    </row>
    <row r="61" spans="1:2" x14ac:dyDescent="0.25">
      <c r="A61" s="8" t="str">
        <f>INDEX({"Great";"Good";"OK";"Below Par"},MATCH(B61,{4;3;2;1},0))</f>
        <v>Below Par</v>
      </c>
      <c r="B61" s="8">
        <v>1</v>
      </c>
    </row>
    <row r="62" spans="1:2" x14ac:dyDescent="0.25">
      <c r="A62" s="8" t="str">
        <f>INDEX({"Great";"Good";"OK";"Below Par"},MATCH(B62,{4;3;2;1},0))</f>
        <v>Great</v>
      </c>
      <c r="B62" s="8">
        <v>4</v>
      </c>
    </row>
    <row r="63" spans="1:2" x14ac:dyDescent="0.25">
      <c r="A63" s="8" t="str">
        <f>INDEX({"Great";"Good";"OK";"Below Par"},MATCH(B63,{4;3;2;1},0))</f>
        <v>Great</v>
      </c>
      <c r="B63" s="8">
        <v>4</v>
      </c>
    </row>
    <row r="64" spans="1:2" x14ac:dyDescent="0.25">
      <c r="A64" s="8" t="str">
        <f>INDEX({"Great";"Good";"OK";"Below Par"},MATCH(B64,{4;3;2;1},0))</f>
        <v>Good</v>
      </c>
      <c r="B64" s="8">
        <v>3</v>
      </c>
    </row>
    <row r="65" spans="1:2" x14ac:dyDescent="0.25">
      <c r="A65" s="8" t="str">
        <f>INDEX({"Great";"Good";"OK";"Below Par"},MATCH(B65,{4;3;2;1},0))</f>
        <v>Great</v>
      </c>
      <c r="B65" s="8">
        <v>4</v>
      </c>
    </row>
    <row r="66" spans="1:2" x14ac:dyDescent="0.25">
      <c r="A66" s="8" t="str">
        <f>INDEX({"Great";"Good";"OK";"Below Par"},MATCH(B66,{4;3;2;1},0))</f>
        <v>Good</v>
      </c>
      <c r="B66" s="8">
        <v>3</v>
      </c>
    </row>
    <row r="67" spans="1:2" x14ac:dyDescent="0.25">
      <c r="A67" s="8" t="str">
        <f>INDEX({"Great";"Good";"OK";"Below Par"},MATCH(B67,{4;3;2;1},0))</f>
        <v>Good</v>
      </c>
      <c r="B67" s="8">
        <v>3</v>
      </c>
    </row>
    <row r="68" spans="1:2" x14ac:dyDescent="0.25">
      <c r="A68" s="8" t="str">
        <f>INDEX({"Great";"Good";"OK";"Below Par"},MATCH(B68,{4;3;2;1},0))</f>
        <v>Below Par</v>
      </c>
      <c r="B68" s="8">
        <v>1</v>
      </c>
    </row>
    <row r="69" spans="1:2" x14ac:dyDescent="0.25">
      <c r="A69" s="8" t="str">
        <f>INDEX({"Great";"Good";"OK";"Below Par"},MATCH(B69,{4;3;2;1},0))</f>
        <v>Good</v>
      </c>
      <c r="B69" s="8">
        <v>3</v>
      </c>
    </row>
    <row r="70" spans="1:2" x14ac:dyDescent="0.25">
      <c r="A70" s="8" t="str">
        <f>INDEX({"Great";"Good";"OK";"Below Par"},MATCH(B70,{4;3;2;1},0))</f>
        <v>Great</v>
      </c>
      <c r="B70" s="8">
        <v>4</v>
      </c>
    </row>
    <row r="71" spans="1:2" x14ac:dyDescent="0.25">
      <c r="A71" s="8" t="str">
        <f>INDEX({"Great";"Good";"OK";"Below Par"},MATCH(B71,{4;3;2;1},0))</f>
        <v>Below Par</v>
      </c>
      <c r="B71" s="8">
        <v>1</v>
      </c>
    </row>
    <row r="72" spans="1:2" x14ac:dyDescent="0.25">
      <c r="A72" s="8" t="str">
        <f>INDEX({"Great";"Good";"OK";"Below Par"},MATCH(B72,{4;3;2;1},0))</f>
        <v>Good</v>
      </c>
      <c r="B72" s="8">
        <v>3</v>
      </c>
    </row>
    <row r="73" spans="1:2" x14ac:dyDescent="0.25">
      <c r="A73" s="8" t="str">
        <f>INDEX({"Great";"Good";"OK";"Below Par"},MATCH(B73,{4;3;2;1},0))</f>
        <v>Below Par</v>
      </c>
      <c r="B73" s="8">
        <v>1</v>
      </c>
    </row>
    <row r="74" spans="1:2" x14ac:dyDescent="0.25">
      <c r="A74" s="8" t="str">
        <f>INDEX({"Great";"Good";"OK";"Below Par"},MATCH(B74,{4;3;2;1},0))</f>
        <v>OK</v>
      </c>
      <c r="B74" s="8">
        <v>2</v>
      </c>
    </row>
    <row r="75" spans="1:2" x14ac:dyDescent="0.25">
      <c r="A75" s="8" t="str">
        <f>INDEX({"Great";"Good";"OK";"Below Par"},MATCH(B75,{4;3;2;1},0))</f>
        <v>Below Par</v>
      </c>
      <c r="B75" s="8">
        <v>1</v>
      </c>
    </row>
    <row r="76" spans="1:2" x14ac:dyDescent="0.25">
      <c r="A76" s="8" t="str">
        <f>INDEX({"Great";"Good";"OK";"Below Par"},MATCH(B76,{4;3;2;1},0))</f>
        <v>Below Par</v>
      </c>
      <c r="B76" s="8">
        <v>1</v>
      </c>
    </row>
    <row r="77" spans="1:2" x14ac:dyDescent="0.25">
      <c r="A77" s="8" t="str">
        <f>INDEX({"Great";"Good";"OK";"Below Par"},MATCH(B77,{4;3;2;1},0))</f>
        <v>Below Par</v>
      </c>
      <c r="B77" s="8">
        <v>1</v>
      </c>
    </row>
    <row r="78" spans="1:2" x14ac:dyDescent="0.25">
      <c r="A78" s="8" t="str">
        <f>INDEX({"Great";"Good";"OK";"Below Par"},MATCH(B78,{4;3;2;1},0))</f>
        <v>OK</v>
      </c>
      <c r="B78" s="8">
        <v>2</v>
      </c>
    </row>
    <row r="79" spans="1:2" x14ac:dyDescent="0.25">
      <c r="A79" s="8" t="str">
        <f>INDEX({"Great";"Good";"OK";"Below Par"},MATCH(B79,{4;3;2;1},0))</f>
        <v>Below Par</v>
      </c>
      <c r="B79" s="8">
        <v>1</v>
      </c>
    </row>
    <row r="80" spans="1:2" x14ac:dyDescent="0.25">
      <c r="A80" s="8" t="str">
        <f>INDEX({"Great";"Good";"OK";"Below Par"},MATCH(B80,{4;3;2;1},0))</f>
        <v>OK</v>
      </c>
      <c r="B80" s="8">
        <v>2</v>
      </c>
    </row>
    <row r="81" spans="1:2" x14ac:dyDescent="0.25">
      <c r="A81" s="8" t="str">
        <f>INDEX({"Great";"Good";"OK";"Below Par"},MATCH(B81,{4;3;2;1},0))</f>
        <v>Below Par</v>
      </c>
      <c r="B81" s="8">
        <v>1</v>
      </c>
    </row>
    <row r="82" spans="1:2" x14ac:dyDescent="0.25">
      <c r="A82" s="8" t="str">
        <f>INDEX({"Great";"Good";"OK";"Below Par"},MATCH(B82,{4;3;2;1},0))</f>
        <v>OK</v>
      </c>
      <c r="B82" s="8">
        <v>2</v>
      </c>
    </row>
    <row r="83" spans="1:2" x14ac:dyDescent="0.25">
      <c r="A83" s="8" t="str">
        <f>INDEX({"Great";"Good";"OK";"Below Par"},MATCH(B83,{4;3;2;1},0))</f>
        <v>Below Par</v>
      </c>
      <c r="B83" s="8">
        <v>1</v>
      </c>
    </row>
    <row r="84" spans="1:2" x14ac:dyDescent="0.25">
      <c r="A84" s="8" t="str">
        <f>INDEX({"Great";"Good";"OK";"Below Par"},MATCH(B84,{4;3;2;1},0))</f>
        <v>Below Par</v>
      </c>
      <c r="B84" s="8">
        <v>1</v>
      </c>
    </row>
    <row r="85" spans="1:2" x14ac:dyDescent="0.25">
      <c r="A85" s="8" t="str">
        <f>INDEX({"Great";"Good";"OK";"Below Par"},MATCH(B85,{4;3;2;1},0))</f>
        <v>Below Par</v>
      </c>
      <c r="B85" s="8">
        <v>1</v>
      </c>
    </row>
    <row r="86" spans="1:2" x14ac:dyDescent="0.25">
      <c r="A86" s="8" t="str">
        <f>INDEX({"Great";"Good";"OK";"Below Par"},MATCH(B86,{4;3;2;1},0))</f>
        <v>Below Par</v>
      </c>
      <c r="B86" s="8">
        <v>1</v>
      </c>
    </row>
    <row r="87" spans="1:2" x14ac:dyDescent="0.25">
      <c r="A87" s="8" t="str">
        <f>INDEX({"Great";"Good";"OK";"Below Par"},MATCH(B87,{4;3;2;1},0))</f>
        <v>OK</v>
      </c>
      <c r="B87" s="8">
        <v>2</v>
      </c>
    </row>
    <row r="88" spans="1:2" x14ac:dyDescent="0.25">
      <c r="A88" s="8" t="str">
        <f>INDEX({"Great";"Good";"OK";"Below Par"},MATCH(B88,{4;3;2;1},0))</f>
        <v>Good</v>
      </c>
      <c r="B88" s="8">
        <v>3</v>
      </c>
    </row>
    <row r="89" spans="1:2" x14ac:dyDescent="0.25">
      <c r="A89" s="8" t="str">
        <f>INDEX({"Great";"Good";"OK";"Below Par"},MATCH(B89,{4;3;2;1},0))</f>
        <v>OK</v>
      </c>
      <c r="B89" s="8">
        <v>2</v>
      </c>
    </row>
    <row r="90" spans="1:2" x14ac:dyDescent="0.25">
      <c r="A90" s="8" t="str">
        <f>INDEX({"Great";"Good";"OK";"Below Par"},MATCH(B90,{4;3;2;1},0))</f>
        <v>OK</v>
      </c>
      <c r="B90" s="8">
        <v>2</v>
      </c>
    </row>
    <row r="91" spans="1:2" x14ac:dyDescent="0.25">
      <c r="A91" s="8" t="str">
        <f>INDEX({"Great";"Good";"OK";"Below Par"},MATCH(B91,{4;3;2;1},0))</f>
        <v>Below Par</v>
      </c>
      <c r="B91" s="8">
        <v>1</v>
      </c>
    </row>
    <row r="92" spans="1:2" x14ac:dyDescent="0.25">
      <c r="A92" s="8" t="str">
        <f>INDEX({"Great";"Good";"OK";"Below Par"},MATCH(B92,{4;3;2;1},0))</f>
        <v>Below Par</v>
      </c>
      <c r="B92" s="8">
        <v>1</v>
      </c>
    </row>
    <row r="93" spans="1:2" x14ac:dyDescent="0.25">
      <c r="A93" s="8" t="str">
        <f>INDEX({"Great";"Good";"OK";"Below Par"},MATCH(B93,{4;3;2;1},0))</f>
        <v>OK</v>
      </c>
      <c r="B93" s="8">
        <v>2</v>
      </c>
    </row>
    <row r="94" spans="1:2" x14ac:dyDescent="0.25">
      <c r="A94" s="8" t="str">
        <f>INDEX({"Great";"Good";"OK";"Below Par"},MATCH(B94,{4;3;2;1},0))</f>
        <v>Below Par</v>
      </c>
      <c r="B94" s="8">
        <v>1</v>
      </c>
    </row>
    <row r="95" spans="1:2" x14ac:dyDescent="0.25">
      <c r="A95" s="8" t="str">
        <f>INDEX({"Great";"Good";"OK";"Below Par"},MATCH(B95,{4;3;2;1},0))</f>
        <v>Below Par</v>
      </c>
      <c r="B95" s="8">
        <v>1</v>
      </c>
    </row>
    <row r="96" spans="1:2" x14ac:dyDescent="0.25">
      <c r="A96" s="8" t="str">
        <f>INDEX({"Great";"Good";"OK";"Below Par"},MATCH(B96,{4;3;2;1},0))</f>
        <v>Below Par</v>
      </c>
      <c r="B96" s="8">
        <v>1</v>
      </c>
    </row>
    <row r="97" spans="1:2" x14ac:dyDescent="0.25">
      <c r="A97" s="8" t="str">
        <f>INDEX({"Great";"Good";"OK";"Below Par"},MATCH(B97,{4;3;2;1},0))</f>
        <v>OK</v>
      </c>
      <c r="B97" s="8">
        <v>2</v>
      </c>
    </row>
    <row r="98" spans="1:2" x14ac:dyDescent="0.25">
      <c r="A98" s="8" t="str">
        <f>INDEX({"Great";"Good";"OK";"Below Par"},MATCH(B98,{4;3;2;1},0))</f>
        <v>Below Par</v>
      </c>
      <c r="B98" s="8">
        <v>1</v>
      </c>
    </row>
    <row r="99" spans="1:2" x14ac:dyDescent="0.25">
      <c r="A99" s="8" t="str">
        <f>INDEX({"Great";"Good";"OK";"Below Par"},MATCH(B99,{4;3;2;1},0))</f>
        <v>OK</v>
      </c>
      <c r="B99" s="8">
        <v>2</v>
      </c>
    </row>
    <row r="100" spans="1:2" x14ac:dyDescent="0.25">
      <c r="A100" s="8" t="str">
        <f>INDEX({"Great";"Good";"OK";"Below Par"},MATCH(B100,{4;3;2;1},0))</f>
        <v>OK</v>
      </c>
      <c r="B100" s="8">
        <v>2</v>
      </c>
    </row>
    <row r="101" spans="1:2" x14ac:dyDescent="0.25">
      <c r="A101" s="8" t="str">
        <f>INDEX({"Great";"Good";"OK";"Below Par"},MATCH(B101,{4;3;2;1},0))</f>
        <v>Good</v>
      </c>
      <c r="B101" s="8">
        <v>3</v>
      </c>
    </row>
    <row r="102" spans="1:2" x14ac:dyDescent="0.25">
      <c r="A102" s="8" t="str">
        <f>INDEX({"Great";"Good";"OK";"Below Par"},MATCH(B102,{4;3;2;1},0))</f>
        <v>Below Par</v>
      </c>
      <c r="B102" s="8">
        <v>1</v>
      </c>
    </row>
    <row r="103" spans="1:2" x14ac:dyDescent="0.25">
      <c r="A103" s="8" t="str">
        <f>INDEX({"Great";"Good";"OK";"Below Par"},MATCH(B103,{4;3;2;1},0))</f>
        <v>OK</v>
      </c>
      <c r="B103" s="8">
        <v>2</v>
      </c>
    </row>
    <row r="104" spans="1:2" x14ac:dyDescent="0.25">
      <c r="A104" s="8" t="str">
        <f>INDEX({"Great";"Good";"OK";"Below Par"},MATCH(B104,{4;3;2;1},0))</f>
        <v>Below Par</v>
      </c>
      <c r="B104" s="8">
        <v>1</v>
      </c>
    </row>
    <row r="105" spans="1:2" x14ac:dyDescent="0.25">
      <c r="A105" s="8" t="str">
        <f>INDEX({"Great";"Good";"OK";"Below Par"},MATCH(B105,{4;3;2;1},0))</f>
        <v>OK</v>
      </c>
      <c r="B105" s="8">
        <v>2</v>
      </c>
    </row>
    <row r="106" spans="1:2" x14ac:dyDescent="0.25">
      <c r="A106" s="8" t="str">
        <f>INDEX({"Great";"Good";"OK";"Below Par"},MATCH(B106,{4;3;2;1},0))</f>
        <v>Good</v>
      </c>
      <c r="B106" s="8">
        <v>3</v>
      </c>
    </row>
    <row r="107" spans="1:2" x14ac:dyDescent="0.25">
      <c r="A107" s="8" t="str">
        <f>INDEX({"Great";"Good";"OK";"Below Par"},MATCH(B107,{4;3;2;1},0))</f>
        <v>OK</v>
      </c>
      <c r="B107" s="8">
        <v>2</v>
      </c>
    </row>
    <row r="108" spans="1:2" x14ac:dyDescent="0.25">
      <c r="A108" s="8" t="str">
        <f>INDEX({"Great";"Good";"OK";"Below Par"},MATCH(B108,{4;3;2;1},0))</f>
        <v>Great</v>
      </c>
      <c r="B108" s="8">
        <v>4</v>
      </c>
    </row>
    <row r="109" spans="1:2" x14ac:dyDescent="0.25">
      <c r="A109" s="8" t="str">
        <f>INDEX({"Great";"Good";"OK";"Below Par"},MATCH(B109,{4;3;2;1},0))</f>
        <v>OK</v>
      </c>
      <c r="B109" s="8">
        <v>2</v>
      </c>
    </row>
    <row r="110" spans="1:2" x14ac:dyDescent="0.25">
      <c r="A110" s="8" t="str">
        <f>INDEX({"Great";"Good";"OK";"Below Par"},MATCH(B110,{4;3;2;1},0))</f>
        <v>Good</v>
      </c>
      <c r="B110" s="8">
        <v>3</v>
      </c>
    </row>
    <row r="111" spans="1:2" x14ac:dyDescent="0.25">
      <c r="A111" s="8" t="str">
        <f>INDEX({"Great";"Good";"OK";"Below Par"},MATCH(B111,{4;3;2;1},0))</f>
        <v>Below Par</v>
      </c>
      <c r="B111" s="8">
        <v>1</v>
      </c>
    </row>
    <row r="112" spans="1:2" x14ac:dyDescent="0.25">
      <c r="A112" s="8" t="str">
        <f>INDEX({"Great";"Good";"OK";"Below Par"},MATCH(B112,{4;3;2;1},0))</f>
        <v>Below Par</v>
      </c>
      <c r="B112" s="8">
        <v>1</v>
      </c>
    </row>
    <row r="116" spans="9:13" ht="165" x14ac:dyDescent="0.25">
      <c r="I116" s="215" t="s">
        <v>810</v>
      </c>
      <c r="J116" s="215"/>
      <c r="K116" s="215"/>
      <c r="L116" s="215"/>
      <c r="M116" s="215"/>
    </row>
    <row r="117" spans="9:13" ht="409.5" x14ac:dyDescent="0.25">
      <c r="I117" s="216" t="s">
        <v>811</v>
      </c>
      <c r="J117" s="217"/>
      <c r="K117" s="216" t="s">
        <v>812</v>
      </c>
      <c r="M117" s="216" t="s">
        <v>813</v>
      </c>
    </row>
  </sheetData>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0">
    <tabColor rgb="FF0000FF"/>
  </sheetPr>
  <dimension ref="A1:H8"/>
  <sheetViews>
    <sheetView workbookViewId="0">
      <selection activeCell="H2" sqref="H2"/>
    </sheetView>
  </sheetViews>
  <sheetFormatPr defaultColWidth="9.140625" defaultRowHeight="15" x14ac:dyDescent="0.25"/>
  <cols>
    <col min="1" max="1" width="10.7109375" bestFit="1" customWidth="1"/>
    <col min="2" max="2" width="8.28515625" bestFit="1" customWidth="1"/>
    <col min="3" max="3" width="9" bestFit="1" customWidth="1"/>
    <col min="4" max="4" width="6" bestFit="1" customWidth="1"/>
    <col min="5" max="5" width="10.140625" bestFit="1" customWidth="1"/>
    <col min="6" max="6" width="13" customWidth="1"/>
    <col min="7" max="7" width="18.85546875" customWidth="1"/>
    <col min="8" max="8" width="11.140625" customWidth="1"/>
  </cols>
  <sheetData>
    <row r="1" spans="1:8" ht="30" x14ac:dyDescent="0.25">
      <c r="A1" s="14" t="s">
        <v>0</v>
      </c>
      <c r="B1" s="14" t="s">
        <v>37</v>
      </c>
      <c r="C1" s="14" t="s">
        <v>823</v>
      </c>
      <c r="D1" s="14" t="s">
        <v>824</v>
      </c>
      <c r="E1" s="14" t="s">
        <v>825</v>
      </c>
      <c r="G1" s="44" t="s">
        <v>826</v>
      </c>
      <c r="H1" s="44" t="s">
        <v>825</v>
      </c>
    </row>
    <row r="2" spans="1:8" x14ac:dyDescent="0.25">
      <c r="A2" s="7">
        <v>40501</v>
      </c>
      <c r="B2" s="66">
        <v>9349</v>
      </c>
      <c r="C2" s="10"/>
      <c r="D2" s="10">
        <f>RANK(B2,$B$2:$B$8)</f>
        <v>6</v>
      </c>
      <c r="E2" s="10">
        <f>_xlfn.RANK.AVG(B2,$B$2:$B$8,0)</f>
        <v>6</v>
      </c>
      <c r="G2" s="24">
        <v>5.5</v>
      </c>
      <c r="H2" s="10"/>
    </row>
    <row r="3" spans="1:8" x14ac:dyDescent="0.25">
      <c r="A3" s="7">
        <v>40502</v>
      </c>
      <c r="B3" s="66">
        <v>9316</v>
      </c>
      <c r="C3" s="10"/>
      <c r="D3" s="10">
        <f t="shared" ref="D3:D8" si="0">RANK(B3,$B$2:$B$8)</f>
        <v>7</v>
      </c>
      <c r="E3" s="10">
        <f t="shared" ref="E3:E8" si="1">_xlfn.RANK.AVG(B3,$B$2:$B$8,0)</f>
        <v>7</v>
      </c>
      <c r="G3" s="24">
        <v>4.8499999999999996</v>
      </c>
      <c r="H3" s="10"/>
    </row>
    <row r="4" spans="1:8" x14ac:dyDescent="0.25">
      <c r="A4" s="7">
        <v>40503</v>
      </c>
      <c r="B4" s="66">
        <v>15850</v>
      </c>
      <c r="C4" s="10"/>
      <c r="D4" s="10">
        <f t="shared" si="0"/>
        <v>4</v>
      </c>
      <c r="E4" s="10">
        <f t="shared" si="1"/>
        <v>4</v>
      </c>
      <c r="G4" s="24">
        <v>4.55</v>
      </c>
      <c r="H4" s="10"/>
    </row>
    <row r="5" spans="1:8" x14ac:dyDescent="0.25">
      <c r="A5" s="7">
        <v>40504</v>
      </c>
      <c r="B5" s="66">
        <f>B6</f>
        <v>15973</v>
      </c>
      <c r="C5" s="10"/>
      <c r="D5" s="10">
        <f t="shared" si="0"/>
        <v>2</v>
      </c>
      <c r="E5" s="10">
        <f t="shared" si="1"/>
        <v>2.5</v>
      </c>
      <c r="G5" s="24">
        <v>6.05</v>
      </c>
      <c r="H5" s="10"/>
    </row>
    <row r="6" spans="1:8" x14ac:dyDescent="0.25">
      <c r="A6" s="7">
        <v>40505</v>
      </c>
      <c r="B6" s="66">
        <v>15973</v>
      </c>
      <c r="C6" s="10"/>
      <c r="D6" s="10">
        <f t="shared" si="0"/>
        <v>2</v>
      </c>
      <c r="E6" s="10">
        <f t="shared" si="1"/>
        <v>2.5</v>
      </c>
      <c r="G6" s="24">
        <v>5.0999999999999996</v>
      </c>
      <c r="H6" s="10"/>
    </row>
    <row r="7" spans="1:8" x14ac:dyDescent="0.25">
      <c r="A7" s="7">
        <v>40506</v>
      </c>
      <c r="B7" s="66">
        <v>12435</v>
      </c>
      <c r="C7" s="10"/>
      <c r="D7" s="10">
        <f t="shared" si="0"/>
        <v>5</v>
      </c>
      <c r="E7" s="10">
        <f t="shared" si="1"/>
        <v>5</v>
      </c>
      <c r="G7" s="24">
        <v>5.05</v>
      </c>
      <c r="H7" s="10"/>
    </row>
    <row r="8" spans="1:8" x14ac:dyDescent="0.25">
      <c r="A8" s="7">
        <v>40507</v>
      </c>
      <c r="B8" s="66">
        <v>16783</v>
      </c>
      <c r="C8" s="10"/>
      <c r="D8" s="10">
        <f t="shared" si="0"/>
        <v>1</v>
      </c>
      <c r="E8" s="10">
        <f t="shared" si="1"/>
        <v>1</v>
      </c>
      <c r="G8" s="24">
        <v>4.8499999999999996</v>
      </c>
      <c r="H8" s="10"/>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1">
    <tabColor rgb="FF0000FF"/>
  </sheetPr>
  <dimension ref="A1:B4"/>
  <sheetViews>
    <sheetView workbookViewId="0">
      <selection activeCell="B3" sqref="B3"/>
    </sheetView>
  </sheetViews>
  <sheetFormatPr defaultRowHeight="15" x14ac:dyDescent="0.25"/>
  <cols>
    <col min="1" max="1" width="20.5703125" bestFit="1" customWidth="1"/>
    <col min="2" max="2" width="11.5703125" bestFit="1" customWidth="1"/>
  </cols>
  <sheetData>
    <row r="1" spans="1:2" x14ac:dyDescent="0.25">
      <c r="A1" s="119" t="s">
        <v>37</v>
      </c>
      <c r="B1" s="119"/>
    </row>
    <row r="2" spans="1:2" ht="30" x14ac:dyDescent="0.25">
      <c r="A2" s="72" t="s">
        <v>1176</v>
      </c>
      <c r="B2" s="22">
        <v>25</v>
      </c>
    </row>
    <row r="3" spans="1:2" x14ac:dyDescent="0.25">
      <c r="A3" s="72" t="s">
        <v>1177</v>
      </c>
      <c r="B3" s="289">
        <v>15250</v>
      </c>
    </row>
    <row r="4" spans="1:2" x14ac:dyDescent="0.25">
      <c r="A4" s="8" t="s">
        <v>222</v>
      </c>
      <c r="B4" s="23">
        <f>B3*B2</f>
        <v>381250</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2">
    <tabColor rgb="FF0000FF"/>
  </sheetPr>
  <dimension ref="A1:P132"/>
  <sheetViews>
    <sheetView zoomScale="85" zoomScaleNormal="85" workbookViewId="0">
      <selection activeCell="D21" sqref="D21"/>
    </sheetView>
  </sheetViews>
  <sheetFormatPr defaultRowHeight="15" x14ac:dyDescent="0.25"/>
  <cols>
    <col min="1" max="1" width="7.5703125" bestFit="1" customWidth="1"/>
    <col min="2" max="2" width="7.28515625" bestFit="1" customWidth="1"/>
    <col min="3" max="4" width="10.28515625" customWidth="1"/>
    <col min="5" max="5" width="11.140625" bestFit="1" customWidth="1"/>
    <col min="6" max="6" width="7.42578125" customWidth="1"/>
    <col min="7" max="7" width="12.5703125" bestFit="1" customWidth="1"/>
    <col min="8" max="8" width="21" bestFit="1" customWidth="1"/>
    <col min="9" max="9" width="13.28515625" bestFit="1" customWidth="1"/>
    <col min="12" max="12" width="1.7109375" customWidth="1"/>
    <col min="13" max="13" width="15.28515625" bestFit="1" customWidth="1"/>
  </cols>
  <sheetData>
    <row r="1" spans="1:16" ht="30" x14ac:dyDescent="0.25">
      <c r="A1" s="12" t="s">
        <v>0</v>
      </c>
      <c r="B1" s="12" t="s">
        <v>302</v>
      </c>
      <c r="C1" s="12" t="s">
        <v>175</v>
      </c>
      <c r="D1" s="12" t="s">
        <v>37</v>
      </c>
      <c r="E1" s="12" t="s">
        <v>217</v>
      </c>
      <c r="M1" t="s">
        <v>1221</v>
      </c>
    </row>
    <row r="2" spans="1:16" x14ac:dyDescent="0.25">
      <c r="A2" s="75">
        <v>40434</v>
      </c>
      <c r="B2" s="8" t="s">
        <v>1223</v>
      </c>
      <c r="C2" s="36">
        <v>7740</v>
      </c>
      <c r="D2" s="36">
        <v>21500</v>
      </c>
      <c r="E2" s="304">
        <f>D2-C2</f>
        <v>13760</v>
      </c>
      <c r="M2" s="302" t="s">
        <v>0</v>
      </c>
      <c r="N2" s="302" t="s">
        <v>302</v>
      </c>
      <c r="O2" s="302" t="s">
        <v>175</v>
      </c>
      <c r="P2" s="302" t="s">
        <v>37</v>
      </c>
    </row>
    <row r="3" spans="1:16" x14ac:dyDescent="0.25">
      <c r="A3" s="75">
        <v>40376</v>
      </c>
      <c r="B3" s="8" t="s">
        <v>1224</v>
      </c>
      <c r="C3" s="36">
        <v>9460</v>
      </c>
      <c r="D3" s="36">
        <v>21500</v>
      </c>
      <c r="E3" s="304">
        <f t="shared" ref="E3:E8" si="0">D3-C3</f>
        <v>12040</v>
      </c>
      <c r="M3" s="13">
        <f ca="1">40357+INT(RAND()*40)</f>
        <v>40380</v>
      </c>
      <c r="N3" t="str">
        <f ca="1">INDEX({"Machine 1";"Machine 2";"Machine 3"},INT(RAND()*3+1))</f>
        <v>Machine 1</v>
      </c>
      <c r="O3">
        <f ca="1">ROUND(P3*VLOOKUP(N3,{"Machine 1",15000,0.45,0.29,0.47;"Machine 2",21500,0.44,0.36,0.45;"Machine 3",32100,0.37,0.3,0.47},3+INT(RAND()*3)),2)</f>
        <v>6412.5</v>
      </c>
      <c r="P3" s="148">
        <f ca="1">ROUND(VLOOKUP(N3,{"Machine 1",15000;"Machine 2",21500;"Machine 3",32100},2,0)*INT(RAND()*10+91)/100,2)</f>
        <v>14250</v>
      </c>
    </row>
    <row r="4" spans="1:16" x14ac:dyDescent="0.25">
      <c r="A4" s="75">
        <v>40389</v>
      </c>
      <c r="B4" s="8" t="s">
        <v>1225</v>
      </c>
      <c r="C4" s="36">
        <v>4350</v>
      </c>
      <c r="D4" s="36">
        <v>15000</v>
      </c>
      <c r="E4" s="304">
        <f t="shared" si="0"/>
        <v>10650</v>
      </c>
    </row>
    <row r="5" spans="1:16" x14ac:dyDescent="0.25">
      <c r="A5" s="75">
        <v>40417</v>
      </c>
      <c r="B5" s="8" t="s">
        <v>1226</v>
      </c>
      <c r="C5" s="36">
        <v>4350</v>
      </c>
      <c r="D5" s="36">
        <v>15000</v>
      </c>
      <c r="E5" s="304">
        <f t="shared" si="0"/>
        <v>10650</v>
      </c>
    </row>
    <row r="6" spans="1:16" x14ac:dyDescent="0.25">
      <c r="A6" s="75">
        <v>40446</v>
      </c>
      <c r="B6" s="8" t="s">
        <v>1227</v>
      </c>
      <c r="C6" s="36">
        <v>14785</v>
      </c>
      <c r="D6" s="36">
        <v>31458</v>
      </c>
      <c r="E6" s="304">
        <f t="shared" si="0"/>
        <v>16673</v>
      </c>
    </row>
    <row r="7" spans="1:16" x14ac:dyDescent="0.25">
      <c r="A7" s="75">
        <v>40418</v>
      </c>
      <c r="B7" s="8" t="s">
        <v>1228</v>
      </c>
      <c r="C7" s="36">
        <v>4176</v>
      </c>
      <c r="D7" s="36">
        <v>14400</v>
      </c>
      <c r="E7" s="304">
        <f t="shared" si="0"/>
        <v>10224</v>
      </c>
    </row>
    <row r="8" spans="1:16" x14ac:dyDescent="0.25">
      <c r="A8" s="75">
        <v>40388</v>
      </c>
      <c r="B8" s="8" t="s">
        <v>1229</v>
      </c>
      <c r="C8" s="36">
        <v>8859</v>
      </c>
      <c r="D8" s="36">
        <v>29532</v>
      </c>
      <c r="E8" s="304">
        <f t="shared" si="0"/>
        <v>20673</v>
      </c>
    </row>
    <row r="10" spans="1:16" x14ac:dyDescent="0.25">
      <c r="D10" s="12" t="s">
        <v>76</v>
      </c>
      <c r="E10" s="304">
        <f>SUM(E2:E8)</f>
        <v>94670</v>
      </c>
    </row>
    <row r="12" spans="1:16" ht="30" x14ac:dyDescent="0.25">
      <c r="A12" s="12" t="s">
        <v>0</v>
      </c>
      <c r="B12" s="12" t="s">
        <v>302</v>
      </c>
      <c r="C12" s="12" t="s">
        <v>175</v>
      </c>
      <c r="D12" s="12" t="s">
        <v>37</v>
      </c>
    </row>
    <row r="13" spans="1:16" x14ac:dyDescent="0.25">
      <c r="A13" s="75">
        <v>40434</v>
      </c>
      <c r="B13" s="8" t="s">
        <v>1223</v>
      </c>
      <c r="C13" s="36">
        <v>7740</v>
      </c>
      <c r="D13" s="36">
        <v>21500</v>
      </c>
      <c r="H13" s="8" t="str">
        <f>FIXED(D13,0)&amp;" - "&amp;FIXED(C13,0)&amp;" = "&amp;FIXED(D13-C13,0)</f>
        <v>21.500 - 7.740 = 13.760</v>
      </c>
    </row>
    <row r="14" spans="1:16" x14ac:dyDescent="0.25">
      <c r="A14" s="75">
        <v>40376</v>
      </c>
      <c r="B14" s="8" t="s">
        <v>1224</v>
      </c>
      <c r="C14" s="36">
        <v>9460</v>
      </c>
      <c r="D14" s="36">
        <v>21500</v>
      </c>
      <c r="H14" s="8" t="str">
        <f t="shared" ref="H14:H19" si="1">FIXED(D14,0)&amp;" - "&amp;FIXED(C14,0)&amp;" = "&amp;FIXED(D14-C14,0)</f>
        <v>21.500 - 9.460 = 12.040</v>
      </c>
    </row>
    <row r="15" spans="1:16" x14ac:dyDescent="0.25">
      <c r="A15" s="75">
        <v>40389</v>
      </c>
      <c r="B15" s="8" t="s">
        <v>1225</v>
      </c>
      <c r="C15" s="36">
        <v>4350</v>
      </c>
      <c r="D15" s="36">
        <v>15000</v>
      </c>
      <c r="H15" s="8" t="str">
        <f t="shared" si="1"/>
        <v>15.000 - 4.350 = 10.650</v>
      </c>
    </row>
    <row r="16" spans="1:16" x14ac:dyDescent="0.25">
      <c r="A16" s="75">
        <v>40417</v>
      </c>
      <c r="B16" s="8" t="s">
        <v>1226</v>
      </c>
      <c r="C16" s="36">
        <v>4350</v>
      </c>
      <c r="D16" s="36">
        <v>15000</v>
      </c>
      <c r="H16" s="8" t="str">
        <f t="shared" si="1"/>
        <v>15.000 - 4.350 = 10.650</v>
      </c>
    </row>
    <row r="17" spans="1:8" x14ac:dyDescent="0.25">
      <c r="A17" s="75">
        <v>40446</v>
      </c>
      <c r="B17" s="8" t="s">
        <v>1227</v>
      </c>
      <c r="C17" s="36">
        <v>14785</v>
      </c>
      <c r="D17" s="36">
        <v>31458</v>
      </c>
      <c r="H17" s="8" t="str">
        <f t="shared" si="1"/>
        <v>31.458 - 14.785 = 16.673</v>
      </c>
    </row>
    <row r="18" spans="1:8" x14ac:dyDescent="0.25">
      <c r="A18" s="75">
        <v>40418</v>
      </c>
      <c r="B18" s="8" t="s">
        <v>1228</v>
      </c>
      <c r="C18" s="36">
        <v>4176</v>
      </c>
      <c r="D18" s="36">
        <v>14400</v>
      </c>
      <c r="H18" s="8" t="str">
        <f t="shared" si="1"/>
        <v>14.400 - 4.176 = 10.224</v>
      </c>
    </row>
    <row r="19" spans="1:8" x14ac:dyDescent="0.25">
      <c r="A19" s="75">
        <v>40388</v>
      </c>
      <c r="B19" s="8" t="s">
        <v>1229</v>
      </c>
      <c r="C19" s="36">
        <v>8859</v>
      </c>
      <c r="D19" s="36">
        <v>29532</v>
      </c>
      <c r="H19" s="8" t="str">
        <f t="shared" si="1"/>
        <v>29.532 - 8.859 = 20.673</v>
      </c>
    </row>
    <row r="21" spans="1:8" x14ac:dyDescent="0.25">
      <c r="A21" s="305" t="s">
        <v>1230</v>
      </c>
      <c r="B21" s="306"/>
      <c r="C21" s="307"/>
      <c r="D21" s="304"/>
    </row>
    <row r="23" spans="1:8" ht="30" x14ac:dyDescent="0.25">
      <c r="A23" s="12" t="s">
        <v>0</v>
      </c>
      <c r="B23" s="12" t="s">
        <v>302</v>
      </c>
      <c r="C23" s="12" t="s">
        <v>175</v>
      </c>
      <c r="D23" s="12" t="s">
        <v>37</v>
      </c>
    </row>
    <row r="24" spans="1:8" x14ac:dyDescent="0.25">
      <c r="A24" s="75">
        <v>40434</v>
      </c>
      <c r="B24" s="8" t="s">
        <v>1223</v>
      </c>
      <c r="C24" s="36">
        <v>7740</v>
      </c>
      <c r="D24" s="36">
        <v>21500</v>
      </c>
    </row>
    <row r="25" spans="1:8" x14ac:dyDescent="0.25">
      <c r="A25" s="75">
        <v>40376</v>
      </c>
      <c r="B25" s="8" t="s">
        <v>1224</v>
      </c>
      <c r="C25" s="36">
        <v>9460</v>
      </c>
      <c r="D25" s="36">
        <v>21500</v>
      </c>
    </row>
    <row r="26" spans="1:8" x14ac:dyDescent="0.25">
      <c r="A26" s="75">
        <v>40389</v>
      </c>
      <c r="B26" s="8" t="s">
        <v>1225</v>
      </c>
      <c r="C26" s="36">
        <v>4350</v>
      </c>
      <c r="D26" s="36">
        <v>15000</v>
      </c>
    </row>
    <row r="27" spans="1:8" x14ac:dyDescent="0.25">
      <c r="A27" s="75">
        <v>40417</v>
      </c>
      <c r="B27" s="8" t="s">
        <v>1226</v>
      </c>
      <c r="C27" s="36">
        <v>4350</v>
      </c>
      <c r="D27" s="36">
        <v>15000</v>
      </c>
    </row>
    <row r="28" spans="1:8" x14ac:dyDescent="0.25">
      <c r="A28" s="75">
        <v>40446</v>
      </c>
      <c r="B28" s="8" t="s">
        <v>1227</v>
      </c>
      <c r="C28" s="36">
        <v>14785</v>
      </c>
      <c r="D28" s="36">
        <v>31458</v>
      </c>
    </row>
    <row r="29" spans="1:8" x14ac:dyDescent="0.25">
      <c r="A29" s="75">
        <v>40418</v>
      </c>
      <c r="B29" s="8" t="s">
        <v>1228</v>
      </c>
      <c r="C29" s="36">
        <v>4176</v>
      </c>
      <c r="D29" s="36">
        <v>14400</v>
      </c>
    </row>
    <row r="30" spans="1:8" x14ac:dyDescent="0.25">
      <c r="A30" s="75">
        <v>40388</v>
      </c>
      <c r="B30" s="8" t="s">
        <v>1229</v>
      </c>
      <c r="C30" s="36">
        <v>8859</v>
      </c>
      <c r="D30" s="36">
        <v>29532</v>
      </c>
    </row>
    <row r="32" spans="1:8" x14ac:dyDescent="0.25">
      <c r="A32" s="305" t="s">
        <v>1230</v>
      </c>
      <c r="B32" s="306"/>
      <c r="C32" s="307"/>
      <c r="D32" s="304"/>
    </row>
    <row r="132" spans="5:5" x14ac:dyDescent="0.25">
      <c r="E132" s="303">
        <f>SUM(E2:E131)</f>
        <v>189340</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3">
    <tabColor rgb="FF0000FF"/>
  </sheetPr>
  <dimension ref="A1:N161"/>
  <sheetViews>
    <sheetView workbookViewId="0">
      <selection activeCell="F2" sqref="F2"/>
    </sheetView>
  </sheetViews>
  <sheetFormatPr defaultRowHeight="15" x14ac:dyDescent="0.25"/>
  <cols>
    <col min="1" max="1" width="8.28515625" bestFit="1" customWidth="1"/>
    <col min="2" max="2" width="11.85546875" customWidth="1"/>
    <col min="3" max="3" width="1.28515625" customWidth="1"/>
    <col min="5" max="5" width="10.7109375" customWidth="1"/>
    <col min="6" max="7" width="9.28515625" customWidth="1"/>
    <col min="8" max="8" width="12.140625" customWidth="1"/>
    <col min="9" max="9" width="10.140625" customWidth="1"/>
    <col min="10" max="11" width="12.42578125" customWidth="1"/>
    <col min="12" max="12" width="14.140625" customWidth="1"/>
    <col min="13" max="13" width="21" customWidth="1"/>
    <col min="14" max="14" width="47.5703125" customWidth="1"/>
    <col min="15" max="15" width="1.7109375" customWidth="1"/>
  </cols>
  <sheetData>
    <row r="1" spans="1:14" ht="75" x14ac:dyDescent="0.25">
      <c r="A1" s="332" t="s">
        <v>1217</v>
      </c>
      <c r="B1" s="333" t="s">
        <v>1222</v>
      </c>
      <c r="D1" s="12" t="s">
        <v>1217</v>
      </c>
      <c r="E1" s="12" t="s">
        <v>1234</v>
      </c>
      <c r="F1" s="12" t="s">
        <v>1232</v>
      </c>
      <c r="G1" s="12" t="s">
        <v>1233</v>
      </c>
      <c r="H1" s="12" t="s">
        <v>1231</v>
      </c>
      <c r="J1" s="5" t="s">
        <v>397</v>
      </c>
      <c r="K1" s="12" t="s">
        <v>1428</v>
      </c>
      <c r="M1" t="s">
        <v>1221</v>
      </c>
    </row>
    <row r="2" spans="1:14" x14ac:dyDescent="0.25">
      <c r="A2" s="249" t="s">
        <v>870</v>
      </c>
      <c r="B2" s="334">
        <v>6.7</v>
      </c>
      <c r="D2" s="8" t="s">
        <v>870</v>
      </c>
      <c r="E2" s="308">
        <f>AVERAGEIF($A$2:$A$162,D2,$B$2:$B$162)</f>
        <v>5.8877551020408179</v>
      </c>
      <c r="F2" s="296"/>
      <c r="G2" s="10"/>
      <c r="H2" s="10"/>
      <c r="J2" s="8" t="s">
        <v>807</v>
      </c>
      <c r="K2" s="10"/>
      <c r="M2" s="12" t="s">
        <v>1217</v>
      </c>
      <c r="N2" s="12" t="s">
        <v>1220</v>
      </c>
    </row>
    <row r="3" spans="1:14" x14ac:dyDescent="0.25">
      <c r="A3" s="309" t="s">
        <v>1218</v>
      </c>
      <c r="B3" s="335">
        <v>5.4</v>
      </c>
      <c r="D3" s="8" t="s">
        <v>1218</v>
      </c>
      <c r="E3" s="308">
        <f>AVERAGEIF($A$2:$A$162,D3,$B$2:$B$162)</f>
        <v>5.2615384615384624</v>
      </c>
      <c r="F3" s="296"/>
      <c r="G3" s="10"/>
      <c r="H3" s="10"/>
      <c r="J3" s="8" t="s">
        <v>3</v>
      </c>
      <c r="M3" s="8" t="str">
        <f ca="1">INDEX({"Oakland";"SF";"Seattle"},INT(RAND()*3+1))</f>
        <v>Oakland</v>
      </c>
      <c r="N3" s="8">
        <f ca="1">IF(M3="SF",INT(RAND()*500+501)/100,INT(RAND()*300+401)/100)</f>
        <v>5.43</v>
      </c>
    </row>
    <row r="4" spans="1:14" x14ac:dyDescent="0.25">
      <c r="A4" s="249" t="s">
        <v>1218</v>
      </c>
      <c r="B4" s="334">
        <v>4.7</v>
      </c>
      <c r="D4" s="8" t="s">
        <v>1219</v>
      </c>
      <c r="E4" s="308">
        <f>AVERAGEIF($A$2:$A$162,D4,$B$2:$B$162)</f>
        <v>7.7677966101694942</v>
      </c>
      <c r="F4" s="296"/>
      <c r="G4" s="10"/>
      <c r="H4" s="10"/>
      <c r="J4" s="8" t="s">
        <v>134</v>
      </c>
    </row>
    <row r="5" spans="1:14" x14ac:dyDescent="0.25">
      <c r="A5" s="309" t="s">
        <v>1219</v>
      </c>
      <c r="B5" s="335">
        <v>7.7</v>
      </c>
      <c r="J5" s="8" t="s">
        <v>3</v>
      </c>
      <c r="L5">
        <f>COUNTA(J2:J8)</f>
        <v>6</v>
      </c>
    </row>
    <row r="6" spans="1:14" x14ac:dyDescent="0.25">
      <c r="A6" s="249" t="s">
        <v>1219</v>
      </c>
      <c r="B6" s="334">
        <v>5.2</v>
      </c>
      <c r="J6" s="8"/>
    </row>
    <row r="7" spans="1:14" x14ac:dyDescent="0.25">
      <c r="A7" s="309" t="s">
        <v>1219</v>
      </c>
      <c r="B7" s="335">
        <v>9.5</v>
      </c>
      <c r="J7" s="8" t="s">
        <v>783</v>
      </c>
    </row>
    <row r="8" spans="1:14" x14ac:dyDescent="0.25">
      <c r="A8" s="249" t="s">
        <v>1218</v>
      </c>
      <c r="B8" s="334">
        <v>4.5999999999999996</v>
      </c>
      <c r="J8" s="8" t="s">
        <v>1429</v>
      </c>
    </row>
    <row r="9" spans="1:14" x14ac:dyDescent="0.25">
      <c r="A9" s="309" t="s">
        <v>1218</v>
      </c>
      <c r="B9" s="335">
        <v>4.4000000000000004</v>
      </c>
    </row>
    <row r="10" spans="1:14" x14ac:dyDescent="0.25">
      <c r="A10" s="249" t="s">
        <v>870</v>
      </c>
      <c r="B10" s="334">
        <v>5.9</v>
      </c>
    </row>
    <row r="11" spans="1:14" ht="60" x14ac:dyDescent="0.25">
      <c r="A11" s="309" t="s">
        <v>1218</v>
      </c>
      <c r="B11" s="335">
        <v>6.7</v>
      </c>
      <c r="J11" s="5" t="s">
        <v>397</v>
      </c>
      <c r="K11" s="12" t="s">
        <v>1430</v>
      </c>
    </row>
    <row r="12" spans="1:14" x14ac:dyDescent="0.25">
      <c r="A12" s="249" t="s">
        <v>1218</v>
      </c>
      <c r="B12" s="334">
        <v>6.3</v>
      </c>
      <c r="J12" s="8" t="s">
        <v>807</v>
      </c>
      <c r="K12" s="10"/>
    </row>
    <row r="13" spans="1:14" x14ac:dyDescent="0.25">
      <c r="A13" s="309" t="s">
        <v>1218</v>
      </c>
      <c r="B13" s="335">
        <v>5.6</v>
      </c>
      <c r="J13" s="8" t="s">
        <v>1431</v>
      </c>
    </row>
    <row r="14" spans="1:14" x14ac:dyDescent="0.25">
      <c r="A14" s="249" t="s">
        <v>1219</v>
      </c>
      <c r="B14" s="334">
        <v>5.7</v>
      </c>
      <c r="J14" s="8" t="s">
        <v>134</v>
      </c>
    </row>
    <row r="15" spans="1:14" x14ac:dyDescent="0.25">
      <c r="A15" s="309" t="s">
        <v>1219</v>
      </c>
      <c r="B15" s="335">
        <v>6.2</v>
      </c>
      <c r="J15" s="8" t="s">
        <v>3</v>
      </c>
    </row>
    <row r="16" spans="1:14" x14ac:dyDescent="0.25">
      <c r="A16" s="249" t="s">
        <v>1218</v>
      </c>
      <c r="B16" s="334">
        <v>4.5</v>
      </c>
      <c r="J16" s="8"/>
    </row>
    <row r="17" spans="1:10" x14ac:dyDescent="0.25">
      <c r="A17" s="309" t="s">
        <v>1219</v>
      </c>
      <c r="B17" s="335">
        <v>7.9</v>
      </c>
      <c r="J17" s="8" t="s">
        <v>783</v>
      </c>
    </row>
    <row r="18" spans="1:10" x14ac:dyDescent="0.25">
      <c r="A18" s="249" t="s">
        <v>1219</v>
      </c>
      <c r="B18" s="334">
        <v>5.2</v>
      </c>
      <c r="J18" s="8" t="s">
        <v>1429</v>
      </c>
    </row>
    <row r="19" spans="1:10" x14ac:dyDescent="0.25">
      <c r="A19" s="309" t="s">
        <v>1219</v>
      </c>
      <c r="B19" s="335">
        <v>7.2</v>
      </c>
    </row>
    <row r="20" spans="1:10" x14ac:dyDescent="0.25">
      <c r="A20" s="249" t="s">
        <v>870</v>
      </c>
      <c r="B20" s="334">
        <v>6.7</v>
      </c>
    </row>
    <row r="21" spans="1:10" x14ac:dyDescent="0.25">
      <c r="A21" s="309" t="s">
        <v>1218</v>
      </c>
      <c r="B21" s="335">
        <v>5.2</v>
      </c>
    </row>
    <row r="22" spans="1:10" x14ac:dyDescent="0.25">
      <c r="A22" s="249" t="s">
        <v>1219</v>
      </c>
      <c r="B22" s="334">
        <v>7.9</v>
      </c>
    </row>
    <row r="23" spans="1:10" x14ac:dyDescent="0.25">
      <c r="A23" s="309" t="s">
        <v>1219</v>
      </c>
      <c r="B23" s="335">
        <v>6</v>
      </c>
    </row>
    <row r="24" spans="1:10" x14ac:dyDescent="0.25">
      <c r="A24" s="249" t="s">
        <v>870</v>
      </c>
      <c r="B24" s="334">
        <v>4.2</v>
      </c>
    </row>
    <row r="25" spans="1:10" x14ac:dyDescent="0.25">
      <c r="A25" s="309" t="s">
        <v>1219</v>
      </c>
      <c r="B25" s="335">
        <v>7.9</v>
      </c>
    </row>
    <row r="26" spans="1:10" x14ac:dyDescent="0.25">
      <c r="A26" s="249" t="s">
        <v>870</v>
      </c>
      <c r="B26" s="334">
        <v>6.3</v>
      </c>
    </row>
    <row r="27" spans="1:10" x14ac:dyDescent="0.25">
      <c r="A27" s="309" t="s">
        <v>1219</v>
      </c>
      <c r="B27" s="335">
        <v>9.4</v>
      </c>
    </row>
    <row r="28" spans="1:10" x14ac:dyDescent="0.25">
      <c r="A28" s="249" t="s">
        <v>1219</v>
      </c>
      <c r="B28" s="334">
        <v>7.4</v>
      </c>
    </row>
    <row r="29" spans="1:10" x14ac:dyDescent="0.25">
      <c r="A29" s="309" t="s">
        <v>870</v>
      </c>
      <c r="B29" s="335">
        <v>6.4</v>
      </c>
    </row>
    <row r="30" spans="1:10" x14ac:dyDescent="0.25">
      <c r="A30" s="249" t="s">
        <v>1219</v>
      </c>
      <c r="B30" s="334">
        <v>9</v>
      </c>
    </row>
    <row r="31" spans="1:10" x14ac:dyDescent="0.25">
      <c r="A31" s="309" t="s">
        <v>1219</v>
      </c>
      <c r="B31" s="335">
        <v>5.9</v>
      </c>
    </row>
    <row r="32" spans="1:10" x14ac:dyDescent="0.25">
      <c r="A32" s="249" t="s">
        <v>870</v>
      </c>
      <c r="B32" s="334">
        <v>6.9</v>
      </c>
    </row>
    <row r="33" spans="1:2" x14ac:dyDescent="0.25">
      <c r="A33" s="309" t="s">
        <v>1218</v>
      </c>
      <c r="B33" s="335">
        <v>5.7</v>
      </c>
    </row>
    <row r="34" spans="1:2" x14ac:dyDescent="0.25">
      <c r="A34" s="249" t="s">
        <v>1219</v>
      </c>
      <c r="B34" s="334">
        <v>7.1</v>
      </c>
    </row>
    <row r="35" spans="1:2" x14ac:dyDescent="0.25">
      <c r="A35" s="309" t="s">
        <v>870</v>
      </c>
      <c r="B35" s="335">
        <v>4.4000000000000004</v>
      </c>
    </row>
    <row r="36" spans="1:2" x14ac:dyDescent="0.25">
      <c r="A36" s="249" t="s">
        <v>1219</v>
      </c>
      <c r="B36" s="334">
        <v>8.9</v>
      </c>
    </row>
    <row r="37" spans="1:2" x14ac:dyDescent="0.25">
      <c r="A37" s="309" t="s">
        <v>870</v>
      </c>
      <c r="B37" s="335">
        <v>6.6</v>
      </c>
    </row>
    <row r="38" spans="1:2" x14ac:dyDescent="0.25">
      <c r="A38" s="249" t="s">
        <v>1219</v>
      </c>
      <c r="B38" s="334">
        <v>9.1</v>
      </c>
    </row>
    <row r="39" spans="1:2" x14ac:dyDescent="0.25">
      <c r="A39" s="309" t="s">
        <v>1219</v>
      </c>
      <c r="B39" s="335">
        <v>7.2</v>
      </c>
    </row>
    <row r="40" spans="1:2" x14ac:dyDescent="0.25">
      <c r="A40" s="249" t="s">
        <v>1219</v>
      </c>
      <c r="B40" s="334">
        <v>9.8000000000000007</v>
      </c>
    </row>
    <row r="41" spans="1:2" x14ac:dyDescent="0.25">
      <c r="A41" s="309" t="s">
        <v>1218</v>
      </c>
      <c r="B41" s="335">
        <v>4.7</v>
      </c>
    </row>
    <row r="42" spans="1:2" x14ac:dyDescent="0.25">
      <c r="A42" s="249" t="s">
        <v>870</v>
      </c>
      <c r="B42" s="334">
        <v>6.2</v>
      </c>
    </row>
    <row r="43" spans="1:2" x14ac:dyDescent="0.25">
      <c r="A43" s="309" t="s">
        <v>1219</v>
      </c>
      <c r="B43" s="335">
        <v>8.3000000000000007</v>
      </c>
    </row>
    <row r="44" spans="1:2" x14ac:dyDescent="0.25">
      <c r="A44" s="249" t="s">
        <v>1219</v>
      </c>
      <c r="B44" s="334">
        <v>9.9</v>
      </c>
    </row>
    <row r="45" spans="1:2" x14ac:dyDescent="0.25">
      <c r="A45" s="309" t="s">
        <v>1219</v>
      </c>
      <c r="B45" s="335">
        <v>5.7</v>
      </c>
    </row>
    <row r="46" spans="1:2" x14ac:dyDescent="0.25">
      <c r="A46" s="249" t="s">
        <v>1218</v>
      </c>
      <c r="B46" s="334">
        <v>6</v>
      </c>
    </row>
    <row r="47" spans="1:2" x14ac:dyDescent="0.25">
      <c r="A47" s="309" t="s">
        <v>1218</v>
      </c>
      <c r="B47" s="335">
        <v>6.8</v>
      </c>
    </row>
    <row r="48" spans="1:2" x14ac:dyDescent="0.25">
      <c r="A48" s="249" t="s">
        <v>1218</v>
      </c>
      <c r="B48" s="334">
        <v>6.2</v>
      </c>
    </row>
    <row r="49" spans="1:2" x14ac:dyDescent="0.25">
      <c r="A49" s="309" t="s">
        <v>1218</v>
      </c>
      <c r="B49" s="335">
        <v>4.3</v>
      </c>
    </row>
    <row r="50" spans="1:2" x14ac:dyDescent="0.25">
      <c r="A50" s="249" t="s">
        <v>870</v>
      </c>
      <c r="B50" s="334">
        <v>4.4000000000000004</v>
      </c>
    </row>
    <row r="51" spans="1:2" x14ac:dyDescent="0.25">
      <c r="A51" s="309" t="s">
        <v>1218</v>
      </c>
      <c r="B51" s="335">
        <v>4.8</v>
      </c>
    </row>
    <row r="52" spans="1:2" x14ac:dyDescent="0.25">
      <c r="A52" s="249" t="s">
        <v>1219</v>
      </c>
      <c r="B52" s="334">
        <v>8.9</v>
      </c>
    </row>
    <row r="53" spans="1:2" x14ac:dyDescent="0.25">
      <c r="A53" s="309" t="s">
        <v>870</v>
      </c>
      <c r="B53" s="335">
        <v>5.2</v>
      </c>
    </row>
    <row r="54" spans="1:2" x14ac:dyDescent="0.25">
      <c r="A54" s="249" t="s">
        <v>870</v>
      </c>
      <c r="B54" s="334">
        <v>5.7</v>
      </c>
    </row>
    <row r="55" spans="1:2" x14ac:dyDescent="0.25">
      <c r="A55" s="309" t="s">
        <v>1219</v>
      </c>
      <c r="B55" s="335">
        <v>9.5</v>
      </c>
    </row>
    <row r="56" spans="1:2" x14ac:dyDescent="0.25">
      <c r="A56" s="249" t="s">
        <v>870</v>
      </c>
      <c r="B56" s="334">
        <v>6.1</v>
      </c>
    </row>
    <row r="57" spans="1:2" x14ac:dyDescent="0.25">
      <c r="A57" s="309" t="s">
        <v>870</v>
      </c>
      <c r="B57" s="335">
        <v>6.7</v>
      </c>
    </row>
    <row r="58" spans="1:2" x14ac:dyDescent="0.25">
      <c r="A58" s="249" t="s">
        <v>1218</v>
      </c>
      <c r="B58" s="334">
        <v>5</v>
      </c>
    </row>
    <row r="59" spans="1:2" x14ac:dyDescent="0.25">
      <c r="A59" s="309" t="s">
        <v>870</v>
      </c>
      <c r="B59" s="335">
        <v>6.7</v>
      </c>
    </row>
    <row r="60" spans="1:2" x14ac:dyDescent="0.25">
      <c r="A60" s="249" t="s">
        <v>1219</v>
      </c>
      <c r="B60" s="334">
        <v>7.5</v>
      </c>
    </row>
    <row r="61" spans="1:2" x14ac:dyDescent="0.25">
      <c r="A61" s="309" t="s">
        <v>870</v>
      </c>
      <c r="B61" s="335">
        <v>6.1</v>
      </c>
    </row>
    <row r="62" spans="1:2" x14ac:dyDescent="0.25">
      <c r="A62" s="249" t="s">
        <v>1218</v>
      </c>
      <c r="B62" s="334">
        <v>4.2</v>
      </c>
    </row>
    <row r="63" spans="1:2" x14ac:dyDescent="0.25">
      <c r="A63" s="309" t="s">
        <v>1219</v>
      </c>
      <c r="B63" s="335">
        <v>9.4</v>
      </c>
    </row>
    <row r="64" spans="1:2" x14ac:dyDescent="0.25">
      <c r="A64" s="249" t="s">
        <v>1218</v>
      </c>
      <c r="B64" s="334">
        <v>6.1</v>
      </c>
    </row>
    <row r="65" spans="1:2" x14ac:dyDescent="0.25">
      <c r="A65" s="309" t="s">
        <v>870</v>
      </c>
      <c r="B65" s="335">
        <v>4.2</v>
      </c>
    </row>
    <row r="66" spans="1:2" x14ac:dyDescent="0.25">
      <c r="A66" s="249" t="s">
        <v>1218</v>
      </c>
      <c r="B66" s="334">
        <v>4.3</v>
      </c>
    </row>
    <row r="67" spans="1:2" x14ac:dyDescent="0.25">
      <c r="A67" s="309" t="s">
        <v>870</v>
      </c>
      <c r="B67" s="335">
        <v>7</v>
      </c>
    </row>
    <row r="68" spans="1:2" x14ac:dyDescent="0.25">
      <c r="A68" s="249" t="s">
        <v>870</v>
      </c>
      <c r="B68" s="334">
        <v>6.1</v>
      </c>
    </row>
    <row r="69" spans="1:2" x14ac:dyDescent="0.25">
      <c r="A69" s="309" t="s">
        <v>1218</v>
      </c>
      <c r="B69" s="335">
        <v>6.7</v>
      </c>
    </row>
    <row r="70" spans="1:2" x14ac:dyDescent="0.25">
      <c r="A70" s="249" t="s">
        <v>870</v>
      </c>
      <c r="B70" s="334">
        <v>6.3</v>
      </c>
    </row>
    <row r="71" spans="1:2" x14ac:dyDescent="0.25">
      <c r="A71" s="309" t="s">
        <v>1218</v>
      </c>
      <c r="B71" s="335">
        <v>4.5999999999999996</v>
      </c>
    </row>
    <row r="72" spans="1:2" x14ac:dyDescent="0.25">
      <c r="A72" s="249" t="s">
        <v>1219</v>
      </c>
      <c r="B72" s="334">
        <v>7.3</v>
      </c>
    </row>
    <row r="73" spans="1:2" x14ac:dyDescent="0.25">
      <c r="A73" s="309" t="s">
        <v>1219</v>
      </c>
      <c r="B73" s="335">
        <v>9</v>
      </c>
    </row>
    <row r="74" spans="1:2" x14ac:dyDescent="0.25">
      <c r="A74" s="249" t="s">
        <v>1218</v>
      </c>
      <c r="B74" s="334">
        <v>5.8</v>
      </c>
    </row>
    <row r="75" spans="1:2" x14ac:dyDescent="0.25">
      <c r="A75" s="309" t="s">
        <v>1219</v>
      </c>
      <c r="B75" s="335">
        <v>7.4</v>
      </c>
    </row>
    <row r="76" spans="1:2" x14ac:dyDescent="0.25">
      <c r="A76" s="249" t="s">
        <v>870</v>
      </c>
      <c r="B76" s="334">
        <v>5.7</v>
      </c>
    </row>
    <row r="77" spans="1:2" x14ac:dyDescent="0.25">
      <c r="A77" s="309" t="s">
        <v>870</v>
      </c>
      <c r="B77" s="335">
        <v>5.7</v>
      </c>
    </row>
    <row r="78" spans="1:2" x14ac:dyDescent="0.25">
      <c r="A78" s="249" t="s">
        <v>1219</v>
      </c>
      <c r="B78" s="334">
        <v>5.9</v>
      </c>
    </row>
    <row r="79" spans="1:2" x14ac:dyDescent="0.25">
      <c r="A79" s="309" t="s">
        <v>1219</v>
      </c>
      <c r="B79" s="335">
        <v>7.8</v>
      </c>
    </row>
    <row r="80" spans="1:2" x14ac:dyDescent="0.25">
      <c r="A80" s="249" t="s">
        <v>1219</v>
      </c>
      <c r="B80" s="334">
        <v>9.5</v>
      </c>
    </row>
    <row r="81" spans="1:2" x14ac:dyDescent="0.25">
      <c r="A81" s="309" t="s">
        <v>1219</v>
      </c>
      <c r="B81" s="335">
        <v>9.5</v>
      </c>
    </row>
    <row r="82" spans="1:2" x14ac:dyDescent="0.25">
      <c r="A82" s="249" t="s">
        <v>1218</v>
      </c>
      <c r="B82" s="334">
        <v>4.2</v>
      </c>
    </row>
    <row r="83" spans="1:2" x14ac:dyDescent="0.25">
      <c r="A83" s="309" t="s">
        <v>1218</v>
      </c>
      <c r="B83" s="335">
        <v>4.5999999999999996</v>
      </c>
    </row>
    <row r="84" spans="1:2" x14ac:dyDescent="0.25">
      <c r="A84" s="249" t="s">
        <v>1218</v>
      </c>
      <c r="B84" s="334">
        <v>4</v>
      </c>
    </row>
    <row r="85" spans="1:2" x14ac:dyDescent="0.25">
      <c r="A85" s="309" t="s">
        <v>870</v>
      </c>
      <c r="B85" s="335">
        <v>6</v>
      </c>
    </row>
    <row r="86" spans="1:2" x14ac:dyDescent="0.25">
      <c r="A86" s="249" t="s">
        <v>1218</v>
      </c>
      <c r="B86" s="334">
        <v>4.5</v>
      </c>
    </row>
    <row r="87" spans="1:2" x14ac:dyDescent="0.25">
      <c r="A87" s="309" t="s">
        <v>1219</v>
      </c>
      <c r="B87" s="335">
        <v>6.7</v>
      </c>
    </row>
    <row r="88" spans="1:2" x14ac:dyDescent="0.25">
      <c r="A88" s="249" t="s">
        <v>1219</v>
      </c>
      <c r="B88" s="334">
        <v>7.6</v>
      </c>
    </row>
    <row r="89" spans="1:2" x14ac:dyDescent="0.25">
      <c r="A89" s="309" t="s">
        <v>870</v>
      </c>
      <c r="B89" s="335">
        <v>6.8</v>
      </c>
    </row>
    <row r="90" spans="1:2" x14ac:dyDescent="0.25">
      <c r="A90" s="249" t="s">
        <v>1219</v>
      </c>
      <c r="B90" s="334">
        <v>10</v>
      </c>
    </row>
    <row r="91" spans="1:2" x14ac:dyDescent="0.25">
      <c r="A91" s="309" t="s">
        <v>1218</v>
      </c>
      <c r="B91" s="335">
        <v>4.8</v>
      </c>
    </row>
    <row r="92" spans="1:2" x14ac:dyDescent="0.25">
      <c r="A92" s="249" t="s">
        <v>1219</v>
      </c>
      <c r="B92" s="334">
        <v>6.1</v>
      </c>
    </row>
    <row r="93" spans="1:2" x14ac:dyDescent="0.25">
      <c r="A93" s="309" t="s">
        <v>1219</v>
      </c>
      <c r="B93" s="335">
        <v>7.6</v>
      </c>
    </row>
    <row r="94" spans="1:2" x14ac:dyDescent="0.25">
      <c r="A94" s="249" t="s">
        <v>1219</v>
      </c>
      <c r="B94" s="334">
        <v>8.1999999999999993</v>
      </c>
    </row>
    <row r="95" spans="1:2" x14ac:dyDescent="0.25">
      <c r="A95" s="309" t="s">
        <v>1218</v>
      </c>
      <c r="B95" s="335">
        <v>5.4</v>
      </c>
    </row>
    <row r="96" spans="1:2" x14ac:dyDescent="0.25">
      <c r="A96" s="249" t="s">
        <v>870</v>
      </c>
      <c r="B96" s="334">
        <v>6.9</v>
      </c>
    </row>
    <row r="97" spans="1:2" x14ac:dyDescent="0.25">
      <c r="A97" s="309" t="s">
        <v>870</v>
      </c>
      <c r="B97" s="335">
        <v>6.3</v>
      </c>
    </row>
    <row r="98" spans="1:2" x14ac:dyDescent="0.25">
      <c r="A98" s="249" t="s">
        <v>1218</v>
      </c>
      <c r="B98" s="334">
        <v>6.1</v>
      </c>
    </row>
    <row r="99" spans="1:2" x14ac:dyDescent="0.25">
      <c r="A99" s="309" t="s">
        <v>1218</v>
      </c>
      <c r="B99" s="335">
        <v>6.8</v>
      </c>
    </row>
    <row r="100" spans="1:2" x14ac:dyDescent="0.25">
      <c r="A100" s="249" t="s">
        <v>1218</v>
      </c>
      <c r="B100" s="334">
        <v>4.0999999999999996</v>
      </c>
    </row>
    <row r="101" spans="1:2" x14ac:dyDescent="0.25">
      <c r="A101" s="309" t="s">
        <v>1219</v>
      </c>
      <c r="B101" s="335">
        <v>5.9</v>
      </c>
    </row>
    <row r="102" spans="1:2" x14ac:dyDescent="0.25">
      <c r="A102" s="249" t="s">
        <v>1218</v>
      </c>
      <c r="B102" s="334">
        <v>4.7</v>
      </c>
    </row>
    <row r="103" spans="1:2" x14ac:dyDescent="0.25">
      <c r="A103" s="309" t="s">
        <v>1218</v>
      </c>
      <c r="B103" s="335">
        <v>5.4</v>
      </c>
    </row>
    <row r="104" spans="1:2" x14ac:dyDescent="0.25">
      <c r="A104" s="249" t="s">
        <v>1219</v>
      </c>
      <c r="B104" s="334">
        <v>7</v>
      </c>
    </row>
    <row r="105" spans="1:2" x14ac:dyDescent="0.25">
      <c r="A105" s="309" t="s">
        <v>1218</v>
      </c>
      <c r="B105" s="335">
        <v>5.0999999999999996</v>
      </c>
    </row>
    <row r="106" spans="1:2" x14ac:dyDescent="0.25">
      <c r="A106" s="249" t="s">
        <v>1218</v>
      </c>
      <c r="B106" s="334">
        <v>5.0999999999999996</v>
      </c>
    </row>
    <row r="107" spans="1:2" x14ac:dyDescent="0.25">
      <c r="A107" s="309" t="s">
        <v>1218</v>
      </c>
      <c r="B107" s="335">
        <v>5.8</v>
      </c>
    </row>
    <row r="108" spans="1:2" x14ac:dyDescent="0.25">
      <c r="A108" s="249" t="s">
        <v>1218</v>
      </c>
      <c r="B108" s="334">
        <v>5.7</v>
      </c>
    </row>
    <row r="109" spans="1:2" x14ac:dyDescent="0.25">
      <c r="A109" s="309" t="s">
        <v>1219</v>
      </c>
      <c r="B109" s="335">
        <v>5.8</v>
      </c>
    </row>
    <row r="110" spans="1:2" x14ac:dyDescent="0.25">
      <c r="A110" s="249" t="s">
        <v>870</v>
      </c>
      <c r="B110" s="334">
        <v>5.6</v>
      </c>
    </row>
    <row r="111" spans="1:2" x14ac:dyDescent="0.25">
      <c r="A111" s="309" t="s">
        <v>870</v>
      </c>
      <c r="B111" s="335">
        <v>4.8</v>
      </c>
    </row>
    <row r="112" spans="1:2" x14ac:dyDescent="0.25">
      <c r="A112" s="249" t="s">
        <v>1219</v>
      </c>
      <c r="B112" s="334">
        <v>5.4</v>
      </c>
    </row>
    <row r="113" spans="1:2" x14ac:dyDescent="0.25">
      <c r="A113" s="309" t="s">
        <v>870</v>
      </c>
      <c r="B113" s="335">
        <v>5.7</v>
      </c>
    </row>
    <row r="114" spans="1:2" x14ac:dyDescent="0.25">
      <c r="A114" s="249" t="s">
        <v>870</v>
      </c>
      <c r="B114" s="334">
        <v>5.2</v>
      </c>
    </row>
    <row r="115" spans="1:2" x14ac:dyDescent="0.25">
      <c r="A115" s="309" t="s">
        <v>870</v>
      </c>
      <c r="B115" s="335">
        <v>6.5</v>
      </c>
    </row>
    <row r="116" spans="1:2" x14ac:dyDescent="0.25">
      <c r="A116" s="249" t="s">
        <v>1218</v>
      </c>
      <c r="B116" s="334">
        <v>4.9000000000000004</v>
      </c>
    </row>
    <row r="117" spans="1:2" x14ac:dyDescent="0.25">
      <c r="A117" s="309" t="s">
        <v>1219</v>
      </c>
      <c r="B117" s="335">
        <v>8.6999999999999993</v>
      </c>
    </row>
    <row r="118" spans="1:2" x14ac:dyDescent="0.25">
      <c r="A118" s="249" t="s">
        <v>1219</v>
      </c>
      <c r="B118" s="334">
        <v>9.6999999999999993</v>
      </c>
    </row>
    <row r="119" spans="1:2" x14ac:dyDescent="0.25">
      <c r="A119" s="309" t="s">
        <v>870</v>
      </c>
      <c r="B119" s="335">
        <v>5.5</v>
      </c>
    </row>
    <row r="120" spans="1:2" x14ac:dyDescent="0.25">
      <c r="A120" s="249" t="s">
        <v>1219</v>
      </c>
      <c r="B120" s="334">
        <v>6.2</v>
      </c>
    </row>
    <row r="121" spans="1:2" x14ac:dyDescent="0.25">
      <c r="A121" s="309" t="s">
        <v>870</v>
      </c>
      <c r="B121" s="335">
        <v>4.2</v>
      </c>
    </row>
    <row r="122" spans="1:2" x14ac:dyDescent="0.25">
      <c r="A122" s="249" t="s">
        <v>1219</v>
      </c>
      <c r="B122" s="334">
        <v>8</v>
      </c>
    </row>
    <row r="123" spans="1:2" x14ac:dyDescent="0.25">
      <c r="A123" s="309" t="s">
        <v>1218</v>
      </c>
      <c r="B123" s="335">
        <v>5.7</v>
      </c>
    </row>
    <row r="124" spans="1:2" x14ac:dyDescent="0.25">
      <c r="A124" s="249" t="s">
        <v>1218</v>
      </c>
      <c r="B124" s="334">
        <v>5</v>
      </c>
    </row>
    <row r="125" spans="1:2" x14ac:dyDescent="0.25">
      <c r="A125" s="309" t="s">
        <v>1219</v>
      </c>
      <c r="B125" s="335">
        <v>8.6</v>
      </c>
    </row>
    <row r="126" spans="1:2" x14ac:dyDescent="0.25">
      <c r="A126" s="249" t="s">
        <v>1219</v>
      </c>
      <c r="B126" s="334">
        <v>9.3000000000000007</v>
      </c>
    </row>
    <row r="127" spans="1:2" x14ac:dyDescent="0.25">
      <c r="A127" s="309" t="s">
        <v>870</v>
      </c>
      <c r="B127" s="335">
        <v>4.5999999999999996</v>
      </c>
    </row>
    <row r="128" spans="1:2" x14ac:dyDescent="0.25">
      <c r="A128" s="249" t="s">
        <v>1218</v>
      </c>
      <c r="B128" s="334">
        <v>5.0999999999999996</v>
      </c>
    </row>
    <row r="129" spans="1:2" x14ac:dyDescent="0.25">
      <c r="A129" s="309" t="s">
        <v>870</v>
      </c>
      <c r="B129" s="335">
        <v>5</v>
      </c>
    </row>
    <row r="130" spans="1:2" x14ac:dyDescent="0.25">
      <c r="A130" s="249" t="s">
        <v>1218</v>
      </c>
      <c r="B130" s="334">
        <v>5.4</v>
      </c>
    </row>
    <row r="131" spans="1:2" x14ac:dyDescent="0.25">
      <c r="A131" s="309" t="s">
        <v>870</v>
      </c>
      <c r="B131" s="335">
        <v>6.5</v>
      </c>
    </row>
    <row r="132" spans="1:2" x14ac:dyDescent="0.25">
      <c r="A132" s="249" t="s">
        <v>870</v>
      </c>
      <c r="B132" s="334">
        <v>4.3</v>
      </c>
    </row>
    <row r="133" spans="1:2" x14ac:dyDescent="0.25">
      <c r="A133" s="309" t="s">
        <v>1219</v>
      </c>
      <c r="B133" s="335">
        <v>8.5</v>
      </c>
    </row>
    <row r="134" spans="1:2" x14ac:dyDescent="0.25">
      <c r="A134" s="249" t="s">
        <v>870</v>
      </c>
      <c r="B134" s="334">
        <v>5</v>
      </c>
    </row>
    <row r="135" spans="1:2" x14ac:dyDescent="0.25">
      <c r="A135" s="309" t="s">
        <v>1219</v>
      </c>
      <c r="B135" s="335">
        <v>5.8</v>
      </c>
    </row>
    <row r="136" spans="1:2" x14ac:dyDescent="0.25">
      <c r="A136" s="249" t="s">
        <v>1218</v>
      </c>
      <c r="B136" s="334">
        <v>4.8</v>
      </c>
    </row>
    <row r="137" spans="1:2" x14ac:dyDescent="0.25">
      <c r="A137" s="309" t="s">
        <v>1218</v>
      </c>
      <c r="B137" s="335">
        <v>4.2</v>
      </c>
    </row>
    <row r="138" spans="1:2" x14ac:dyDescent="0.25">
      <c r="A138" s="249" t="s">
        <v>1218</v>
      </c>
      <c r="B138" s="334">
        <v>5.6</v>
      </c>
    </row>
    <row r="139" spans="1:2" x14ac:dyDescent="0.25">
      <c r="A139" s="309" t="s">
        <v>870</v>
      </c>
      <c r="B139" s="335">
        <v>6.6</v>
      </c>
    </row>
    <row r="140" spans="1:2" x14ac:dyDescent="0.25">
      <c r="A140" s="249" t="s">
        <v>870</v>
      </c>
      <c r="B140" s="334">
        <v>6.6</v>
      </c>
    </row>
    <row r="141" spans="1:2" x14ac:dyDescent="0.25">
      <c r="A141" s="309" t="s">
        <v>1219</v>
      </c>
      <c r="B141" s="335">
        <v>9.3000000000000007</v>
      </c>
    </row>
    <row r="142" spans="1:2" x14ac:dyDescent="0.25">
      <c r="A142" s="249" t="s">
        <v>1218</v>
      </c>
      <c r="B142" s="334">
        <v>6.8</v>
      </c>
    </row>
    <row r="143" spans="1:2" x14ac:dyDescent="0.25">
      <c r="A143" s="309" t="s">
        <v>1219</v>
      </c>
      <c r="B143" s="335">
        <v>7.6</v>
      </c>
    </row>
    <row r="144" spans="1:2" x14ac:dyDescent="0.25">
      <c r="A144" s="249" t="s">
        <v>870</v>
      </c>
      <c r="B144" s="334">
        <v>6.4</v>
      </c>
    </row>
    <row r="145" spans="1:2" x14ac:dyDescent="0.25">
      <c r="A145" s="309" t="s">
        <v>870</v>
      </c>
      <c r="B145" s="335">
        <v>5.4</v>
      </c>
    </row>
    <row r="146" spans="1:2" x14ac:dyDescent="0.25">
      <c r="A146" s="249" t="s">
        <v>870</v>
      </c>
      <c r="B146" s="334">
        <v>6.5</v>
      </c>
    </row>
    <row r="147" spans="1:2" x14ac:dyDescent="0.25">
      <c r="A147" s="309" t="s">
        <v>1219</v>
      </c>
      <c r="B147" s="335">
        <v>8.1</v>
      </c>
    </row>
    <row r="148" spans="1:2" x14ac:dyDescent="0.25">
      <c r="A148" s="249" t="s">
        <v>1219</v>
      </c>
      <c r="B148" s="334">
        <v>6.7</v>
      </c>
    </row>
    <row r="149" spans="1:2" x14ac:dyDescent="0.25">
      <c r="A149" s="309" t="s">
        <v>1219</v>
      </c>
      <c r="B149" s="335">
        <v>7.5</v>
      </c>
    </row>
    <row r="150" spans="1:2" x14ac:dyDescent="0.25">
      <c r="A150" s="249" t="s">
        <v>870</v>
      </c>
      <c r="B150" s="334">
        <v>7</v>
      </c>
    </row>
    <row r="151" spans="1:2" x14ac:dyDescent="0.25">
      <c r="A151" s="309" t="s">
        <v>1219</v>
      </c>
      <c r="B151" s="335">
        <v>9.6</v>
      </c>
    </row>
    <row r="152" spans="1:2" x14ac:dyDescent="0.25">
      <c r="A152" s="249" t="s">
        <v>1218</v>
      </c>
      <c r="B152" s="334">
        <v>6.8</v>
      </c>
    </row>
    <row r="153" spans="1:2" x14ac:dyDescent="0.25">
      <c r="A153" s="309" t="s">
        <v>1218</v>
      </c>
      <c r="B153" s="335">
        <v>4.2</v>
      </c>
    </row>
    <row r="154" spans="1:2" x14ac:dyDescent="0.25">
      <c r="A154" s="249" t="s">
        <v>1218</v>
      </c>
      <c r="B154" s="334">
        <v>4.4000000000000004</v>
      </c>
    </row>
    <row r="155" spans="1:2" x14ac:dyDescent="0.25">
      <c r="A155" s="309" t="s">
        <v>1219</v>
      </c>
      <c r="B155" s="335">
        <v>8.6</v>
      </c>
    </row>
    <row r="156" spans="1:2" x14ac:dyDescent="0.25">
      <c r="A156" s="249" t="s">
        <v>1218</v>
      </c>
      <c r="B156" s="334">
        <v>5.3</v>
      </c>
    </row>
    <row r="157" spans="1:2" x14ac:dyDescent="0.25">
      <c r="A157" s="309" t="s">
        <v>1218</v>
      </c>
      <c r="B157" s="335">
        <v>6.5</v>
      </c>
    </row>
    <row r="158" spans="1:2" x14ac:dyDescent="0.25">
      <c r="A158" s="249" t="s">
        <v>870</v>
      </c>
      <c r="B158" s="334">
        <v>6.6</v>
      </c>
    </row>
    <row r="159" spans="1:2" x14ac:dyDescent="0.25">
      <c r="A159" s="309" t="s">
        <v>870</v>
      </c>
      <c r="B159" s="335">
        <v>6.8</v>
      </c>
    </row>
    <row r="160" spans="1:2" x14ac:dyDescent="0.25">
      <c r="A160" s="249" t="s">
        <v>870</v>
      </c>
      <c r="B160" s="334">
        <v>6.6</v>
      </c>
    </row>
    <row r="161" spans="1:2" x14ac:dyDescent="0.25">
      <c r="A161" s="309" t="s">
        <v>870</v>
      </c>
      <c r="B161" s="335">
        <v>4.9000000000000004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4">
    <tabColor rgb="FF0000FF"/>
  </sheetPr>
  <dimension ref="A1:N35"/>
  <sheetViews>
    <sheetView zoomScale="160" zoomScaleNormal="160" workbookViewId="0">
      <selection activeCell="E2" sqref="E2"/>
    </sheetView>
  </sheetViews>
  <sheetFormatPr defaultRowHeight="15" x14ac:dyDescent="0.25"/>
  <cols>
    <col min="1" max="1" width="13.28515625" customWidth="1"/>
    <col min="2" max="2" width="2.28515625" customWidth="1"/>
    <col min="3" max="3" width="19.5703125" bestFit="1" customWidth="1"/>
    <col min="4" max="4" width="10.42578125" customWidth="1"/>
    <col min="10" max="10" width="18.140625" bestFit="1" customWidth="1"/>
    <col min="11" max="11" width="18.42578125" customWidth="1"/>
    <col min="12" max="12" width="13.140625" bestFit="1" customWidth="1"/>
  </cols>
  <sheetData>
    <row r="1" spans="1:12" x14ac:dyDescent="0.25">
      <c r="A1" s="134" t="s">
        <v>37</v>
      </c>
      <c r="C1" s="18" t="s">
        <v>1235</v>
      </c>
      <c r="D1" s="18" t="s">
        <v>1236</v>
      </c>
      <c r="E1" s="18" t="s">
        <v>1054</v>
      </c>
    </row>
    <row r="2" spans="1:12" x14ac:dyDescent="0.25">
      <c r="A2" s="183">
        <v>249.99</v>
      </c>
      <c r="C2" s="8" t="str">
        <f>"Sales &lt;= "&amp;DOLLAR(D2,0)</f>
        <v>Sales &lt;= $ 250</v>
      </c>
      <c r="D2" s="8">
        <v>250</v>
      </c>
      <c r="E2" s="321"/>
    </row>
    <row r="3" spans="1:12" x14ac:dyDescent="0.25">
      <c r="A3" s="183">
        <v>250</v>
      </c>
      <c r="C3" s="8" t="str">
        <f>DOLLAR(D2,0)&amp;" &lt; Sales &lt;= "&amp;DOLLAR(D3,0)</f>
        <v>$ 250 &lt; Sales &lt;= $ 500</v>
      </c>
      <c r="D3" s="8">
        <v>500</v>
      </c>
      <c r="E3" s="321"/>
    </row>
    <row r="4" spans="1:12" x14ac:dyDescent="0.25">
      <c r="A4" s="183">
        <v>250.01</v>
      </c>
      <c r="C4" s="8" t="str">
        <f t="shared" ref="C4:C5" si="0">DOLLAR(D3,0)&amp;" &lt; Sales &lt;= "&amp;DOLLAR(D4,0)</f>
        <v>$ 500 &lt; Sales &lt;= $ 750</v>
      </c>
      <c r="D4" s="8">
        <v>750</v>
      </c>
      <c r="E4" s="321"/>
    </row>
    <row r="5" spans="1:12" x14ac:dyDescent="0.25">
      <c r="A5" s="183">
        <v>450</v>
      </c>
      <c r="C5" s="8" t="str">
        <f t="shared" si="0"/>
        <v>$ 750 &lt; Sales &lt;= $ 1.000</v>
      </c>
      <c r="D5" s="8">
        <v>1000</v>
      </c>
      <c r="E5" s="321"/>
      <c r="K5" t="s">
        <v>1237</v>
      </c>
    </row>
    <row r="6" spans="1:12" x14ac:dyDescent="0.25">
      <c r="A6" s="183">
        <v>499.99</v>
      </c>
      <c r="C6" s="8" t="str">
        <f>"Sales &gt; "&amp;DOLLAR(D5,0)</f>
        <v>Sales &gt; $ 1.000</v>
      </c>
      <c r="D6" s="8"/>
      <c r="E6" s="321"/>
    </row>
    <row r="7" spans="1:12" x14ac:dyDescent="0.25">
      <c r="A7" s="183">
        <v>500</v>
      </c>
    </row>
    <row r="8" spans="1:12" x14ac:dyDescent="0.25">
      <c r="A8" s="183">
        <v>500.01</v>
      </c>
      <c r="K8" s="310" t="s">
        <v>1047</v>
      </c>
      <c r="L8" t="s">
        <v>1048</v>
      </c>
    </row>
    <row r="9" spans="1:12" x14ac:dyDescent="0.25">
      <c r="A9" s="183">
        <v>800</v>
      </c>
      <c r="J9" t="str">
        <f>L31&amp;" &lt;= Sales &lt; "&amp;M31</f>
        <v>0 &lt;= Sales &lt; 250</v>
      </c>
      <c r="K9" s="311" t="s">
        <v>1055</v>
      </c>
      <c r="L9" s="312">
        <v>1</v>
      </c>
    </row>
    <row r="10" spans="1:12" x14ac:dyDescent="0.25">
      <c r="A10" s="183">
        <v>900</v>
      </c>
      <c r="J10" t="str">
        <f>L32&amp;" &lt;= Sales &lt; "&amp;M32</f>
        <v>250 &lt;= Sales &lt; 500</v>
      </c>
      <c r="K10" s="313" t="s">
        <v>1056</v>
      </c>
      <c r="L10" s="314">
        <v>4</v>
      </c>
    </row>
    <row r="11" spans="1:12" x14ac:dyDescent="0.25">
      <c r="A11" s="183">
        <v>850</v>
      </c>
      <c r="J11" t="str">
        <f>L33&amp;" &lt;= Sales &lt; "&amp;M33</f>
        <v>500 &lt;= Sales &lt; 750</v>
      </c>
      <c r="K11" s="317" t="s">
        <v>1057</v>
      </c>
      <c r="L11" s="318">
        <v>2</v>
      </c>
    </row>
    <row r="12" spans="1:12" x14ac:dyDescent="0.25">
      <c r="A12" s="183">
        <v>800</v>
      </c>
      <c r="J12" t="str">
        <f>L34&amp;" &lt;= Sales &lt; "&amp;M34</f>
        <v>750 &lt;= Sales &lt; 1000</v>
      </c>
      <c r="K12" s="315" t="s">
        <v>1058</v>
      </c>
      <c r="L12" s="316">
        <v>5</v>
      </c>
    </row>
    <row r="13" spans="1:12" x14ac:dyDescent="0.25">
      <c r="A13" s="183">
        <v>1000</v>
      </c>
      <c r="J13" t="str">
        <f>L35&amp;" &lt; Sales"</f>
        <v>1000 &lt; Sales</v>
      </c>
      <c r="K13" s="319" t="s">
        <v>1089</v>
      </c>
      <c r="L13" s="320">
        <v>1</v>
      </c>
    </row>
    <row r="14" spans="1:12" x14ac:dyDescent="0.25">
      <c r="A14" s="183">
        <v>2000</v>
      </c>
      <c r="K14" s="31" t="s">
        <v>1014</v>
      </c>
      <c r="L14" s="30">
        <v>13</v>
      </c>
    </row>
    <row r="16" spans="1:12" x14ac:dyDescent="0.25">
      <c r="K16" s="134" t="s">
        <v>37</v>
      </c>
    </row>
    <row r="17" spans="11:14" x14ac:dyDescent="0.25">
      <c r="K17" s="367">
        <v>249.99</v>
      </c>
    </row>
    <row r="18" spans="11:14" x14ac:dyDescent="0.25">
      <c r="K18" s="368">
        <v>250</v>
      </c>
    </row>
    <row r="19" spans="11:14" x14ac:dyDescent="0.25">
      <c r="K19" s="368">
        <v>250.01</v>
      </c>
    </row>
    <row r="20" spans="11:14" x14ac:dyDescent="0.25">
      <c r="K20" s="368">
        <v>450</v>
      </c>
    </row>
    <row r="21" spans="11:14" x14ac:dyDescent="0.25">
      <c r="K21" s="368">
        <v>499.99</v>
      </c>
    </row>
    <row r="22" spans="11:14" x14ac:dyDescent="0.25">
      <c r="K22" s="369">
        <v>500</v>
      </c>
    </row>
    <row r="23" spans="11:14" x14ac:dyDescent="0.25">
      <c r="K23" s="369">
        <v>500.01</v>
      </c>
    </row>
    <row r="24" spans="11:14" x14ac:dyDescent="0.25">
      <c r="K24" s="370">
        <v>800</v>
      </c>
    </row>
    <row r="25" spans="11:14" x14ac:dyDescent="0.25">
      <c r="K25" s="370">
        <v>900</v>
      </c>
    </row>
    <row r="26" spans="11:14" x14ac:dyDescent="0.25">
      <c r="K26" s="370">
        <v>850</v>
      </c>
    </row>
    <row r="27" spans="11:14" x14ac:dyDescent="0.25">
      <c r="K27" s="370">
        <v>800</v>
      </c>
    </row>
    <row r="28" spans="11:14" x14ac:dyDescent="0.25">
      <c r="K28" s="183">
        <v>1000</v>
      </c>
    </row>
    <row r="29" spans="11:14" x14ac:dyDescent="0.25">
      <c r="K29" s="371">
        <v>2000</v>
      </c>
    </row>
    <row r="30" spans="11:14" x14ac:dyDescent="0.25">
      <c r="N30" t="s">
        <v>426</v>
      </c>
    </row>
    <row r="31" spans="11:14" x14ac:dyDescent="0.25">
      <c r="K31" s="8" t="str">
        <f>L31&amp;" &lt; Sales &lt;= "&amp;M31</f>
        <v>0 &lt; Sales &lt;= 250</v>
      </c>
      <c r="L31" s="8">
        <v>0</v>
      </c>
      <c r="M31" s="8">
        <v>250</v>
      </c>
      <c r="N31" s="10">
        <f>COUNTIFS($A$2:$A$14,"&gt;="&amp;L31,$A$2:$A$14,"&lt;"&amp;M31)</f>
        <v>1</v>
      </c>
    </row>
    <row r="32" spans="11:14" x14ac:dyDescent="0.25">
      <c r="K32" s="8" t="str">
        <f t="shared" ref="K32:K35" si="1">L32&amp;" &lt; Sales &lt;= "&amp;M32</f>
        <v>250 &lt; Sales &lt;= 500</v>
      </c>
      <c r="L32" s="8">
        <f>M31</f>
        <v>250</v>
      </c>
      <c r="M32" s="8">
        <f>M31+250</f>
        <v>500</v>
      </c>
      <c r="N32" s="10">
        <f t="shared" ref="N32:N34" si="2">COUNTIFS($A$2:$A$14,"&gt;="&amp;L32,$A$2:$A$14,"&lt;"&amp;M32)</f>
        <v>4</v>
      </c>
    </row>
    <row r="33" spans="11:14" x14ac:dyDescent="0.25">
      <c r="K33" s="8" t="str">
        <f t="shared" si="1"/>
        <v>500 &lt; Sales &lt;= 750</v>
      </c>
      <c r="L33" s="8">
        <f t="shared" ref="L33:L35" si="3">M32</f>
        <v>500</v>
      </c>
      <c r="M33" s="8">
        <f t="shared" ref="M33:M35" si="4">M32+250</f>
        <v>750</v>
      </c>
      <c r="N33" s="10">
        <f t="shared" si="2"/>
        <v>2</v>
      </c>
    </row>
    <row r="34" spans="11:14" x14ac:dyDescent="0.25">
      <c r="K34" s="8" t="str">
        <f t="shared" si="1"/>
        <v>750 &lt; Sales &lt;= 1000</v>
      </c>
      <c r="L34" s="8">
        <f t="shared" si="3"/>
        <v>750</v>
      </c>
      <c r="M34" s="8">
        <f t="shared" si="4"/>
        <v>1000</v>
      </c>
      <c r="N34" s="10">
        <f t="shared" si="2"/>
        <v>4</v>
      </c>
    </row>
    <row r="35" spans="11:14" x14ac:dyDescent="0.25">
      <c r="K35" s="8" t="str">
        <f t="shared" si="1"/>
        <v>1000 &lt; Sales &lt;= 1250</v>
      </c>
      <c r="L35" s="8">
        <f t="shared" si="3"/>
        <v>1000</v>
      </c>
      <c r="M35" s="8">
        <f t="shared" si="4"/>
        <v>1250</v>
      </c>
      <c r="N35" s="10">
        <f>COUNTIFS($A$2:$A$14,"&gt;"&amp;L35)</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75">
    <tabColor rgb="FF0000FF"/>
  </sheetPr>
  <dimension ref="A1:F7"/>
  <sheetViews>
    <sheetView workbookViewId="0"/>
  </sheetViews>
  <sheetFormatPr defaultColWidth="8.7109375" defaultRowHeight="15" x14ac:dyDescent="0.25"/>
  <cols>
    <col min="1" max="1" width="11.7109375" bestFit="1" customWidth="1"/>
    <col min="2" max="5" width="9.7109375" bestFit="1" customWidth="1"/>
    <col min="6" max="7" width="9.5703125" bestFit="1" customWidth="1"/>
    <col min="8" max="8" width="8.85546875"/>
  </cols>
  <sheetData>
    <row r="1" spans="1:6" x14ac:dyDescent="0.25">
      <c r="A1" s="322" t="s">
        <v>1238</v>
      </c>
      <c r="B1" s="18" t="s">
        <v>1239</v>
      </c>
      <c r="C1" s="18" t="s">
        <v>1240</v>
      </c>
      <c r="D1" s="18" t="s">
        <v>1241</v>
      </c>
      <c r="E1" s="18" t="s">
        <v>1242</v>
      </c>
      <c r="F1" s="18" t="s">
        <v>785</v>
      </c>
    </row>
    <row r="2" spans="1:6" x14ac:dyDescent="0.25">
      <c r="A2" s="9" t="s">
        <v>381</v>
      </c>
      <c r="B2" s="323">
        <v>415</v>
      </c>
      <c r="C2" s="323">
        <v>244</v>
      </c>
      <c r="D2" s="323">
        <v>248</v>
      </c>
      <c r="E2" s="323">
        <v>417</v>
      </c>
      <c r="F2" s="324">
        <f t="shared" ref="F2:F7" si="0">SUM(B2:E2)</f>
        <v>1324</v>
      </c>
    </row>
    <row r="3" spans="1:6" x14ac:dyDescent="0.25">
      <c r="A3" s="9" t="s">
        <v>382</v>
      </c>
      <c r="B3" s="325">
        <v>279</v>
      </c>
      <c r="C3" s="325">
        <v>223</v>
      </c>
      <c r="D3" s="325">
        <v>321</v>
      </c>
      <c r="E3" s="325">
        <v>191</v>
      </c>
      <c r="F3" s="326">
        <f t="shared" si="0"/>
        <v>1014</v>
      </c>
    </row>
    <row r="4" spans="1:6" x14ac:dyDescent="0.25">
      <c r="A4" s="9" t="s">
        <v>383</v>
      </c>
      <c r="B4" s="325">
        <v>379</v>
      </c>
      <c r="C4" s="325">
        <v>382</v>
      </c>
      <c r="D4" s="325">
        <v>215</v>
      </c>
      <c r="E4" s="325">
        <v>304</v>
      </c>
      <c r="F4" s="326">
        <f t="shared" si="0"/>
        <v>1280</v>
      </c>
    </row>
    <row r="5" spans="1:6" x14ac:dyDescent="0.25">
      <c r="A5" s="9" t="s">
        <v>384</v>
      </c>
      <c r="B5" s="325">
        <v>181</v>
      </c>
      <c r="C5" s="325">
        <v>227</v>
      </c>
      <c r="D5" s="325">
        <v>150</v>
      </c>
      <c r="E5" s="325">
        <v>260</v>
      </c>
      <c r="F5" s="326">
        <f t="shared" si="0"/>
        <v>818</v>
      </c>
    </row>
    <row r="6" spans="1:6" x14ac:dyDescent="0.25">
      <c r="A6" s="9" t="s">
        <v>385</v>
      </c>
      <c r="B6" s="325">
        <v>290</v>
      </c>
      <c r="C6" s="325">
        <v>440</v>
      </c>
      <c r="D6" s="325">
        <v>212</v>
      </c>
      <c r="E6" s="325">
        <v>368</v>
      </c>
      <c r="F6" s="326">
        <f t="shared" si="0"/>
        <v>1310</v>
      </c>
    </row>
    <row r="7" spans="1:6" x14ac:dyDescent="0.25">
      <c r="A7" s="9" t="s">
        <v>785</v>
      </c>
      <c r="B7" s="327">
        <f>SUM(B2:B6)</f>
        <v>1544</v>
      </c>
      <c r="C7" s="327">
        <f>SUM(C2:C6)</f>
        <v>1516</v>
      </c>
      <c r="D7" s="327">
        <f>SUM(D2:D6)</f>
        <v>1146</v>
      </c>
      <c r="E7" s="327">
        <f>SUM(E2:E6)</f>
        <v>1540</v>
      </c>
      <c r="F7" s="328">
        <f t="shared" si="0"/>
        <v>5746</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94">
    <tabColor rgb="FF7030A0"/>
  </sheetPr>
  <dimension ref="A1:F48"/>
  <sheetViews>
    <sheetView workbookViewId="0"/>
  </sheetViews>
  <sheetFormatPr defaultRowHeight="15" x14ac:dyDescent="0.25"/>
  <cols>
    <col min="1" max="1" width="18.5703125" bestFit="1" customWidth="1"/>
    <col min="2" max="2" width="43.140625" customWidth="1"/>
    <col min="3" max="3" width="16.85546875" bestFit="1" customWidth="1"/>
    <col min="4" max="4" width="18.28515625" bestFit="1" customWidth="1"/>
    <col min="5" max="5" width="13.42578125" bestFit="1" customWidth="1"/>
    <col min="6" max="6" width="7.140625" bestFit="1" customWidth="1"/>
  </cols>
  <sheetData>
    <row r="1" spans="1:6" x14ac:dyDescent="0.25">
      <c r="A1" s="1" t="str">
        <f>ROW()&amp;")"</f>
        <v>1)</v>
      </c>
      <c r="B1" s="163" t="s">
        <v>1432</v>
      </c>
      <c r="C1" s="163"/>
      <c r="D1" s="163"/>
    </row>
    <row r="2" spans="1:6" x14ac:dyDescent="0.25">
      <c r="A2" s="1" t="str">
        <f t="shared" ref="A2:A10" si="0">ROW()&amp;")"</f>
        <v>2)</v>
      </c>
      <c r="B2" s="163" t="s">
        <v>1433</v>
      </c>
      <c r="C2" s="163"/>
      <c r="D2" s="163"/>
    </row>
    <row r="3" spans="1:6" x14ac:dyDescent="0.25">
      <c r="A3" s="1" t="str">
        <f t="shared" si="0"/>
        <v>3)</v>
      </c>
      <c r="B3" s="163" t="s">
        <v>1434</v>
      </c>
      <c r="C3" s="163"/>
      <c r="D3" s="163"/>
    </row>
    <row r="4" spans="1:6" x14ac:dyDescent="0.25">
      <c r="A4" s="1" t="str">
        <f t="shared" si="0"/>
        <v>4)</v>
      </c>
      <c r="B4" s="163" t="s">
        <v>1435</v>
      </c>
      <c r="C4" s="163"/>
      <c r="D4" s="163"/>
    </row>
    <row r="5" spans="1:6" ht="30" x14ac:dyDescent="0.25">
      <c r="A5" s="1" t="str">
        <f t="shared" si="0"/>
        <v>5)</v>
      </c>
      <c r="B5" s="163" t="s">
        <v>1436</v>
      </c>
      <c r="C5" s="163"/>
      <c r="D5" s="163"/>
    </row>
    <row r="6" spans="1:6" x14ac:dyDescent="0.25">
      <c r="A6" s="1" t="str">
        <f t="shared" si="0"/>
        <v>6)</v>
      </c>
      <c r="B6" s="163" t="s">
        <v>1437</v>
      </c>
      <c r="C6" s="163"/>
      <c r="D6" s="163"/>
    </row>
    <row r="7" spans="1:6" x14ac:dyDescent="0.25">
      <c r="A7" s="1" t="str">
        <f t="shared" si="0"/>
        <v>7)</v>
      </c>
      <c r="B7" s="163" t="s">
        <v>1438</v>
      </c>
      <c r="C7" s="163"/>
      <c r="D7" s="163"/>
    </row>
    <row r="8" spans="1:6" ht="30" x14ac:dyDescent="0.25">
      <c r="A8" s="1" t="str">
        <f t="shared" si="0"/>
        <v>8)</v>
      </c>
      <c r="B8" s="163" t="s">
        <v>1439</v>
      </c>
      <c r="C8" s="163"/>
      <c r="D8" s="163"/>
    </row>
    <row r="9" spans="1:6" ht="30" x14ac:dyDescent="0.25">
      <c r="A9" s="1" t="str">
        <f t="shared" si="0"/>
        <v>9)</v>
      </c>
      <c r="B9" s="163" t="s">
        <v>1440</v>
      </c>
      <c r="C9" s="163"/>
      <c r="D9" s="163"/>
    </row>
    <row r="10" spans="1:6" ht="30" x14ac:dyDescent="0.25">
      <c r="A10" s="1" t="str">
        <f t="shared" si="0"/>
        <v>10)</v>
      </c>
      <c r="B10" s="163" t="s">
        <v>1441</v>
      </c>
      <c r="C10" s="163"/>
      <c r="D10" s="163"/>
    </row>
    <row r="12" spans="1:6" x14ac:dyDescent="0.25">
      <c r="A12" s="372" t="s">
        <v>1442</v>
      </c>
      <c r="B12" s="372" t="s">
        <v>1443</v>
      </c>
      <c r="C12" s="372" t="s">
        <v>1444</v>
      </c>
      <c r="D12" s="372" t="s">
        <v>1445</v>
      </c>
      <c r="E12" s="271"/>
      <c r="F12" s="271"/>
    </row>
    <row r="13" spans="1:6" ht="31.5" x14ac:dyDescent="0.35">
      <c r="A13" s="373" t="s">
        <v>962</v>
      </c>
      <c r="B13" s="72" t="s">
        <v>1446</v>
      </c>
      <c r="C13" s="72">
        <v>12.77</v>
      </c>
      <c r="D13" s="374">
        <v>12.77</v>
      </c>
      <c r="E13" s="271"/>
      <c r="F13" s="271"/>
    </row>
    <row r="14" spans="1:6" ht="23.25" x14ac:dyDescent="0.35">
      <c r="A14" s="375"/>
      <c r="B14" s="72"/>
      <c r="C14" s="8">
        <v>5</v>
      </c>
      <c r="D14" s="374">
        <v>5</v>
      </c>
    </row>
    <row r="15" spans="1:6" ht="31.5" x14ac:dyDescent="0.35">
      <c r="A15" s="375">
        <v>0</v>
      </c>
      <c r="B15" s="72" t="s">
        <v>1447</v>
      </c>
      <c r="C15" s="72">
        <v>0.35</v>
      </c>
      <c r="D15" s="295">
        <v>0.35</v>
      </c>
    </row>
    <row r="16" spans="1:6" ht="23.25" x14ac:dyDescent="0.35">
      <c r="A16" s="375"/>
      <c r="B16" s="72"/>
      <c r="C16" s="8">
        <v>23</v>
      </c>
      <c r="D16" s="295">
        <v>23</v>
      </c>
    </row>
    <row r="17" spans="1:4" ht="23.25" x14ac:dyDescent="0.35">
      <c r="A17" s="375">
        <v>0</v>
      </c>
      <c r="B17" s="72" t="s">
        <v>1448</v>
      </c>
      <c r="C17" s="8">
        <v>345</v>
      </c>
      <c r="D17" s="376">
        <v>345</v>
      </c>
    </row>
    <row r="18" spans="1:4" ht="23.25" x14ac:dyDescent="0.35">
      <c r="A18" s="375">
        <v>0</v>
      </c>
      <c r="B18" s="72" t="s">
        <v>1449</v>
      </c>
      <c r="C18" s="377" t="s">
        <v>1450</v>
      </c>
      <c r="D18" s="378">
        <v>0.12548963258663501</v>
      </c>
    </row>
    <row r="19" spans="1:4" ht="61.5" x14ac:dyDescent="0.35">
      <c r="A19" s="375" t="s">
        <v>1451</v>
      </c>
      <c r="B19" s="72" t="s">
        <v>1452</v>
      </c>
      <c r="C19" s="72">
        <v>27.3</v>
      </c>
      <c r="D19" s="379">
        <v>27.3</v>
      </c>
    </row>
    <row r="20" spans="1:4" ht="23.25" x14ac:dyDescent="0.35">
      <c r="A20" s="375"/>
      <c r="B20" s="72"/>
      <c r="C20" s="8">
        <v>5.1319999999999997</v>
      </c>
      <c r="D20" s="379">
        <v>5.1319999999999997</v>
      </c>
    </row>
    <row r="21" spans="1:4" ht="23.25" x14ac:dyDescent="0.35">
      <c r="A21" s="375" t="s">
        <v>1451</v>
      </c>
      <c r="B21" s="72" t="s">
        <v>1453</v>
      </c>
      <c r="C21" s="72">
        <v>27.3</v>
      </c>
      <c r="D21" s="380">
        <v>27.3</v>
      </c>
    </row>
    <row r="22" spans="1:4" ht="23.25" x14ac:dyDescent="0.35">
      <c r="A22" s="375"/>
      <c r="B22" s="72"/>
      <c r="C22" s="8">
        <v>5.1319999999999997</v>
      </c>
      <c r="D22" s="380">
        <v>5.1319999999999997</v>
      </c>
    </row>
    <row r="23" spans="1:4" ht="31.5" x14ac:dyDescent="0.35">
      <c r="A23" s="375" t="s">
        <v>1454</v>
      </c>
      <c r="B23" s="72" t="s">
        <v>1455</v>
      </c>
      <c r="C23" s="381">
        <v>0.3</v>
      </c>
      <c r="D23" s="130">
        <v>0.3</v>
      </c>
    </row>
    <row r="24" spans="1:4" ht="31.5" x14ac:dyDescent="0.35">
      <c r="A24" s="375" t="s">
        <v>1456</v>
      </c>
      <c r="B24" s="72" t="s">
        <v>1457</v>
      </c>
      <c r="C24" s="8">
        <v>1000000</v>
      </c>
      <c r="D24" s="382">
        <v>1000000</v>
      </c>
    </row>
    <row r="25" spans="1:4" ht="23.25" x14ac:dyDescent="0.35">
      <c r="A25" s="375" t="s">
        <v>1456</v>
      </c>
      <c r="B25" s="72" t="s">
        <v>1458</v>
      </c>
      <c r="C25" s="8">
        <v>1000000</v>
      </c>
      <c r="D25" s="383">
        <v>1000000</v>
      </c>
    </row>
    <row r="26" spans="1:4" ht="46.5" x14ac:dyDescent="0.35">
      <c r="A26" s="375" t="s">
        <v>831</v>
      </c>
      <c r="B26" s="72" t="s">
        <v>1459</v>
      </c>
      <c r="C26" s="8">
        <v>548</v>
      </c>
      <c r="D26" s="384">
        <v>548</v>
      </c>
    </row>
    <row r="27" spans="1:4" ht="31.5" x14ac:dyDescent="0.35">
      <c r="A27" s="375" t="s">
        <v>831</v>
      </c>
      <c r="B27" s="72" t="s">
        <v>1460</v>
      </c>
      <c r="C27" s="8">
        <v>548</v>
      </c>
      <c r="D27" s="385">
        <v>548</v>
      </c>
    </row>
    <row r="28" spans="1:4" ht="61.5" x14ac:dyDescent="0.35">
      <c r="A28" s="375" t="s">
        <v>1461</v>
      </c>
      <c r="B28" s="72" t="s">
        <v>1462</v>
      </c>
      <c r="C28" s="8">
        <v>256.36</v>
      </c>
      <c r="D28" s="386">
        <v>256.36</v>
      </c>
    </row>
    <row r="29" spans="1:4" ht="31.5" x14ac:dyDescent="0.35">
      <c r="A29" s="375" t="s">
        <v>1461</v>
      </c>
      <c r="B29" s="72" t="s">
        <v>1463</v>
      </c>
      <c r="C29" s="8">
        <v>-256.36</v>
      </c>
      <c r="D29" s="386">
        <v>-256.36</v>
      </c>
    </row>
    <row r="30" spans="1:4" ht="31.5" x14ac:dyDescent="0.35">
      <c r="A30" s="375" t="s">
        <v>1461</v>
      </c>
      <c r="B30" s="72" t="s">
        <v>1463</v>
      </c>
      <c r="C30" s="8">
        <v>0</v>
      </c>
      <c r="D30" s="386">
        <v>0</v>
      </c>
    </row>
    <row r="31" spans="1:4" ht="23.25" x14ac:dyDescent="0.35">
      <c r="A31" s="375"/>
      <c r="B31" s="72"/>
      <c r="C31" s="8"/>
      <c r="D31" s="8"/>
    </row>
    <row r="32" spans="1:4" ht="23.25" x14ac:dyDescent="0.35">
      <c r="A32" s="387" t="s">
        <v>1464</v>
      </c>
      <c r="B32" s="72" t="s">
        <v>1465</v>
      </c>
      <c r="C32" s="11">
        <v>23</v>
      </c>
      <c r="D32" s="388">
        <v>23</v>
      </c>
    </row>
    <row r="33" spans="1:6" ht="23.25" x14ac:dyDescent="0.35">
      <c r="A33" s="387" t="s">
        <v>1464</v>
      </c>
      <c r="B33" s="72" t="s">
        <v>1466</v>
      </c>
      <c r="C33" s="8">
        <v>5</v>
      </c>
      <c r="D33" s="389">
        <v>5</v>
      </c>
    </row>
    <row r="34" spans="1:6" ht="23.25" x14ac:dyDescent="0.35">
      <c r="A34" s="387"/>
      <c r="B34" s="72"/>
      <c r="C34" s="8">
        <v>-10</v>
      </c>
      <c r="D34" s="389">
        <v>-10</v>
      </c>
    </row>
    <row r="35" spans="1:6" ht="76.5" x14ac:dyDescent="0.35">
      <c r="A35" s="387" t="s">
        <v>1467</v>
      </c>
      <c r="B35" s="72" t="s">
        <v>1468</v>
      </c>
      <c r="C35" s="8" t="s">
        <v>1469</v>
      </c>
      <c r="D35" s="390" t="s">
        <v>1469</v>
      </c>
    </row>
    <row r="36" spans="1:6" ht="31.5" x14ac:dyDescent="0.35">
      <c r="A36" s="387" t="s">
        <v>1467</v>
      </c>
      <c r="B36" s="72" t="s">
        <v>1470</v>
      </c>
      <c r="C36" s="8" t="s">
        <v>1469</v>
      </c>
      <c r="D36" s="391" t="s">
        <v>1469</v>
      </c>
    </row>
    <row r="37" spans="1:6" ht="46.5" x14ac:dyDescent="0.35">
      <c r="A37" s="387" t="s">
        <v>1467</v>
      </c>
      <c r="B37" s="72" t="s">
        <v>1471</v>
      </c>
      <c r="C37" s="8" t="s">
        <v>958</v>
      </c>
      <c r="D37" s="392" t="s">
        <v>958</v>
      </c>
    </row>
    <row r="38" spans="1:6" ht="46.5" x14ac:dyDescent="0.35">
      <c r="A38" s="387" t="s">
        <v>1467</v>
      </c>
      <c r="B38" s="72" t="s">
        <v>1472</v>
      </c>
      <c r="C38" s="8" t="s">
        <v>958</v>
      </c>
      <c r="D38" s="386" t="s">
        <v>958</v>
      </c>
    </row>
    <row r="39" spans="1:6" ht="23.25" x14ac:dyDescent="0.35">
      <c r="A39" s="387" t="s">
        <v>1473</v>
      </c>
      <c r="B39" s="72" t="s">
        <v>1474</v>
      </c>
      <c r="C39" s="7">
        <v>39082</v>
      </c>
      <c r="D39" s="393">
        <v>39082</v>
      </c>
    </row>
    <row r="40" spans="1:6" ht="23.25" x14ac:dyDescent="0.35">
      <c r="A40" s="387" t="s">
        <v>1207</v>
      </c>
      <c r="B40" s="72" t="s">
        <v>1475</v>
      </c>
      <c r="C40" s="7">
        <v>39082</v>
      </c>
      <c r="D40" s="394">
        <v>39082</v>
      </c>
    </row>
    <row r="41" spans="1:6" ht="23.25" x14ac:dyDescent="0.35">
      <c r="A41" s="387" t="s">
        <v>1476</v>
      </c>
      <c r="B41" s="72" t="s">
        <v>1477</v>
      </c>
      <c r="C41" s="7">
        <v>39082</v>
      </c>
      <c r="D41" s="395">
        <v>39082</v>
      </c>
    </row>
    <row r="42" spans="1:6" ht="23.25" x14ac:dyDescent="0.35">
      <c r="A42" s="387" t="s">
        <v>1473</v>
      </c>
      <c r="B42" s="72" t="s">
        <v>1478</v>
      </c>
      <c r="C42" s="7">
        <v>39082</v>
      </c>
      <c r="D42" s="396">
        <v>39082</v>
      </c>
    </row>
    <row r="43" spans="1:6" ht="23.25" x14ac:dyDescent="0.35">
      <c r="A43" s="387" t="s">
        <v>1207</v>
      </c>
      <c r="B43" s="72" t="s">
        <v>1479</v>
      </c>
      <c r="C43" s="7">
        <v>39082</v>
      </c>
      <c r="D43" s="397">
        <v>39082</v>
      </c>
      <c r="E43" t="s">
        <v>1480</v>
      </c>
      <c r="F43" s="30">
        <f>12*D43</f>
        <v>468984</v>
      </c>
    </row>
    <row r="44" spans="1:6" ht="23.25" x14ac:dyDescent="0.35">
      <c r="A44" s="387" t="s">
        <v>1476</v>
      </c>
      <c r="B44" s="72" t="s">
        <v>1481</v>
      </c>
      <c r="C44" s="7">
        <v>39082</v>
      </c>
      <c r="D44" s="398">
        <v>39082</v>
      </c>
    </row>
    <row r="45" spans="1:6" ht="23.25" x14ac:dyDescent="0.35">
      <c r="A45" s="375" t="s">
        <v>1482</v>
      </c>
      <c r="B45" s="8" t="s">
        <v>32</v>
      </c>
      <c r="C45" s="17">
        <v>0.33333333333333331</v>
      </c>
      <c r="D45" s="399">
        <f>C45</f>
        <v>0.33333333333333331</v>
      </c>
    </row>
    <row r="46" spans="1:6" ht="23.25" x14ac:dyDescent="0.35">
      <c r="A46" s="375" t="s">
        <v>1483</v>
      </c>
      <c r="B46" s="8" t="s">
        <v>1484</v>
      </c>
      <c r="C46" s="8">
        <v>2</v>
      </c>
      <c r="D46" s="400">
        <f>C46</f>
        <v>2</v>
      </c>
    </row>
    <row r="47" spans="1:6" ht="31.5" x14ac:dyDescent="0.35">
      <c r="A47" s="375" t="s">
        <v>1485</v>
      </c>
      <c r="B47" s="72" t="s">
        <v>1486</v>
      </c>
      <c r="C47" s="8"/>
      <c r="D47" s="8"/>
    </row>
    <row r="48" spans="1:6" ht="31.5" x14ac:dyDescent="0.35">
      <c r="A48" s="375" t="s">
        <v>1487</v>
      </c>
      <c r="B48" s="72" t="s">
        <v>1488</v>
      </c>
      <c r="C48" s="8"/>
      <c r="D48" s="8"/>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96">
    <tabColor rgb="FF7030A0"/>
  </sheetPr>
  <dimension ref="A1:F43"/>
  <sheetViews>
    <sheetView workbookViewId="0">
      <selection activeCell="B14" sqref="B14"/>
    </sheetView>
  </sheetViews>
  <sheetFormatPr defaultRowHeight="15" x14ac:dyDescent="0.25"/>
  <cols>
    <col min="1" max="1" width="31" bestFit="1" customWidth="1"/>
    <col min="2" max="2" width="34.42578125" customWidth="1"/>
    <col min="3" max="3" width="24.5703125" customWidth="1"/>
    <col min="4" max="14" width="14.7109375"/>
  </cols>
  <sheetData>
    <row r="1" spans="1:3" x14ac:dyDescent="0.25">
      <c r="A1" s="18" t="s">
        <v>0</v>
      </c>
      <c r="B1" s="24">
        <v>39814</v>
      </c>
      <c r="C1" t="s">
        <v>1489</v>
      </c>
    </row>
    <row r="2" spans="1:3" x14ac:dyDescent="0.25">
      <c r="A2" s="18" t="s">
        <v>32</v>
      </c>
      <c r="B2" s="24">
        <v>0.33333333333333331</v>
      </c>
      <c r="C2" t="s">
        <v>1490</v>
      </c>
    </row>
    <row r="3" spans="1:3" x14ac:dyDescent="0.25">
      <c r="A3" s="18" t="s">
        <v>1491</v>
      </c>
      <c r="B3" s="24">
        <v>1.5</v>
      </c>
      <c r="C3" t="s">
        <v>1492</v>
      </c>
    </row>
    <row r="4" spans="1:3" x14ac:dyDescent="0.25">
      <c r="A4" s="18" t="s">
        <v>1493</v>
      </c>
      <c r="B4" s="405">
        <v>0.24399999999999999</v>
      </c>
      <c r="C4" t="s">
        <v>1494</v>
      </c>
    </row>
    <row r="5" spans="1:3" x14ac:dyDescent="0.25">
      <c r="A5" s="18" t="s">
        <v>1495</v>
      </c>
      <c r="B5" s="24">
        <v>2.2000000000000002</v>
      </c>
      <c r="C5" t="s">
        <v>1496</v>
      </c>
    </row>
    <row r="6" spans="1:3" x14ac:dyDescent="0.25">
      <c r="A6" s="18" t="s">
        <v>1497</v>
      </c>
      <c r="B6" s="24">
        <v>25</v>
      </c>
      <c r="C6" t="s">
        <v>1498</v>
      </c>
    </row>
    <row r="7" spans="1:3" x14ac:dyDescent="0.25">
      <c r="A7" s="18" t="s">
        <v>1499</v>
      </c>
      <c r="B7" s="24" t="s">
        <v>1500</v>
      </c>
      <c r="C7" t="s">
        <v>1501</v>
      </c>
    </row>
    <row r="8" spans="1:3" x14ac:dyDescent="0.25">
      <c r="A8" s="18" t="s">
        <v>1502</v>
      </c>
      <c r="B8" s="24" t="s">
        <v>1503</v>
      </c>
      <c r="C8" t="s">
        <v>1504</v>
      </c>
    </row>
    <row r="9" spans="1:3" x14ac:dyDescent="0.25">
      <c r="A9" s="18" t="s">
        <v>1505</v>
      </c>
      <c r="B9" s="24">
        <v>2</v>
      </c>
      <c r="C9" t="s">
        <v>1506</v>
      </c>
    </row>
    <row r="11" spans="1:3" ht="30" x14ac:dyDescent="0.25">
      <c r="A11" s="119" t="s">
        <v>1507</v>
      </c>
      <c r="B11" s="401"/>
    </row>
    <row r="12" spans="1:3" x14ac:dyDescent="0.25">
      <c r="A12" s="406">
        <v>25</v>
      </c>
    </row>
    <row r="13" spans="1:3" x14ac:dyDescent="0.25">
      <c r="A13" s="18" t="s">
        <v>305</v>
      </c>
      <c r="B13" s="18" t="s">
        <v>37</v>
      </c>
    </row>
    <row r="14" spans="1:3" x14ac:dyDescent="0.25">
      <c r="A14" s="8">
        <v>12</v>
      </c>
      <c r="B14" s="67"/>
    </row>
    <row r="15" spans="1:3" x14ac:dyDescent="0.25">
      <c r="A15" s="8">
        <v>15</v>
      </c>
      <c r="B15" s="67"/>
    </row>
    <row r="16" spans="1:3" x14ac:dyDescent="0.25">
      <c r="A16" s="8">
        <v>9</v>
      </c>
      <c r="B16" s="67"/>
    </row>
    <row r="17" spans="1:6" x14ac:dyDescent="0.25">
      <c r="A17" s="8">
        <v>25</v>
      </c>
      <c r="B17" s="67"/>
    </row>
    <row r="19" spans="1:6" ht="45" x14ac:dyDescent="0.25">
      <c r="A19" s="402" t="s">
        <v>1441</v>
      </c>
      <c r="B19" s="402"/>
      <c r="C19" t="s">
        <v>1508</v>
      </c>
      <c r="F19" s="403" t="s">
        <v>1509</v>
      </c>
    </row>
    <row r="20" spans="1:6" ht="30" x14ac:dyDescent="0.25">
      <c r="A20" s="404" t="s">
        <v>1510</v>
      </c>
      <c r="B20" s="401"/>
    </row>
    <row r="21" spans="1:6" x14ac:dyDescent="0.25">
      <c r="A21" s="17">
        <v>0.70833333333333337</v>
      </c>
      <c r="B21" s="74"/>
      <c r="C21" t="s">
        <v>1511</v>
      </c>
    </row>
    <row r="22" spans="1:6" ht="30" x14ac:dyDescent="0.25">
      <c r="A22" s="119" t="s">
        <v>1510</v>
      </c>
      <c r="B22" s="401"/>
    </row>
    <row r="23" spans="1:6" x14ac:dyDescent="0.25">
      <c r="A23" s="7">
        <v>40595</v>
      </c>
      <c r="B23" s="74"/>
      <c r="C23" t="s">
        <v>1512</v>
      </c>
    </row>
    <row r="24" spans="1:6" ht="30" x14ac:dyDescent="0.25">
      <c r="A24" s="404" t="s">
        <v>1510</v>
      </c>
      <c r="B24" s="401"/>
    </row>
    <row r="25" spans="1:6" x14ac:dyDescent="0.25">
      <c r="A25" s="130">
        <v>0.22750000000000001</v>
      </c>
      <c r="B25" s="74"/>
      <c r="C25" t="s">
        <v>1513</v>
      </c>
    </row>
    <row r="26" spans="1:6" x14ac:dyDescent="0.25">
      <c r="A26" s="119" t="s">
        <v>1514</v>
      </c>
      <c r="B26" s="401"/>
    </row>
    <row r="27" spans="1:6" x14ac:dyDescent="0.25">
      <c r="A27" s="8" t="str">
        <f>"Does "&amp;A30&amp;" match "&amp;B28&amp;" "&amp;B29&amp;"?"</f>
        <v>Does Date match Dec 2009?</v>
      </c>
      <c r="B27" s="10"/>
    </row>
    <row r="28" spans="1:6" x14ac:dyDescent="0.25">
      <c r="A28" s="8" t="s">
        <v>424</v>
      </c>
      <c r="B28" s="8" t="s">
        <v>83</v>
      </c>
    </row>
    <row r="29" spans="1:6" x14ac:dyDescent="0.25">
      <c r="A29" s="8" t="s">
        <v>425</v>
      </c>
      <c r="B29" s="8">
        <v>2009</v>
      </c>
    </row>
    <row r="30" spans="1:6" x14ac:dyDescent="0.25">
      <c r="A30" s="8" t="s">
        <v>0</v>
      </c>
      <c r="B30" s="7">
        <v>40167</v>
      </c>
    </row>
    <row r="31" spans="1:6" x14ac:dyDescent="0.25">
      <c r="A31" s="119" t="str">
        <f>"TEXT function with custom number format to count Dates in "&amp;B32&amp;" "&amp;B33</f>
        <v>TEXT function with custom number format to count Dates in Jan 2009</v>
      </c>
      <c r="B31" s="401"/>
    </row>
    <row r="32" spans="1:6" x14ac:dyDescent="0.25">
      <c r="A32" s="8" t="s">
        <v>424</v>
      </c>
      <c r="B32" s="8" t="s">
        <v>66</v>
      </c>
    </row>
    <row r="33" spans="1:2" x14ac:dyDescent="0.25">
      <c r="A33" s="8" t="s">
        <v>425</v>
      </c>
      <c r="B33" s="8">
        <v>2009</v>
      </c>
    </row>
    <row r="34" spans="1:2" x14ac:dyDescent="0.25">
      <c r="A34" s="8" t="s">
        <v>820</v>
      </c>
      <c r="B34" s="114"/>
    </row>
    <row r="36" spans="1:2" x14ac:dyDescent="0.25">
      <c r="B36" s="18" t="s">
        <v>55</v>
      </c>
    </row>
    <row r="37" spans="1:2" x14ac:dyDescent="0.25">
      <c r="B37" s="7">
        <v>39838</v>
      </c>
    </row>
    <row r="38" spans="1:2" x14ac:dyDescent="0.25">
      <c r="B38" s="7">
        <v>39833</v>
      </c>
    </row>
    <row r="39" spans="1:2" x14ac:dyDescent="0.25">
      <c r="B39" s="7">
        <v>39995</v>
      </c>
    </row>
    <row r="40" spans="1:2" x14ac:dyDescent="0.25">
      <c r="B40" s="7">
        <v>39935</v>
      </c>
    </row>
    <row r="41" spans="1:2" x14ac:dyDescent="0.25">
      <c r="B41" s="7">
        <v>39815</v>
      </c>
    </row>
    <row r="42" spans="1:2" x14ac:dyDescent="0.25">
      <c r="B42" s="7">
        <v>39831</v>
      </c>
    </row>
    <row r="43" spans="1:2" x14ac:dyDescent="0.25">
      <c r="B43" s="7">
        <v>39926</v>
      </c>
    </row>
  </sheetData>
  <hyperlinks>
    <hyperlink ref="F19" r:id="rId1" xr:uid="{00000000-0004-0000-4E00-000000000000}"/>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98">
    <tabColor rgb="FF0000FF"/>
  </sheetPr>
  <dimension ref="A1:B10"/>
  <sheetViews>
    <sheetView workbookViewId="0">
      <selection sqref="A1:B10"/>
    </sheetView>
  </sheetViews>
  <sheetFormatPr defaultRowHeight="15" x14ac:dyDescent="0.25"/>
  <cols>
    <col min="1" max="1" width="11.85546875" customWidth="1"/>
    <col min="2" max="2" width="43.7109375" customWidth="1"/>
    <col min="3" max="3" width="14.5703125" bestFit="1" customWidth="1"/>
  </cols>
  <sheetData>
    <row r="1" spans="1:2" ht="26.25" x14ac:dyDescent="0.25">
      <c r="A1" s="350" t="s">
        <v>1320</v>
      </c>
      <c r="B1" s="350" t="s">
        <v>1321</v>
      </c>
    </row>
    <row r="2" spans="1:2" ht="26.25" x14ac:dyDescent="0.25">
      <c r="A2" s="351" t="s">
        <v>1322</v>
      </c>
      <c r="B2" s="352" t="s">
        <v>1325</v>
      </c>
    </row>
    <row r="3" spans="1:2" ht="26.25" x14ac:dyDescent="0.25">
      <c r="A3" s="351" t="e">
        <v>#NAME?</v>
      </c>
      <c r="B3" s="352" t="s">
        <v>1326</v>
      </c>
    </row>
    <row r="4" spans="1:2" ht="26.25" x14ac:dyDescent="0.25">
      <c r="A4" s="351" t="e">
        <v>#N/A</v>
      </c>
      <c r="B4" s="352" t="s">
        <v>1324</v>
      </c>
    </row>
    <row r="5" spans="1:2" ht="26.25" x14ac:dyDescent="0.25">
      <c r="A5" s="351" t="e">
        <v>#REF!</v>
      </c>
      <c r="B5" s="352" t="s">
        <v>1328</v>
      </c>
    </row>
    <row r="6" spans="1:2" ht="39" x14ac:dyDescent="0.25">
      <c r="A6" s="351" t="e">
        <v>#VALUE!</v>
      </c>
      <c r="B6" s="352" t="s">
        <v>1331</v>
      </c>
    </row>
    <row r="7" spans="1:2" ht="51.75" x14ac:dyDescent="0.25">
      <c r="A7" s="351" t="e">
        <v>#NUM!</v>
      </c>
      <c r="B7" s="352" t="s">
        <v>1329</v>
      </c>
    </row>
    <row r="8" spans="1:2" x14ac:dyDescent="0.25">
      <c r="A8" s="351" t="e">
        <v>#DIV/0!</v>
      </c>
      <c r="B8" s="353" t="s">
        <v>1327</v>
      </c>
    </row>
    <row r="9" spans="1:2" ht="26.25" x14ac:dyDescent="0.25">
      <c r="A9" s="352" t="s">
        <v>1323</v>
      </c>
      <c r="B9" s="354" t="s">
        <v>1330</v>
      </c>
    </row>
    <row r="10" spans="1:2" x14ac:dyDescent="0.25">
      <c r="A10" s="352" t="e">
        <v>#NULL!</v>
      </c>
      <c r="B10" s="354" t="s">
        <v>1332</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76">
    <tabColor rgb="FF0000FF"/>
  </sheetPr>
  <dimension ref="A1:A31"/>
  <sheetViews>
    <sheetView workbookViewId="0">
      <selection activeCell="A3" sqref="A3"/>
    </sheetView>
  </sheetViews>
  <sheetFormatPr defaultRowHeight="15" x14ac:dyDescent="0.25"/>
  <cols>
    <col min="1" max="1" width="22.140625" customWidth="1"/>
    <col min="2" max="2" width="10.28515625" customWidth="1"/>
    <col min="3" max="3" width="15.140625" customWidth="1"/>
    <col min="4"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1" ht="45" x14ac:dyDescent="0.25">
      <c r="A1" s="44" t="s">
        <v>827</v>
      </c>
    </row>
    <row r="2" spans="1:1" x14ac:dyDescent="0.25">
      <c r="A2" s="8">
        <v>8.6900000000000013</v>
      </c>
    </row>
    <row r="3" spans="1:1" x14ac:dyDescent="0.25">
      <c r="A3" s="8">
        <v>4.63</v>
      </c>
    </row>
    <row r="4" spans="1:1" x14ac:dyDescent="0.25">
      <c r="A4" s="8">
        <v>8.870000000000001</v>
      </c>
    </row>
    <row r="5" spans="1:1" x14ac:dyDescent="0.25">
      <c r="A5" s="8">
        <v>8.75</v>
      </c>
    </row>
    <row r="6" spans="1:1" x14ac:dyDescent="0.25">
      <c r="A6" s="8">
        <v>8.61</v>
      </c>
    </row>
    <row r="7" spans="1:1" x14ac:dyDescent="0.25">
      <c r="A7" s="8">
        <v>8.58</v>
      </c>
    </row>
    <row r="8" spans="1:1" x14ac:dyDescent="0.25">
      <c r="A8" s="8">
        <v>8.370000000000001</v>
      </c>
    </row>
    <row r="9" spans="1:1" x14ac:dyDescent="0.25">
      <c r="A9" s="8">
        <v>8.2800000000000011</v>
      </c>
    </row>
    <row r="10" spans="1:1" x14ac:dyDescent="0.25">
      <c r="A10" s="8">
        <v>8.2100000000000009</v>
      </c>
    </row>
    <row r="11" spans="1:1" x14ac:dyDescent="0.25">
      <c r="A11" s="8">
        <v>8.14</v>
      </c>
    </row>
    <row r="12" spans="1:1" x14ac:dyDescent="0.25">
      <c r="A12" s="8">
        <v>7.95</v>
      </c>
    </row>
    <row r="13" spans="1:1" x14ac:dyDescent="0.25">
      <c r="A13" s="8">
        <v>7.6899999999999995</v>
      </c>
    </row>
    <row r="14" spans="1:1" x14ac:dyDescent="0.25">
      <c r="A14" s="8">
        <v>7.62</v>
      </c>
    </row>
    <row r="15" spans="1:1" x14ac:dyDescent="0.25">
      <c r="A15" s="8">
        <v>7.51</v>
      </c>
    </row>
    <row r="16" spans="1:1" x14ac:dyDescent="0.25">
      <c r="A16" s="8">
        <v>7.43</v>
      </c>
    </row>
    <row r="17" spans="1:1" x14ac:dyDescent="0.25">
      <c r="A17" s="8">
        <v>7.1899999999999995</v>
      </c>
    </row>
    <row r="18" spans="1:1" x14ac:dyDescent="0.25">
      <c r="A18" s="8">
        <v>6.95</v>
      </c>
    </row>
    <row r="19" spans="1:1" x14ac:dyDescent="0.25">
      <c r="A19" s="8">
        <v>6.83</v>
      </c>
    </row>
    <row r="20" spans="1:1" x14ac:dyDescent="0.25">
      <c r="A20" s="8">
        <v>6.4399999999999995</v>
      </c>
    </row>
    <row r="21" spans="1:1" x14ac:dyDescent="0.25">
      <c r="A21" s="8">
        <v>5.65</v>
      </c>
    </row>
    <row r="22" spans="1:1" x14ac:dyDescent="0.25">
      <c r="A22" s="8">
        <v>5.64</v>
      </c>
    </row>
    <row r="23" spans="1:1" x14ac:dyDescent="0.25">
      <c r="A23" s="8">
        <v>5.5600000000000005</v>
      </c>
    </row>
    <row r="24" spans="1:1" x14ac:dyDescent="0.25">
      <c r="A24" s="8">
        <v>5.16</v>
      </c>
    </row>
    <row r="25" spans="1:1" x14ac:dyDescent="0.25">
      <c r="A25" s="8">
        <v>5.0600000000000005</v>
      </c>
    </row>
    <row r="26" spans="1:1" x14ac:dyDescent="0.25">
      <c r="A26" s="8">
        <v>4.8600000000000003</v>
      </c>
    </row>
    <row r="27" spans="1:1" x14ac:dyDescent="0.25">
      <c r="A27" s="8">
        <v>4.8100000000000005</v>
      </c>
    </row>
    <row r="28" spans="1:1" x14ac:dyDescent="0.25">
      <c r="A28" s="8">
        <v>4.76</v>
      </c>
    </row>
    <row r="29" spans="1:1" x14ac:dyDescent="0.25">
      <c r="A29" s="8">
        <v>4.43</v>
      </c>
    </row>
    <row r="30" spans="1:1" x14ac:dyDescent="0.25">
      <c r="A30" s="8">
        <v>4.18</v>
      </c>
    </row>
    <row r="31" spans="1:1" x14ac:dyDescent="0.25">
      <c r="A31" s="8">
        <v>4.03</v>
      </c>
    </row>
  </sheetData>
  <sortState xmlns:xlrd2="http://schemas.microsoft.com/office/spreadsheetml/2017/richdata2" ref="A2:A31">
    <sortCondition descending="1" ref="A7"/>
  </sortState>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77">
    <tabColor rgb="FF0000FF"/>
  </sheetPr>
  <dimension ref="B1:I32"/>
  <sheetViews>
    <sheetView workbookViewId="0">
      <selection activeCell="B4" sqref="B4"/>
    </sheetView>
  </sheetViews>
  <sheetFormatPr defaultRowHeight="15" x14ac:dyDescent="0.25"/>
  <cols>
    <col min="1" max="1" width="3.42578125" customWidth="1"/>
    <col min="2" max="2" width="16.7109375" customWidth="1"/>
    <col min="3" max="3" width="15.140625" customWidth="1"/>
    <col min="4" max="4" width="5.5703125"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2:9" x14ac:dyDescent="0.25">
      <c r="I1" t="str">
        <f ca="1">REPT(CHAR(42),INT(RAND()*4+1))</f>
        <v>***</v>
      </c>
    </row>
    <row r="2" spans="2:9" ht="60" x14ac:dyDescent="0.25">
      <c r="B2" s="44" t="s">
        <v>827</v>
      </c>
      <c r="C2" s="44" t="s">
        <v>828</v>
      </c>
    </row>
    <row r="3" spans="2:9" x14ac:dyDescent="0.25">
      <c r="B3" s="8">
        <v>8.6900000000000013</v>
      </c>
      <c r="C3" s="8" t="s">
        <v>831</v>
      </c>
    </row>
    <row r="4" spans="2:9" x14ac:dyDescent="0.25">
      <c r="B4" s="11">
        <v>4.63</v>
      </c>
      <c r="C4" s="11" t="s">
        <v>832</v>
      </c>
    </row>
    <row r="5" spans="2:9" x14ac:dyDescent="0.25">
      <c r="B5" s="8">
        <v>7.95</v>
      </c>
      <c r="C5" s="8" t="s">
        <v>830</v>
      </c>
    </row>
    <row r="6" spans="2:9" x14ac:dyDescent="0.25">
      <c r="B6" s="128">
        <v>4.18</v>
      </c>
      <c r="C6" s="128" t="s">
        <v>830</v>
      </c>
    </row>
    <row r="7" spans="2:9" x14ac:dyDescent="0.25">
      <c r="B7" s="8">
        <v>8.870000000000001</v>
      </c>
      <c r="C7" s="8" t="s">
        <v>829</v>
      </c>
    </row>
    <row r="8" spans="2:9" x14ac:dyDescent="0.25">
      <c r="B8" s="8">
        <v>8.75</v>
      </c>
      <c r="C8" s="8" t="s">
        <v>830</v>
      </c>
    </row>
    <row r="9" spans="2:9" x14ac:dyDescent="0.25">
      <c r="B9" s="8">
        <v>8.61</v>
      </c>
      <c r="C9" s="8" t="s">
        <v>829</v>
      </c>
    </row>
    <row r="10" spans="2:9" x14ac:dyDescent="0.25">
      <c r="B10" s="8">
        <v>8.58</v>
      </c>
      <c r="C10" s="8" t="s">
        <v>832</v>
      </c>
    </row>
    <row r="11" spans="2:9" x14ac:dyDescent="0.25">
      <c r="B11" s="8">
        <v>8.370000000000001</v>
      </c>
      <c r="C11" s="8" t="s">
        <v>829</v>
      </c>
    </row>
    <row r="12" spans="2:9" x14ac:dyDescent="0.25">
      <c r="B12" s="8">
        <v>8.2800000000000011</v>
      </c>
      <c r="C12" s="8" t="s">
        <v>830</v>
      </c>
    </row>
    <row r="13" spans="2:9" x14ac:dyDescent="0.25">
      <c r="B13" s="8">
        <v>8.2100000000000009</v>
      </c>
      <c r="C13" s="8" t="s">
        <v>829</v>
      </c>
    </row>
    <row r="14" spans="2:9" x14ac:dyDescent="0.25">
      <c r="B14" s="8">
        <v>8.14</v>
      </c>
      <c r="C14" s="8" t="s">
        <v>830</v>
      </c>
    </row>
    <row r="15" spans="2:9" x14ac:dyDescent="0.25">
      <c r="B15" s="8">
        <v>7.6899999999999995</v>
      </c>
      <c r="C15" s="8" t="s">
        <v>832</v>
      </c>
    </row>
    <row r="16" spans="2:9" x14ac:dyDescent="0.25">
      <c r="B16" s="8">
        <v>7.62</v>
      </c>
      <c r="C16" s="8" t="s">
        <v>830</v>
      </c>
    </row>
    <row r="17" spans="2:3" x14ac:dyDescent="0.25">
      <c r="B17" s="8">
        <v>7.51</v>
      </c>
      <c r="C17" s="8" t="s">
        <v>829</v>
      </c>
    </row>
    <row r="18" spans="2:3" x14ac:dyDescent="0.25">
      <c r="B18" s="8">
        <v>7.43</v>
      </c>
      <c r="C18" s="8" t="s">
        <v>830</v>
      </c>
    </row>
    <row r="19" spans="2:3" x14ac:dyDescent="0.25">
      <c r="B19" s="8">
        <v>7.1899999999999995</v>
      </c>
      <c r="C19" s="8" t="s">
        <v>832</v>
      </c>
    </row>
    <row r="20" spans="2:3" x14ac:dyDescent="0.25">
      <c r="B20" s="8">
        <v>6.95</v>
      </c>
      <c r="C20" s="8" t="s">
        <v>832</v>
      </c>
    </row>
    <row r="21" spans="2:3" x14ac:dyDescent="0.25">
      <c r="B21" s="8">
        <v>6.83</v>
      </c>
      <c r="C21" s="8" t="s">
        <v>829</v>
      </c>
    </row>
    <row r="22" spans="2:3" x14ac:dyDescent="0.25">
      <c r="B22" s="8">
        <v>6.4399999999999995</v>
      </c>
      <c r="C22" s="8" t="s">
        <v>829</v>
      </c>
    </row>
    <row r="23" spans="2:3" x14ac:dyDescent="0.25">
      <c r="B23" s="8">
        <v>5.65</v>
      </c>
      <c r="C23" s="8" t="s">
        <v>829</v>
      </c>
    </row>
    <row r="24" spans="2:3" x14ac:dyDescent="0.25">
      <c r="B24" s="8">
        <v>5.64</v>
      </c>
      <c r="C24" s="8" t="s">
        <v>832</v>
      </c>
    </row>
    <row r="25" spans="2:3" x14ac:dyDescent="0.25">
      <c r="B25" s="8">
        <v>5.5600000000000005</v>
      </c>
      <c r="C25" s="8" t="s">
        <v>829</v>
      </c>
    </row>
    <row r="26" spans="2:3" x14ac:dyDescent="0.25">
      <c r="B26" s="8">
        <v>5.16</v>
      </c>
      <c r="C26" s="8" t="s">
        <v>831</v>
      </c>
    </row>
    <row r="27" spans="2:3" x14ac:dyDescent="0.25">
      <c r="B27" s="8">
        <v>5.0600000000000005</v>
      </c>
      <c r="C27" s="8" t="s">
        <v>831</v>
      </c>
    </row>
    <row r="28" spans="2:3" x14ac:dyDescent="0.25">
      <c r="B28" s="8">
        <v>4.8600000000000003</v>
      </c>
      <c r="C28" s="8" t="s">
        <v>829</v>
      </c>
    </row>
    <row r="29" spans="2:3" x14ac:dyDescent="0.25">
      <c r="B29" s="8">
        <v>4.8100000000000005</v>
      </c>
      <c r="C29" s="8" t="s">
        <v>832</v>
      </c>
    </row>
    <row r="30" spans="2:3" x14ac:dyDescent="0.25">
      <c r="B30" s="8">
        <v>4.76</v>
      </c>
      <c r="C30" s="8" t="s">
        <v>831</v>
      </c>
    </row>
    <row r="31" spans="2:3" x14ac:dyDescent="0.25">
      <c r="B31" s="8">
        <v>4.43</v>
      </c>
      <c r="C31" s="8" t="s">
        <v>832</v>
      </c>
    </row>
    <row r="32" spans="2:3" x14ac:dyDescent="0.25">
      <c r="B32" s="8">
        <v>4.03</v>
      </c>
      <c r="C32" s="8" t="s">
        <v>829</v>
      </c>
    </row>
  </sheetData>
  <sortState xmlns:xlrd2="http://schemas.microsoft.com/office/spreadsheetml/2017/richdata2" ref="B3:C32">
    <sortCondition descending="1" ref="B5"/>
  </sortState>
  <pageMargins left="0.7" right="0.7" top="0.75" bottom="0.75" header="0.3" footer="0.3"/>
  <pageSetup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78">
    <tabColor rgb="FF0000FF"/>
  </sheetPr>
  <dimension ref="A1:T31"/>
  <sheetViews>
    <sheetView workbookViewId="0">
      <selection activeCell="C3" sqref="C3"/>
    </sheetView>
  </sheetViews>
  <sheetFormatPr defaultRowHeight="15" x14ac:dyDescent="0.25"/>
  <cols>
    <col min="1" max="1" width="22.140625" customWidth="1"/>
    <col min="2" max="2" width="15" bestFit="1" customWidth="1"/>
    <col min="3" max="3" width="15.140625" customWidth="1"/>
    <col min="4" max="5" width="11" bestFit="1" customWidth="1"/>
    <col min="6" max="6" width="20.7109375" bestFit="1" customWidth="1"/>
    <col min="7" max="7" width="3.5703125" bestFit="1" customWidth="1"/>
    <col min="8" max="8" width="33.8554687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20" x14ac:dyDescent="0.25">
      <c r="A1" s="44" t="s">
        <v>833</v>
      </c>
      <c r="B1" s="44" t="s">
        <v>834</v>
      </c>
      <c r="C1" s="14" t="s">
        <v>835</v>
      </c>
      <c r="D1" s="14" t="s">
        <v>836</v>
      </c>
      <c r="E1" s="14" t="s">
        <v>837</v>
      </c>
      <c r="F1" s="14" t="s">
        <v>572</v>
      </c>
      <c r="P1" s="8" t="str">
        <f ca="1">INT(RAND()*8000+101)&amp;" "&amp;CHOOSE(INT(RAND()*10+1),"1st","2nd","4th","13th","23rd","66th","151st","23rd","15th","173rd")&amp;" "&amp;CHOOSE(INT(RAND()*4+1),"Ave.","St.","Blvd.","Lane")</f>
        <v>6986 23rd Blvd.</v>
      </c>
      <c r="Q1" s="8" t="str">
        <f ca="1">CHOOSE(INT(RAND()*3+1),"Seattle","Tacoma","Kent")</f>
        <v>Seattle</v>
      </c>
      <c r="R1" s="8" t="s">
        <v>838</v>
      </c>
      <c r="S1" t="str">
        <f t="shared" ref="S1" ca="1" si="0">981&amp;INT(RAND()*250+101)</f>
        <v>981316</v>
      </c>
      <c r="T1" t="str">
        <f ca="1">CHAR(65+INT(RAND()*25))&amp;CHAR(65+INT(RAND()*25))&amp;CHAR(65+INT(RAND()*25))&amp;"@"&amp;CHOOSE(INT(RAND()*3+1),"yahoo.com","gmail.com","fun.edu")</f>
        <v>PFI@yahoo.com</v>
      </c>
    </row>
    <row r="2" spans="1:20" x14ac:dyDescent="0.25">
      <c r="A2" s="8" t="s">
        <v>916</v>
      </c>
      <c r="B2" s="8" t="s">
        <v>917</v>
      </c>
      <c r="C2" s="8" t="s">
        <v>918</v>
      </c>
      <c r="D2" s="8" t="s">
        <v>838</v>
      </c>
      <c r="E2" s="8" t="s">
        <v>919</v>
      </c>
      <c r="F2" s="8" t="s">
        <v>920</v>
      </c>
    </row>
    <row r="3" spans="1:20" x14ac:dyDescent="0.25">
      <c r="A3" s="8" t="s">
        <v>839</v>
      </c>
      <c r="B3" s="8" t="s">
        <v>840</v>
      </c>
      <c r="C3" s="8" t="s">
        <v>841</v>
      </c>
      <c r="D3" s="8" t="s">
        <v>838</v>
      </c>
      <c r="E3" s="8" t="s">
        <v>842</v>
      </c>
      <c r="F3" s="8" t="s">
        <v>843</v>
      </c>
    </row>
    <row r="4" spans="1:20" x14ac:dyDescent="0.25">
      <c r="A4" s="8" t="s">
        <v>844</v>
      </c>
      <c r="B4" s="8" t="s">
        <v>845</v>
      </c>
      <c r="C4" s="8" t="s">
        <v>841</v>
      </c>
      <c r="D4" s="8" t="s">
        <v>838</v>
      </c>
      <c r="E4" s="8" t="s">
        <v>846</v>
      </c>
      <c r="F4" s="8" t="s">
        <v>847</v>
      </c>
    </row>
    <row r="5" spans="1:20" x14ac:dyDescent="0.25">
      <c r="A5" s="8" t="s">
        <v>848</v>
      </c>
      <c r="B5" s="8" t="s">
        <v>849</v>
      </c>
      <c r="C5" s="8" t="s">
        <v>841</v>
      </c>
      <c r="D5" s="8" t="s">
        <v>838</v>
      </c>
      <c r="E5" s="8" t="s">
        <v>850</v>
      </c>
      <c r="F5" s="8" t="s">
        <v>851</v>
      </c>
    </row>
    <row r="6" spans="1:20" x14ac:dyDescent="0.25">
      <c r="A6" s="8" t="s">
        <v>864</v>
      </c>
      <c r="B6" s="8" t="s">
        <v>865</v>
      </c>
      <c r="C6" s="8" t="s">
        <v>841</v>
      </c>
      <c r="D6" s="8" t="s">
        <v>838</v>
      </c>
      <c r="E6" s="8" t="s">
        <v>866</v>
      </c>
      <c r="F6" s="8" t="s">
        <v>867</v>
      </c>
    </row>
    <row r="7" spans="1:20" x14ac:dyDescent="0.25">
      <c r="A7" s="8" t="s">
        <v>946</v>
      </c>
      <c r="B7" s="8" t="s">
        <v>947</v>
      </c>
      <c r="C7" s="8" t="s">
        <v>918</v>
      </c>
      <c r="D7" s="8" t="s">
        <v>838</v>
      </c>
      <c r="E7" s="8" t="s">
        <v>948</v>
      </c>
      <c r="F7" s="8" t="s">
        <v>949</v>
      </c>
    </row>
    <row r="8" spans="1:20" x14ac:dyDescent="0.25">
      <c r="A8" s="8" t="s">
        <v>939</v>
      </c>
      <c r="B8" s="8" t="s">
        <v>940</v>
      </c>
      <c r="C8" s="8" t="s">
        <v>918</v>
      </c>
      <c r="D8" s="8" t="s">
        <v>838</v>
      </c>
      <c r="E8" s="8" t="s">
        <v>941</v>
      </c>
      <c r="F8" s="8" t="s">
        <v>942</v>
      </c>
    </row>
    <row r="9" spans="1:20" x14ac:dyDescent="0.25">
      <c r="A9" s="8" t="s">
        <v>936</v>
      </c>
      <c r="B9" s="8" t="s">
        <v>937</v>
      </c>
      <c r="C9" s="8" t="s">
        <v>918</v>
      </c>
      <c r="D9" s="8" t="s">
        <v>838</v>
      </c>
      <c r="E9" s="8" t="s">
        <v>887</v>
      </c>
      <c r="F9" s="8" t="s">
        <v>938</v>
      </c>
    </row>
    <row r="10" spans="1:20" x14ac:dyDescent="0.25">
      <c r="A10" s="8" t="s">
        <v>889</v>
      </c>
      <c r="B10" s="8" t="s">
        <v>890</v>
      </c>
      <c r="C10" s="8" t="s">
        <v>870</v>
      </c>
      <c r="D10" s="8" t="s">
        <v>838</v>
      </c>
      <c r="E10" s="8" t="s">
        <v>891</v>
      </c>
      <c r="F10" s="8" t="s">
        <v>892</v>
      </c>
    </row>
    <row r="11" spans="1:20" x14ac:dyDescent="0.25">
      <c r="A11" s="8" t="s">
        <v>873</v>
      </c>
      <c r="B11" s="8" t="s">
        <v>874</v>
      </c>
      <c r="C11" s="8" t="s">
        <v>870</v>
      </c>
      <c r="D11" s="8" t="s">
        <v>838</v>
      </c>
      <c r="E11" s="8" t="s">
        <v>875</v>
      </c>
      <c r="F11" s="8" t="s">
        <v>876</v>
      </c>
    </row>
    <row r="12" spans="1:20" x14ac:dyDescent="0.25">
      <c r="A12" s="8" t="s">
        <v>925</v>
      </c>
      <c r="B12" s="8" t="s">
        <v>926</v>
      </c>
      <c r="C12" s="8" t="s">
        <v>918</v>
      </c>
      <c r="D12" s="8" t="s">
        <v>838</v>
      </c>
      <c r="E12" s="8" t="s">
        <v>927</v>
      </c>
      <c r="F12" s="8" t="s">
        <v>928</v>
      </c>
    </row>
    <row r="13" spans="1:20" x14ac:dyDescent="0.25">
      <c r="A13" s="8" t="s">
        <v>913</v>
      </c>
      <c r="B13" s="8" t="s">
        <v>914</v>
      </c>
      <c r="C13" s="8" t="s">
        <v>870</v>
      </c>
      <c r="D13" s="8" t="s">
        <v>838</v>
      </c>
      <c r="E13" s="8" t="s">
        <v>858</v>
      </c>
      <c r="F13" s="8" t="s">
        <v>915</v>
      </c>
    </row>
    <row r="14" spans="1:20" x14ac:dyDescent="0.25">
      <c r="A14" s="8" t="s">
        <v>950</v>
      </c>
      <c r="B14" s="8" t="s">
        <v>951</v>
      </c>
      <c r="C14" s="8" t="s">
        <v>918</v>
      </c>
      <c r="D14" s="8" t="s">
        <v>838</v>
      </c>
      <c r="E14" s="8" t="s">
        <v>850</v>
      </c>
      <c r="F14" s="8" t="s">
        <v>952</v>
      </c>
    </row>
    <row r="15" spans="1:20" x14ac:dyDescent="0.25">
      <c r="A15" s="8" t="s">
        <v>893</v>
      </c>
      <c r="B15" s="8" t="s">
        <v>894</v>
      </c>
      <c r="C15" s="8" t="s">
        <v>870</v>
      </c>
      <c r="D15" s="8" t="s">
        <v>838</v>
      </c>
      <c r="E15" s="8" t="s">
        <v>895</v>
      </c>
      <c r="F15" s="8" t="s">
        <v>896</v>
      </c>
    </row>
    <row r="16" spans="1:20" x14ac:dyDescent="0.25">
      <c r="A16" s="8" t="s">
        <v>885</v>
      </c>
      <c r="B16" s="8" t="s">
        <v>886</v>
      </c>
      <c r="C16" s="8" t="s">
        <v>870</v>
      </c>
      <c r="D16" s="8" t="s">
        <v>838</v>
      </c>
      <c r="E16" s="8" t="s">
        <v>887</v>
      </c>
      <c r="F16" s="8" t="s">
        <v>888</v>
      </c>
    </row>
    <row r="17" spans="1:6" x14ac:dyDescent="0.25">
      <c r="A17" s="8" t="s">
        <v>909</v>
      </c>
      <c r="B17" s="8" t="s">
        <v>910</v>
      </c>
      <c r="C17" s="8" t="s">
        <v>870</v>
      </c>
      <c r="D17" s="8" t="s">
        <v>838</v>
      </c>
      <c r="E17" s="8" t="s">
        <v>911</v>
      </c>
      <c r="F17" s="8" t="s">
        <v>912</v>
      </c>
    </row>
    <row r="18" spans="1:6" x14ac:dyDescent="0.25">
      <c r="A18" s="8" t="s">
        <v>860</v>
      </c>
      <c r="B18" s="8" t="s">
        <v>861</v>
      </c>
      <c r="C18" s="8" t="s">
        <v>841</v>
      </c>
      <c r="D18" s="8" t="s">
        <v>838</v>
      </c>
      <c r="E18" s="8" t="s">
        <v>862</v>
      </c>
      <c r="F18" s="8" t="s">
        <v>863</v>
      </c>
    </row>
    <row r="19" spans="1:6" x14ac:dyDescent="0.25">
      <c r="A19" s="8" t="s">
        <v>943</v>
      </c>
      <c r="B19" s="8" t="s">
        <v>944</v>
      </c>
      <c r="C19" s="8" t="s">
        <v>918</v>
      </c>
      <c r="D19" s="8" t="s">
        <v>838</v>
      </c>
      <c r="E19" s="8" t="s">
        <v>875</v>
      </c>
      <c r="F19" s="8" t="s">
        <v>945</v>
      </c>
    </row>
    <row r="20" spans="1:6" x14ac:dyDescent="0.25">
      <c r="A20" s="8" t="s">
        <v>877</v>
      </c>
      <c r="B20" s="8" t="s">
        <v>878</v>
      </c>
      <c r="C20" s="8" t="s">
        <v>870</v>
      </c>
      <c r="D20" s="8" t="s">
        <v>838</v>
      </c>
      <c r="E20" s="8" t="s">
        <v>879</v>
      </c>
      <c r="F20" s="8" t="s">
        <v>880</v>
      </c>
    </row>
    <row r="21" spans="1:6" x14ac:dyDescent="0.25">
      <c r="A21" s="8" t="s">
        <v>868</v>
      </c>
      <c r="B21" s="8" t="s">
        <v>869</v>
      </c>
      <c r="C21" s="8" t="s">
        <v>870</v>
      </c>
      <c r="D21" s="8" t="s">
        <v>838</v>
      </c>
      <c r="E21" s="8" t="s">
        <v>871</v>
      </c>
      <c r="F21" s="8" t="s">
        <v>872</v>
      </c>
    </row>
    <row r="22" spans="1:6" x14ac:dyDescent="0.25">
      <c r="A22" s="8" t="s">
        <v>929</v>
      </c>
      <c r="B22" s="8" t="s">
        <v>930</v>
      </c>
      <c r="C22" s="8" t="s">
        <v>918</v>
      </c>
      <c r="D22" s="8" t="s">
        <v>838</v>
      </c>
      <c r="E22" s="8" t="s">
        <v>871</v>
      </c>
      <c r="F22" s="8" t="s">
        <v>931</v>
      </c>
    </row>
    <row r="23" spans="1:6" x14ac:dyDescent="0.25">
      <c r="A23" s="8" t="s">
        <v>856</v>
      </c>
      <c r="B23" s="8" t="s">
        <v>857</v>
      </c>
      <c r="C23" s="8" t="s">
        <v>841</v>
      </c>
      <c r="D23" s="8" t="s">
        <v>838</v>
      </c>
      <c r="E23" s="8" t="s">
        <v>858</v>
      </c>
      <c r="F23" s="8" t="s">
        <v>859</v>
      </c>
    </row>
    <row r="24" spans="1:6" x14ac:dyDescent="0.25">
      <c r="A24" s="8" t="s">
        <v>905</v>
      </c>
      <c r="B24" s="8" t="s">
        <v>906</v>
      </c>
      <c r="C24" s="8" t="s">
        <v>870</v>
      </c>
      <c r="D24" s="8" t="s">
        <v>838</v>
      </c>
      <c r="E24" s="8" t="s">
        <v>907</v>
      </c>
      <c r="F24" s="8" t="s">
        <v>908</v>
      </c>
    </row>
    <row r="25" spans="1:6" x14ac:dyDescent="0.25">
      <c r="A25" s="8" t="s">
        <v>897</v>
      </c>
      <c r="B25" s="8" t="s">
        <v>898</v>
      </c>
      <c r="C25" s="8" t="s">
        <v>870</v>
      </c>
      <c r="D25" s="8" t="s">
        <v>838</v>
      </c>
      <c r="E25" s="8" t="s">
        <v>899</v>
      </c>
      <c r="F25" s="8" t="s">
        <v>900</v>
      </c>
    </row>
    <row r="26" spans="1:6" x14ac:dyDescent="0.25">
      <c r="A26" s="8" t="s">
        <v>953</v>
      </c>
      <c r="B26" s="8" t="s">
        <v>954</v>
      </c>
      <c r="C26" s="8" t="s">
        <v>918</v>
      </c>
      <c r="D26" s="8" t="s">
        <v>838</v>
      </c>
      <c r="E26" s="8" t="s">
        <v>955</v>
      </c>
      <c r="F26" s="8" t="s">
        <v>956</v>
      </c>
    </row>
    <row r="27" spans="1:6" x14ac:dyDescent="0.25">
      <c r="A27" s="8" t="s">
        <v>852</v>
      </c>
      <c r="B27" s="8" t="s">
        <v>853</v>
      </c>
      <c r="C27" s="8" t="s">
        <v>841</v>
      </c>
      <c r="D27" s="8" t="s">
        <v>838</v>
      </c>
      <c r="E27" s="8" t="s">
        <v>854</v>
      </c>
      <c r="F27" s="8" t="s">
        <v>855</v>
      </c>
    </row>
    <row r="28" spans="1:6" x14ac:dyDescent="0.25">
      <c r="A28" s="8" t="s">
        <v>921</v>
      </c>
      <c r="B28" s="8" t="s">
        <v>922</v>
      </c>
      <c r="C28" s="8" t="s">
        <v>918</v>
      </c>
      <c r="D28" s="8" t="s">
        <v>838</v>
      </c>
      <c r="E28" s="8" t="s">
        <v>923</v>
      </c>
      <c r="F28" s="8" t="s">
        <v>924</v>
      </c>
    </row>
    <row r="29" spans="1:6" x14ac:dyDescent="0.25">
      <c r="A29" s="8" t="s">
        <v>901</v>
      </c>
      <c r="B29" s="8" t="s">
        <v>902</v>
      </c>
      <c r="C29" s="8" t="s">
        <v>870</v>
      </c>
      <c r="D29" s="8" t="s">
        <v>838</v>
      </c>
      <c r="E29" s="8" t="s">
        <v>903</v>
      </c>
      <c r="F29" s="8" t="s">
        <v>904</v>
      </c>
    </row>
    <row r="30" spans="1:6" x14ac:dyDescent="0.25">
      <c r="A30" s="8" t="s">
        <v>932</v>
      </c>
      <c r="B30" s="8" t="s">
        <v>933</v>
      </c>
      <c r="C30" s="8" t="s">
        <v>918</v>
      </c>
      <c r="D30" s="8" t="s">
        <v>838</v>
      </c>
      <c r="E30" s="8" t="s">
        <v>934</v>
      </c>
      <c r="F30" s="8" t="s">
        <v>935</v>
      </c>
    </row>
    <row r="31" spans="1:6" x14ac:dyDescent="0.25">
      <c r="A31" s="8" t="s">
        <v>881</v>
      </c>
      <c r="B31" s="8" t="s">
        <v>882</v>
      </c>
      <c r="C31" s="8" t="s">
        <v>870</v>
      </c>
      <c r="D31" s="8" t="s">
        <v>838</v>
      </c>
      <c r="E31" s="8" t="s">
        <v>883</v>
      </c>
      <c r="F31" s="8" t="s">
        <v>884</v>
      </c>
    </row>
  </sheetData>
  <sortState xmlns:xlrd2="http://schemas.microsoft.com/office/spreadsheetml/2017/richdata2" ref="A2:F31">
    <sortCondition descending="1" ref="A2"/>
  </sortState>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9">
    <tabColor rgb="FF0000FF"/>
  </sheetPr>
  <dimension ref="A1:I256"/>
  <sheetViews>
    <sheetView zoomScale="115" zoomScaleNormal="115" workbookViewId="0"/>
  </sheetViews>
  <sheetFormatPr defaultRowHeight="15" x14ac:dyDescent="0.25"/>
  <cols>
    <col min="1" max="1" width="11" bestFit="1" customWidth="1"/>
    <col min="2" max="2" width="4.85546875" customWidth="1"/>
    <col min="3" max="3" width="12.85546875" customWidth="1"/>
    <col min="8" max="8" width="14.140625" bestFit="1" customWidth="1"/>
    <col min="9" max="9" width="12.7109375" bestFit="1" customWidth="1"/>
    <col min="253" max="253" width="11.85546875" bestFit="1" customWidth="1"/>
    <col min="254" max="254" width="10.28515625" customWidth="1"/>
    <col min="255" max="255" width="15.140625" customWidth="1"/>
    <col min="256" max="257" width="11" bestFit="1" customWidth="1"/>
    <col min="258" max="258" width="6.28515625" customWidth="1"/>
    <col min="259" max="259" width="3.5703125" bestFit="1" customWidth="1"/>
    <col min="509" max="509" width="11.85546875" bestFit="1" customWidth="1"/>
    <col min="510" max="510" width="10.28515625" customWidth="1"/>
    <col min="511" max="511" width="15.140625" customWidth="1"/>
    <col min="512" max="513" width="11" bestFit="1" customWidth="1"/>
    <col min="514" max="514" width="6.28515625" customWidth="1"/>
    <col min="515" max="515" width="3.5703125" bestFit="1" customWidth="1"/>
    <col min="765" max="765" width="11.85546875" bestFit="1" customWidth="1"/>
    <col min="766" max="766" width="10.28515625" customWidth="1"/>
    <col min="767" max="767" width="15.140625" customWidth="1"/>
    <col min="768" max="769" width="11" bestFit="1" customWidth="1"/>
    <col min="770" max="770" width="6.28515625" customWidth="1"/>
    <col min="771" max="771" width="3.5703125" bestFit="1" customWidth="1"/>
    <col min="1021" max="1021" width="11.85546875" bestFit="1" customWidth="1"/>
    <col min="1022" max="1022" width="10.28515625" customWidth="1"/>
    <col min="1023" max="1023" width="15.140625" customWidth="1"/>
    <col min="1024" max="1025" width="11" bestFit="1" customWidth="1"/>
    <col min="1026" max="1026" width="6.28515625" customWidth="1"/>
    <col min="1027" max="1027" width="3.5703125" bestFit="1" customWidth="1"/>
    <col min="1277" max="1277" width="11.85546875" bestFit="1" customWidth="1"/>
    <col min="1278" max="1278" width="10.28515625" customWidth="1"/>
    <col min="1279" max="1279" width="15.140625" customWidth="1"/>
    <col min="1280" max="1281" width="11" bestFit="1" customWidth="1"/>
    <col min="1282" max="1282" width="6.28515625" customWidth="1"/>
    <col min="1283" max="1283" width="3.5703125" bestFit="1" customWidth="1"/>
    <col min="1533" max="1533" width="11.85546875" bestFit="1" customWidth="1"/>
    <col min="1534" max="1534" width="10.28515625" customWidth="1"/>
    <col min="1535" max="1535" width="15.140625" customWidth="1"/>
    <col min="1536" max="1537" width="11" bestFit="1" customWidth="1"/>
    <col min="1538" max="1538" width="6.28515625" customWidth="1"/>
    <col min="1539" max="1539" width="3.5703125" bestFit="1" customWidth="1"/>
    <col min="1789" max="1789" width="11.85546875" bestFit="1" customWidth="1"/>
    <col min="1790" max="1790" width="10.28515625" customWidth="1"/>
    <col min="1791" max="1791" width="15.140625" customWidth="1"/>
    <col min="1792" max="1793" width="11" bestFit="1" customWidth="1"/>
    <col min="1794" max="1794" width="6.28515625" customWidth="1"/>
    <col min="1795" max="1795" width="3.5703125" bestFit="1" customWidth="1"/>
    <col min="2045" max="2045" width="11.85546875" bestFit="1" customWidth="1"/>
    <col min="2046" max="2046" width="10.28515625" customWidth="1"/>
    <col min="2047" max="2047" width="15.140625" customWidth="1"/>
    <col min="2048" max="2049" width="11" bestFit="1" customWidth="1"/>
    <col min="2050" max="2050" width="6.28515625" customWidth="1"/>
    <col min="2051" max="2051" width="3.5703125" bestFit="1" customWidth="1"/>
    <col min="2301" max="2301" width="11.85546875" bestFit="1" customWidth="1"/>
    <col min="2302" max="2302" width="10.28515625" customWidth="1"/>
    <col min="2303" max="2303" width="15.140625" customWidth="1"/>
    <col min="2304" max="2305" width="11" bestFit="1" customWidth="1"/>
    <col min="2306" max="2306" width="6.28515625" customWidth="1"/>
    <col min="2307" max="2307" width="3.5703125" bestFit="1" customWidth="1"/>
    <col min="2557" max="2557" width="11.85546875" bestFit="1" customWidth="1"/>
    <col min="2558" max="2558" width="10.28515625" customWidth="1"/>
    <col min="2559" max="2559" width="15.140625" customWidth="1"/>
    <col min="2560" max="2561" width="11" bestFit="1" customWidth="1"/>
    <col min="2562" max="2562" width="6.28515625" customWidth="1"/>
    <col min="2563" max="2563" width="3.5703125" bestFit="1" customWidth="1"/>
    <col min="2813" max="2813" width="11.85546875" bestFit="1" customWidth="1"/>
    <col min="2814" max="2814" width="10.28515625" customWidth="1"/>
    <col min="2815" max="2815" width="15.140625" customWidth="1"/>
    <col min="2816" max="2817" width="11" bestFit="1" customWidth="1"/>
    <col min="2818" max="2818" width="6.28515625" customWidth="1"/>
    <col min="2819" max="2819" width="3.5703125" bestFit="1" customWidth="1"/>
    <col min="3069" max="3069" width="11.85546875" bestFit="1" customWidth="1"/>
    <col min="3070" max="3070" width="10.28515625" customWidth="1"/>
    <col min="3071" max="3071" width="15.140625" customWidth="1"/>
    <col min="3072" max="3073" width="11" bestFit="1" customWidth="1"/>
    <col min="3074" max="3074" width="6.28515625" customWidth="1"/>
    <col min="3075" max="3075" width="3.5703125" bestFit="1" customWidth="1"/>
    <col min="3325" max="3325" width="11.85546875" bestFit="1" customWidth="1"/>
    <col min="3326" max="3326" width="10.28515625" customWidth="1"/>
    <col min="3327" max="3327" width="15.140625" customWidth="1"/>
    <col min="3328" max="3329" width="11" bestFit="1" customWidth="1"/>
    <col min="3330" max="3330" width="6.28515625" customWidth="1"/>
    <col min="3331" max="3331" width="3.5703125" bestFit="1" customWidth="1"/>
    <col min="3581" max="3581" width="11.85546875" bestFit="1" customWidth="1"/>
    <col min="3582" max="3582" width="10.28515625" customWidth="1"/>
    <col min="3583" max="3583" width="15.140625" customWidth="1"/>
    <col min="3584" max="3585" width="11" bestFit="1" customWidth="1"/>
    <col min="3586" max="3586" width="6.28515625" customWidth="1"/>
    <col min="3587" max="3587" width="3.5703125" bestFit="1" customWidth="1"/>
    <col min="3837" max="3837" width="11.85546875" bestFit="1" customWidth="1"/>
    <col min="3838" max="3838" width="10.28515625" customWidth="1"/>
    <col min="3839" max="3839" width="15.140625" customWidth="1"/>
    <col min="3840" max="3841" width="11" bestFit="1" customWidth="1"/>
    <col min="3842" max="3842" width="6.28515625" customWidth="1"/>
    <col min="3843" max="3843" width="3.5703125" bestFit="1" customWidth="1"/>
    <col min="4093" max="4093" width="11.85546875" bestFit="1" customWidth="1"/>
    <col min="4094" max="4094" width="10.28515625" customWidth="1"/>
    <col min="4095" max="4095" width="15.140625" customWidth="1"/>
    <col min="4096" max="4097" width="11" bestFit="1" customWidth="1"/>
    <col min="4098" max="4098" width="6.28515625" customWidth="1"/>
    <col min="4099" max="4099" width="3.5703125" bestFit="1" customWidth="1"/>
    <col min="4349" max="4349" width="11.85546875" bestFit="1" customWidth="1"/>
    <col min="4350" max="4350" width="10.28515625" customWidth="1"/>
    <col min="4351" max="4351" width="15.140625" customWidth="1"/>
    <col min="4352" max="4353" width="11" bestFit="1" customWidth="1"/>
    <col min="4354" max="4354" width="6.28515625" customWidth="1"/>
    <col min="4355" max="4355" width="3.5703125" bestFit="1" customWidth="1"/>
    <col min="4605" max="4605" width="11.85546875" bestFit="1" customWidth="1"/>
    <col min="4606" max="4606" width="10.28515625" customWidth="1"/>
    <col min="4607" max="4607" width="15.140625" customWidth="1"/>
    <col min="4608" max="4609" width="11" bestFit="1" customWidth="1"/>
    <col min="4610" max="4610" width="6.28515625" customWidth="1"/>
    <col min="4611" max="4611" width="3.5703125" bestFit="1" customWidth="1"/>
    <col min="4861" max="4861" width="11.85546875" bestFit="1" customWidth="1"/>
    <col min="4862" max="4862" width="10.28515625" customWidth="1"/>
    <col min="4863" max="4863" width="15.140625" customWidth="1"/>
    <col min="4864" max="4865" width="11" bestFit="1" customWidth="1"/>
    <col min="4866" max="4866" width="6.28515625" customWidth="1"/>
    <col min="4867" max="4867" width="3.5703125" bestFit="1" customWidth="1"/>
    <col min="5117" max="5117" width="11.85546875" bestFit="1" customWidth="1"/>
    <col min="5118" max="5118" width="10.28515625" customWidth="1"/>
    <col min="5119" max="5119" width="15.140625" customWidth="1"/>
    <col min="5120" max="5121" width="11" bestFit="1" customWidth="1"/>
    <col min="5122" max="5122" width="6.28515625" customWidth="1"/>
    <col min="5123" max="5123" width="3.5703125" bestFit="1" customWidth="1"/>
    <col min="5373" max="5373" width="11.85546875" bestFit="1" customWidth="1"/>
    <col min="5374" max="5374" width="10.28515625" customWidth="1"/>
    <col min="5375" max="5375" width="15.140625" customWidth="1"/>
    <col min="5376" max="5377" width="11" bestFit="1" customWidth="1"/>
    <col min="5378" max="5378" width="6.28515625" customWidth="1"/>
    <col min="5379" max="5379" width="3.5703125" bestFit="1" customWidth="1"/>
    <col min="5629" max="5629" width="11.85546875" bestFit="1" customWidth="1"/>
    <col min="5630" max="5630" width="10.28515625" customWidth="1"/>
    <col min="5631" max="5631" width="15.140625" customWidth="1"/>
    <col min="5632" max="5633" width="11" bestFit="1" customWidth="1"/>
    <col min="5634" max="5634" width="6.28515625" customWidth="1"/>
    <col min="5635" max="5635" width="3.5703125" bestFit="1" customWidth="1"/>
    <col min="5885" max="5885" width="11.85546875" bestFit="1" customWidth="1"/>
    <col min="5886" max="5886" width="10.28515625" customWidth="1"/>
    <col min="5887" max="5887" width="15.140625" customWidth="1"/>
    <col min="5888" max="5889" width="11" bestFit="1" customWidth="1"/>
    <col min="5890" max="5890" width="6.28515625" customWidth="1"/>
    <col min="5891" max="5891" width="3.5703125" bestFit="1" customWidth="1"/>
    <col min="6141" max="6141" width="11.85546875" bestFit="1" customWidth="1"/>
    <col min="6142" max="6142" width="10.28515625" customWidth="1"/>
    <col min="6143" max="6143" width="15.140625" customWidth="1"/>
    <col min="6144" max="6145" width="11" bestFit="1" customWidth="1"/>
    <col min="6146" max="6146" width="6.28515625" customWidth="1"/>
    <col min="6147" max="6147" width="3.5703125" bestFit="1" customWidth="1"/>
    <col min="6397" max="6397" width="11.85546875" bestFit="1" customWidth="1"/>
    <col min="6398" max="6398" width="10.28515625" customWidth="1"/>
    <col min="6399" max="6399" width="15.140625" customWidth="1"/>
    <col min="6400" max="6401" width="11" bestFit="1" customWidth="1"/>
    <col min="6402" max="6402" width="6.28515625" customWidth="1"/>
    <col min="6403" max="6403" width="3.5703125" bestFit="1" customWidth="1"/>
    <col min="6653" max="6653" width="11.85546875" bestFit="1" customWidth="1"/>
    <col min="6654" max="6654" width="10.28515625" customWidth="1"/>
    <col min="6655" max="6655" width="15.140625" customWidth="1"/>
    <col min="6656" max="6657" width="11" bestFit="1" customWidth="1"/>
    <col min="6658" max="6658" width="6.28515625" customWidth="1"/>
    <col min="6659" max="6659" width="3.5703125" bestFit="1" customWidth="1"/>
    <col min="6909" max="6909" width="11.85546875" bestFit="1" customWidth="1"/>
    <col min="6910" max="6910" width="10.28515625" customWidth="1"/>
    <col min="6911" max="6911" width="15.140625" customWidth="1"/>
    <col min="6912" max="6913" width="11" bestFit="1" customWidth="1"/>
    <col min="6914" max="6914" width="6.28515625" customWidth="1"/>
    <col min="6915" max="6915" width="3.5703125" bestFit="1" customWidth="1"/>
    <col min="7165" max="7165" width="11.85546875" bestFit="1" customWidth="1"/>
    <col min="7166" max="7166" width="10.28515625" customWidth="1"/>
    <col min="7167" max="7167" width="15.140625" customWidth="1"/>
    <col min="7168" max="7169" width="11" bestFit="1" customWidth="1"/>
    <col min="7170" max="7170" width="6.28515625" customWidth="1"/>
    <col min="7171" max="7171" width="3.5703125" bestFit="1" customWidth="1"/>
    <col min="7421" max="7421" width="11.85546875" bestFit="1" customWidth="1"/>
    <col min="7422" max="7422" width="10.28515625" customWidth="1"/>
    <col min="7423" max="7423" width="15.140625" customWidth="1"/>
    <col min="7424" max="7425" width="11" bestFit="1" customWidth="1"/>
    <col min="7426" max="7426" width="6.28515625" customWidth="1"/>
    <col min="7427" max="7427" width="3.5703125" bestFit="1" customWidth="1"/>
    <col min="7677" max="7677" width="11.85546875" bestFit="1" customWidth="1"/>
    <col min="7678" max="7678" width="10.28515625" customWidth="1"/>
    <col min="7679" max="7679" width="15.140625" customWidth="1"/>
    <col min="7680" max="7681" width="11" bestFit="1" customWidth="1"/>
    <col min="7682" max="7682" width="6.28515625" customWidth="1"/>
    <col min="7683" max="7683" width="3.5703125" bestFit="1" customWidth="1"/>
    <col min="7933" max="7933" width="11.85546875" bestFit="1" customWidth="1"/>
    <col min="7934" max="7934" width="10.28515625" customWidth="1"/>
    <col min="7935" max="7935" width="15.140625" customWidth="1"/>
    <col min="7936" max="7937" width="11" bestFit="1" customWidth="1"/>
    <col min="7938" max="7938" width="6.28515625" customWidth="1"/>
    <col min="7939" max="7939" width="3.5703125" bestFit="1" customWidth="1"/>
    <col min="8189" max="8189" width="11.85546875" bestFit="1" customWidth="1"/>
    <col min="8190" max="8190" width="10.28515625" customWidth="1"/>
    <col min="8191" max="8191" width="15.140625" customWidth="1"/>
    <col min="8192" max="8193" width="11" bestFit="1" customWidth="1"/>
    <col min="8194" max="8194" width="6.28515625" customWidth="1"/>
    <col min="8195" max="8195" width="3.5703125" bestFit="1" customWidth="1"/>
    <col min="8445" max="8445" width="11.85546875" bestFit="1" customWidth="1"/>
    <col min="8446" max="8446" width="10.28515625" customWidth="1"/>
    <col min="8447" max="8447" width="15.140625" customWidth="1"/>
    <col min="8448" max="8449" width="11" bestFit="1" customWidth="1"/>
    <col min="8450" max="8450" width="6.28515625" customWidth="1"/>
    <col min="8451" max="8451" width="3.5703125" bestFit="1" customWidth="1"/>
    <col min="8701" max="8701" width="11.85546875" bestFit="1" customWidth="1"/>
    <col min="8702" max="8702" width="10.28515625" customWidth="1"/>
    <col min="8703" max="8703" width="15.140625" customWidth="1"/>
    <col min="8704" max="8705" width="11" bestFit="1" customWidth="1"/>
    <col min="8706" max="8706" width="6.28515625" customWidth="1"/>
    <col min="8707" max="8707" width="3.5703125" bestFit="1" customWidth="1"/>
    <col min="8957" max="8957" width="11.85546875" bestFit="1" customWidth="1"/>
    <col min="8958" max="8958" width="10.28515625" customWidth="1"/>
    <col min="8959" max="8959" width="15.140625" customWidth="1"/>
    <col min="8960" max="8961" width="11" bestFit="1" customWidth="1"/>
    <col min="8962" max="8962" width="6.28515625" customWidth="1"/>
    <col min="8963" max="8963" width="3.5703125" bestFit="1" customWidth="1"/>
    <col min="9213" max="9213" width="11.85546875" bestFit="1" customWidth="1"/>
    <col min="9214" max="9214" width="10.28515625" customWidth="1"/>
    <col min="9215" max="9215" width="15.140625" customWidth="1"/>
    <col min="9216" max="9217" width="11" bestFit="1" customWidth="1"/>
    <col min="9218" max="9218" width="6.28515625" customWidth="1"/>
    <col min="9219" max="9219" width="3.5703125" bestFit="1" customWidth="1"/>
    <col min="9469" max="9469" width="11.85546875" bestFit="1" customWidth="1"/>
    <col min="9470" max="9470" width="10.28515625" customWidth="1"/>
    <col min="9471" max="9471" width="15.140625" customWidth="1"/>
    <col min="9472" max="9473" width="11" bestFit="1" customWidth="1"/>
    <col min="9474" max="9474" width="6.28515625" customWidth="1"/>
    <col min="9475" max="9475" width="3.5703125" bestFit="1" customWidth="1"/>
    <col min="9725" max="9725" width="11.85546875" bestFit="1" customWidth="1"/>
    <col min="9726" max="9726" width="10.28515625" customWidth="1"/>
    <col min="9727" max="9727" width="15.140625" customWidth="1"/>
    <col min="9728" max="9729" width="11" bestFit="1" customWidth="1"/>
    <col min="9730" max="9730" width="6.28515625" customWidth="1"/>
    <col min="9731" max="9731" width="3.5703125" bestFit="1" customWidth="1"/>
    <col min="9981" max="9981" width="11.85546875" bestFit="1" customWidth="1"/>
    <col min="9982" max="9982" width="10.28515625" customWidth="1"/>
    <col min="9983" max="9983" width="15.140625" customWidth="1"/>
    <col min="9984" max="9985" width="11" bestFit="1" customWidth="1"/>
    <col min="9986" max="9986" width="6.28515625" customWidth="1"/>
    <col min="9987" max="9987" width="3.5703125" bestFit="1" customWidth="1"/>
    <col min="10237" max="10237" width="11.85546875" bestFit="1" customWidth="1"/>
    <col min="10238" max="10238" width="10.28515625" customWidth="1"/>
    <col min="10239" max="10239" width="15.140625" customWidth="1"/>
    <col min="10240" max="10241" width="11" bestFit="1" customWidth="1"/>
    <col min="10242" max="10242" width="6.28515625" customWidth="1"/>
    <col min="10243" max="10243" width="3.5703125" bestFit="1" customWidth="1"/>
    <col min="10493" max="10493" width="11.85546875" bestFit="1" customWidth="1"/>
    <col min="10494" max="10494" width="10.28515625" customWidth="1"/>
    <col min="10495" max="10495" width="15.140625" customWidth="1"/>
    <col min="10496" max="10497" width="11" bestFit="1" customWidth="1"/>
    <col min="10498" max="10498" width="6.28515625" customWidth="1"/>
    <col min="10499" max="10499" width="3.5703125" bestFit="1" customWidth="1"/>
    <col min="10749" max="10749" width="11.85546875" bestFit="1" customWidth="1"/>
    <col min="10750" max="10750" width="10.28515625" customWidth="1"/>
    <col min="10751" max="10751" width="15.140625" customWidth="1"/>
    <col min="10752" max="10753" width="11" bestFit="1" customWidth="1"/>
    <col min="10754" max="10754" width="6.28515625" customWidth="1"/>
    <col min="10755" max="10755" width="3.5703125" bestFit="1" customWidth="1"/>
    <col min="11005" max="11005" width="11.85546875" bestFit="1" customWidth="1"/>
    <col min="11006" max="11006" width="10.28515625" customWidth="1"/>
    <col min="11007" max="11007" width="15.140625" customWidth="1"/>
    <col min="11008" max="11009" width="11" bestFit="1" customWidth="1"/>
    <col min="11010" max="11010" width="6.28515625" customWidth="1"/>
    <col min="11011" max="11011" width="3.5703125" bestFit="1" customWidth="1"/>
    <col min="11261" max="11261" width="11.85546875" bestFit="1" customWidth="1"/>
    <col min="11262" max="11262" width="10.28515625" customWidth="1"/>
    <col min="11263" max="11263" width="15.140625" customWidth="1"/>
    <col min="11264" max="11265" width="11" bestFit="1" customWidth="1"/>
    <col min="11266" max="11266" width="6.28515625" customWidth="1"/>
    <col min="11267" max="11267" width="3.5703125" bestFit="1" customWidth="1"/>
    <col min="11517" max="11517" width="11.85546875" bestFit="1" customWidth="1"/>
    <col min="11518" max="11518" width="10.28515625" customWidth="1"/>
    <col min="11519" max="11519" width="15.140625" customWidth="1"/>
    <col min="11520" max="11521" width="11" bestFit="1" customWidth="1"/>
    <col min="11522" max="11522" width="6.28515625" customWidth="1"/>
    <col min="11523" max="11523" width="3.5703125" bestFit="1" customWidth="1"/>
    <col min="11773" max="11773" width="11.85546875" bestFit="1" customWidth="1"/>
    <col min="11774" max="11774" width="10.28515625" customWidth="1"/>
    <col min="11775" max="11775" width="15.140625" customWidth="1"/>
    <col min="11776" max="11777" width="11" bestFit="1" customWidth="1"/>
    <col min="11778" max="11778" width="6.28515625" customWidth="1"/>
    <col min="11779" max="11779" width="3.5703125" bestFit="1" customWidth="1"/>
    <col min="12029" max="12029" width="11.85546875" bestFit="1" customWidth="1"/>
    <col min="12030" max="12030" width="10.28515625" customWidth="1"/>
    <col min="12031" max="12031" width="15.140625" customWidth="1"/>
    <col min="12032" max="12033" width="11" bestFit="1" customWidth="1"/>
    <col min="12034" max="12034" width="6.28515625" customWidth="1"/>
    <col min="12035" max="12035" width="3.5703125" bestFit="1" customWidth="1"/>
    <col min="12285" max="12285" width="11.85546875" bestFit="1" customWidth="1"/>
    <col min="12286" max="12286" width="10.28515625" customWidth="1"/>
    <col min="12287" max="12287" width="15.140625" customWidth="1"/>
    <col min="12288" max="12289" width="11" bestFit="1" customWidth="1"/>
    <col min="12290" max="12290" width="6.28515625" customWidth="1"/>
    <col min="12291" max="12291" width="3.5703125" bestFit="1" customWidth="1"/>
    <col min="12541" max="12541" width="11.85546875" bestFit="1" customWidth="1"/>
    <col min="12542" max="12542" width="10.28515625" customWidth="1"/>
    <col min="12543" max="12543" width="15.140625" customWidth="1"/>
    <col min="12544" max="12545" width="11" bestFit="1" customWidth="1"/>
    <col min="12546" max="12546" width="6.28515625" customWidth="1"/>
    <col min="12547" max="12547" width="3.5703125" bestFit="1" customWidth="1"/>
    <col min="12797" max="12797" width="11.85546875" bestFit="1" customWidth="1"/>
    <col min="12798" max="12798" width="10.28515625" customWidth="1"/>
    <col min="12799" max="12799" width="15.140625" customWidth="1"/>
    <col min="12800" max="12801" width="11" bestFit="1" customWidth="1"/>
    <col min="12802" max="12802" width="6.28515625" customWidth="1"/>
    <col min="12803" max="12803" width="3.5703125" bestFit="1" customWidth="1"/>
    <col min="13053" max="13053" width="11.85546875" bestFit="1" customWidth="1"/>
    <col min="13054" max="13054" width="10.28515625" customWidth="1"/>
    <col min="13055" max="13055" width="15.140625" customWidth="1"/>
    <col min="13056" max="13057" width="11" bestFit="1" customWidth="1"/>
    <col min="13058" max="13058" width="6.28515625" customWidth="1"/>
    <col min="13059" max="13059" width="3.5703125" bestFit="1" customWidth="1"/>
    <col min="13309" max="13309" width="11.85546875" bestFit="1" customWidth="1"/>
    <col min="13310" max="13310" width="10.28515625" customWidth="1"/>
    <col min="13311" max="13311" width="15.140625" customWidth="1"/>
    <col min="13312" max="13313" width="11" bestFit="1" customWidth="1"/>
    <col min="13314" max="13314" width="6.28515625" customWidth="1"/>
    <col min="13315" max="13315" width="3.5703125" bestFit="1" customWidth="1"/>
    <col min="13565" max="13565" width="11.85546875" bestFit="1" customWidth="1"/>
    <col min="13566" max="13566" width="10.28515625" customWidth="1"/>
    <col min="13567" max="13567" width="15.140625" customWidth="1"/>
    <col min="13568" max="13569" width="11" bestFit="1" customWidth="1"/>
    <col min="13570" max="13570" width="6.28515625" customWidth="1"/>
    <col min="13571" max="13571" width="3.5703125" bestFit="1" customWidth="1"/>
    <col min="13821" max="13821" width="11.85546875" bestFit="1" customWidth="1"/>
    <col min="13822" max="13822" width="10.28515625" customWidth="1"/>
    <col min="13823" max="13823" width="15.140625" customWidth="1"/>
    <col min="13824" max="13825" width="11" bestFit="1" customWidth="1"/>
    <col min="13826" max="13826" width="6.28515625" customWidth="1"/>
    <col min="13827" max="13827" width="3.5703125" bestFit="1" customWidth="1"/>
    <col min="14077" max="14077" width="11.85546875" bestFit="1" customWidth="1"/>
    <col min="14078" max="14078" width="10.28515625" customWidth="1"/>
    <col min="14079" max="14079" width="15.140625" customWidth="1"/>
    <col min="14080" max="14081" width="11" bestFit="1" customWidth="1"/>
    <col min="14082" max="14082" width="6.28515625" customWidth="1"/>
    <col min="14083" max="14083" width="3.5703125" bestFit="1" customWidth="1"/>
    <col min="14333" max="14333" width="11.85546875" bestFit="1" customWidth="1"/>
    <col min="14334" max="14334" width="10.28515625" customWidth="1"/>
    <col min="14335" max="14335" width="15.140625" customWidth="1"/>
    <col min="14336" max="14337" width="11" bestFit="1" customWidth="1"/>
    <col min="14338" max="14338" width="6.28515625" customWidth="1"/>
    <col min="14339" max="14339" width="3.5703125" bestFit="1" customWidth="1"/>
    <col min="14589" max="14589" width="11.85546875" bestFit="1" customWidth="1"/>
    <col min="14590" max="14590" width="10.28515625" customWidth="1"/>
    <col min="14591" max="14591" width="15.140625" customWidth="1"/>
    <col min="14592" max="14593" width="11" bestFit="1" customWidth="1"/>
    <col min="14594" max="14594" width="6.28515625" customWidth="1"/>
    <col min="14595" max="14595" width="3.5703125" bestFit="1" customWidth="1"/>
    <col min="14845" max="14845" width="11.85546875" bestFit="1" customWidth="1"/>
    <col min="14846" max="14846" width="10.28515625" customWidth="1"/>
    <col min="14847" max="14847" width="15.140625" customWidth="1"/>
    <col min="14848" max="14849" width="11" bestFit="1" customWidth="1"/>
    <col min="14850" max="14850" width="6.28515625" customWidth="1"/>
    <col min="14851" max="14851" width="3.5703125" bestFit="1" customWidth="1"/>
    <col min="15101" max="15101" width="11.85546875" bestFit="1" customWidth="1"/>
    <col min="15102" max="15102" width="10.28515625" customWidth="1"/>
    <col min="15103" max="15103" width="15.140625" customWidth="1"/>
    <col min="15104" max="15105" width="11" bestFit="1" customWidth="1"/>
    <col min="15106" max="15106" width="6.28515625" customWidth="1"/>
    <col min="15107" max="15107" width="3.5703125" bestFit="1" customWidth="1"/>
    <col min="15357" max="15357" width="11.85546875" bestFit="1" customWidth="1"/>
    <col min="15358" max="15358" width="10.28515625" customWidth="1"/>
    <col min="15359" max="15359" width="15.140625" customWidth="1"/>
    <col min="15360" max="15361" width="11" bestFit="1" customWidth="1"/>
    <col min="15362" max="15362" width="6.28515625" customWidth="1"/>
    <col min="15363" max="15363" width="3.5703125" bestFit="1" customWidth="1"/>
    <col min="15613" max="15613" width="11.85546875" bestFit="1" customWidth="1"/>
    <col min="15614" max="15614" width="10.28515625" customWidth="1"/>
    <col min="15615" max="15615" width="15.140625" customWidth="1"/>
    <col min="15616" max="15617" width="11" bestFit="1" customWidth="1"/>
    <col min="15618" max="15618" width="6.28515625" customWidth="1"/>
    <col min="15619" max="15619" width="3.5703125" bestFit="1" customWidth="1"/>
    <col min="15869" max="15869" width="11.85546875" bestFit="1" customWidth="1"/>
    <col min="15870" max="15870" width="10.28515625" customWidth="1"/>
    <col min="15871" max="15871" width="15.140625" customWidth="1"/>
    <col min="15872" max="15873" width="11" bestFit="1" customWidth="1"/>
    <col min="15874" max="15874" width="6.28515625" customWidth="1"/>
    <col min="15875" max="15875" width="3.5703125" bestFit="1" customWidth="1"/>
    <col min="16125" max="16125" width="11.85546875" bestFit="1" customWidth="1"/>
    <col min="16126" max="16126" width="10.28515625" customWidth="1"/>
    <col min="16127" max="16127" width="15.140625" customWidth="1"/>
    <col min="16128" max="16129" width="11" bestFit="1" customWidth="1"/>
    <col min="16130" max="16130" width="6.28515625" customWidth="1"/>
    <col min="16131" max="16131" width="3.5703125" bestFit="1" customWidth="1"/>
  </cols>
  <sheetData>
    <row r="1" spans="1:9" x14ac:dyDescent="0.25">
      <c r="A1" s="14" t="s">
        <v>957</v>
      </c>
      <c r="F1" s="27"/>
      <c r="H1" s="336" t="s">
        <v>1245</v>
      </c>
      <c r="I1" s="336" t="s">
        <v>1246</v>
      </c>
    </row>
    <row r="2" spans="1:9" x14ac:dyDescent="0.25">
      <c r="A2" s="8" t="b">
        <v>1</v>
      </c>
      <c r="C2" t="str">
        <f t="shared" ref="C2:C13" si="0">IFERROR(IF(A2="","&lt;== blank cell",""),"")</f>
        <v/>
      </c>
      <c r="H2" s="8" t="str">
        <f>CHAR(ROWS(H$2:H2))</f>
        <v>_x0001_</v>
      </c>
      <c r="I2" s="8">
        <f t="shared" ref="I2:I65" si="1">CODE(H2)</f>
        <v>1</v>
      </c>
    </row>
    <row r="3" spans="1:9" x14ac:dyDescent="0.25">
      <c r="A3" s="8"/>
      <c r="C3" t="str">
        <f t="shared" si="0"/>
        <v>&lt;== blank cell</v>
      </c>
      <c r="D3" s="27"/>
      <c r="H3" s="8" t="str">
        <f>CHAR(ROWS(H$2:H3))</f>
        <v>_x0002_</v>
      </c>
      <c r="I3" s="8">
        <f t="shared" si="1"/>
        <v>2</v>
      </c>
    </row>
    <row r="4" spans="1:9" x14ac:dyDescent="0.25">
      <c r="A4" s="8">
        <v>4</v>
      </c>
      <c r="C4" t="str">
        <f t="shared" si="0"/>
        <v/>
      </c>
      <c r="H4" s="8" t="str">
        <f>CHAR(ROWS(H$2:H4))</f>
        <v>_x0003_</v>
      </c>
      <c r="I4" s="8">
        <f t="shared" si="1"/>
        <v>3</v>
      </c>
    </row>
    <row r="5" spans="1:9" x14ac:dyDescent="0.25">
      <c r="A5" s="8" t="s">
        <v>831</v>
      </c>
      <c r="C5" t="str">
        <f t="shared" si="0"/>
        <v/>
      </c>
      <c r="F5" s="218"/>
      <c r="H5" s="8" t="str">
        <f>CHAR(ROWS(H$2:H5))</f>
        <v>_x0004_</v>
      </c>
      <c r="I5" s="8">
        <f t="shared" si="1"/>
        <v>4</v>
      </c>
    </row>
    <row r="6" spans="1:9" x14ac:dyDescent="0.25">
      <c r="A6" s="8" t="s">
        <v>959</v>
      </c>
      <c r="C6" t="str">
        <f t="shared" si="0"/>
        <v/>
      </c>
      <c r="H6" s="8" t="str">
        <f>CHAR(ROWS(H$2:H6))</f>
        <v>_x0005_</v>
      </c>
      <c r="I6" s="8">
        <f t="shared" si="1"/>
        <v>5</v>
      </c>
    </row>
    <row r="7" spans="1:9" x14ac:dyDescent="0.25">
      <c r="A7" s="8" t="e">
        <f>1/0</f>
        <v>#DIV/0!</v>
      </c>
      <c r="C7" t="str">
        <f t="shared" si="0"/>
        <v/>
      </c>
      <c r="H7" s="8" t="str">
        <f>CHAR(ROWS(H$2:H7))</f>
        <v>_x0006_</v>
      </c>
      <c r="I7" s="8">
        <f t="shared" si="1"/>
        <v>6</v>
      </c>
    </row>
    <row r="8" spans="1:9" x14ac:dyDescent="0.25">
      <c r="A8" s="8" t="s">
        <v>958</v>
      </c>
      <c r="C8" t="str">
        <f t="shared" si="0"/>
        <v/>
      </c>
      <c r="H8" s="8" t="str">
        <f>CHAR(ROWS(H$2:H8))</f>
        <v>_x0007_</v>
      </c>
      <c r="I8" s="8">
        <f t="shared" si="1"/>
        <v>7</v>
      </c>
    </row>
    <row r="9" spans="1:9" x14ac:dyDescent="0.25">
      <c r="A9" s="8" t="s">
        <v>962</v>
      </c>
      <c r="C9" t="str">
        <f t="shared" si="0"/>
        <v/>
      </c>
      <c r="H9" s="8" t="str">
        <f>CHAR(ROWS(H$2:H9))</f>
        <v>_x0008_</v>
      </c>
      <c r="I9" s="8">
        <f t="shared" si="1"/>
        <v>8</v>
      </c>
    </row>
    <row r="10" spans="1:9" x14ac:dyDescent="0.25">
      <c r="A10" s="8" t="s">
        <v>961</v>
      </c>
      <c r="C10" t="str">
        <f t="shared" si="0"/>
        <v/>
      </c>
      <c r="H10" s="8" t="str">
        <f>CHAR(ROWS(H$2:H10))</f>
        <v xml:space="preserve">	</v>
      </c>
      <c r="I10" s="8">
        <f t="shared" si="1"/>
        <v>9</v>
      </c>
    </row>
    <row r="11" spans="1:9" x14ac:dyDescent="0.25">
      <c r="A11" s="8" t="b">
        <v>0</v>
      </c>
      <c r="C11" t="str">
        <f t="shared" si="0"/>
        <v/>
      </c>
      <c r="H11" s="8" t="str">
        <f>CHAR(ROWS(H$2:H11))</f>
        <v xml:space="preserve">
</v>
      </c>
      <c r="I11" s="8">
        <f t="shared" si="1"/>
        <v>10</v>
      </c>
    </row>
    <row r="12" spans="1:9" x14ac:dyDescent="0.25">
      <c r="A12" s="8" t="s">
        <v>960</v>
      </c>
      <c r="C12" t="str">
        <f t="shared" si="0"/>
        <v/>
      </c>
      <c r="H12" s="8" t="str">
        <f>CHAR(ROWS(H$2:H12))</f>
        <v>_x000B_</v>
      </c>
      <c r="I12" s="8">
        <f t="shared" si="1"/>
        <v>11</v>
      </c>
    </row>
    <row r="13" spans="1:9" x14ac:dyDescent="0.25">
      <c r="A13" s="8">
        <v>3</v>
      </c>
      <c r="C13" t="str">
        <f t="shared" si="0"/>
        <v/>
      </c>
      <c r="H13" s="8" t="str">
        <f>CHAR(ROWS(H$2:H13))</f>
        <v>_x000C_</v>
      </c>
      <c r="I13" s="8">
        <f t="shared" si="1"/>
        <v>12</v>
      </c>
    </row>
    <row r="14" spans="1:9" x14ac:dyDescent="0.25">
      <c r="H14" s="8" t="str">
        <f>CHAR(ROWS(H$2:H14))</f>
        <v>_x000D_</v>
      </c>
      <c r="I14" s="8">
        <f t="shared" si="1"/>
        <v>13</v>
      </c>
    </row>
    <row r="15" spans="1:9" x14ac:dyDescent="0.25">
      <c r="H15" s="8" t="str">
        <f>CHAR(ROWS(H$2:H15))</f>
        <v>_x000E_</v>
      </c>
      <c r="I15" s="8">
        <f t="shared" si="1"/>
        <v>14</v>
      </c>
    </row>
    <row r="16" spans="1:9" x14ac:dyDescent="0.25">
      <c r="H16" s="8" t="str">
        <f>CHAR(ROWS(H$2:H16))</f>
        <v>_x000F_</v>
      </c>
      <c r="I16" s="8">
        <f t="shared" si="1"/>
        <v>15</v>
      </c>
    </row>
    <row r="17" spans="8:9" x14ac:dyDescent="0.25">
      <c r="H17" s="8" t="str">
        <f>CHAR(ROWS(H$2:H17))</f>
        <v>_x0010_</v>
      </c>
      <c r="I17" s="8">
        <f t="shared" si="1"/>
        <v>16</v>
      </c>
    </row>
    <row r="18" spans="8:9" x14ac:dyDescent="0.25">
      <c r="H18" s="8" t="str">
        <f>CHAR(ROWS(H$2:H18))</f>
        <v>_x0011_</v>
      </c>
      <c r="I18" s="8">
        <f t="shared" si="1"/>
        <v>17</v>
      </c>
    </row>
    <row r="19" spans="8:9" x14ac:dyDescent="0.25">
      <c r="H19" s="8" t="str">
        <f>CHAR(ROWS(H$2:H19))</f>
        <v>_x0012_</v>
      </c>
      <c r="I19" s="8">
        <f t="shared" si="1"/>
        <v>18</v>
      </c>
    </row>
    <row r="20" spans="8:9" x14ac:dyDescent="0.25">
      <c r="H20" s="8" t="str">
        <f>CHAR(ROWS(H$2:H20))</f>
        <v>_x0013_</v>
      </c>
      <c r="I20" s="8">
        <f t="shared" si="1"/>
        <v>19</v>
      </c>
    </row>
    <row r="21" spans="8:9" x14ac:dyDescent="0.25">
      <c r="H21" s="8" t="str">
        <f>CHAR(ROWS(H$2:H21))</f>
        <v>_x0014_</v>
      </c>
      <c r="I21" s="8">
        <f t="shared" si="1"/>
        <v>20</v>
      </c>
    </row>
    <row r="22" spans="8:9" x14ac:dyDescent="0.25">
      <c r="H22" s="8" t="str">
        <f>CHAR(ROWS(H$2:H22))</f>
        <v>_x0015_</v>
      </c>
      <c r="I22" s="8">
        <f t="shared" si="1"/>
        <v>21</v>
      </c>
    </row>
    <row r="23" spans="8:9" x14ac:dyDescent="0.25">
      <c r="H23" s="8" t="str">
        <f>CHAR(ROWS(H$2:H23))</f>
        <v>_x0016_</v>
      </c>
      <c r="I23" s="8">
        <f t="shared" si="1"/>
        <v>22</v>
      </c>
    </row>
    <row r="24" spans="8:9" x14ac:dyDescent="0.25">
      <c r="H24" s="8" t="str">
        <f>CHAR(ROWS(H$2:H24))</f>
        <v>_x0017_</v>
      </c>
      <c r="I24" s="8">
        <f t="shared" si="1"/>
        <v>23</v>
      </c>
    </row>
    <row r="25" spans="8:9" x14ac:dyDescent="0.25">
      <c r="H25" s="8" t="str">
        <f>CHAR(ROWS(H$2:H25))</f>
        <v>_x0018_</v>
      </c>
      <c r="I25" s="8">
        <f t="shared" si="1"/>
        <v>24</v>
      </c>
    </row>
    <row r="26" spans="8:9" x14ac:dyDescent="0.25">
      <c r="H26" s="8" t="str">
        <f>CHAR(ROWS(H$2:H26))</f>
        <v>_x0019_</v>
      </c>
      <c r="I26" s="8">
        <f t="shared" si="1"/>
        <v>25</v>
      </c>
    </row>
    <row r="27" spans="8:9" x14ac:dyDescent="0.25">
      <c r="H27" s="8" t="str">
        <f>CHAR(ROWS(H$2:H27))</f>
        <v>_x001A_</v>
      </c>
      <c r="I27" s="8">
        <f t="shared" si="1"/>
        <v>26</v>
      </c>
    </row>
    <row r="28" spans="8:9" x14ac:dyDescent="0.25">
      <c r="H28" s="8" t="str">
        <f>CHAR(ROWS(H$2:H28))</f>
        <v>_x001B_</v>
      </c>
      <c r="I28" s="8">
        <f t="shared" si="1"/>
        <v>27</v>
      </c>
    </row>
    <row r="29" spans="8:9" x14ac:dyDescent="0.25">
      <c r="H29" s="8" t="str">
        <f>CHAR(ROWS(H$2:H29))</f>
        <v>_x001C_</v>
      </c>
      <c r="I29" s="8">
        <f t="shared" si="1"/>
        <v>28</v>
      </c>
    </row>
    <row r="30" spans="8:9" x14ac:dyDescent="0.25">
      <c r="H30" s="8" t="str">
        <f>CHAR(ROWS(H$2:H30))</f>
        <v>_x001D_</v>
      </c>
      <c r="I30" s="8">
        <f t="shared" si="1"/>
        <v>29</v>
      </c>
    </row>
    <row r="31" spans="8:9" x14ac:dyDescent="0.25">
      <c r="H31" s="8" t="str">
        <f>CHAR(ROWS(H$2:H31))</f>
        <v>_x001E_</v>
      </c>
      <c r="I31" s="8">
        <f t="shared" si="1"/>
        <v>30</v>
      </c>
    </row>
    <row r="32" spans="8:9" x14ac:dyDescent="0.25">
      <c r="H32" s="8" t="str">
        <f>CHAR(ROWS(H$2:H32))</f>
        <v>_x001F_</v>
      </c>
      <c r="I32" s="8">
        <f t="shared" si="1"/>
        <v>31</v>
      </c>
    </row>
    <row r="33" spans="8:9" x14ac:dyDescent="0.25">
      <c r="H33" s="8" t="str">
        <f>CHAR(ROWS(H$2:H33))</f>
        <v xml:space="preserve"> </v>
      </c>
      <c r="I33" s="8">
        <f t="shared" si="1"/>
        <v>32</v>
      </c>
    </row>
    <row r="34" spans="8:9" x14ac:dyDescent="0.25">
      <c r="H34" s="8" t="str">
        <f>CHAR(ROWS(H$2:H34))</f>
        <v>!</v>
      </c>
      <c r="I34" s="8">
        <f t="shared" si="1"/>
        <v>33</v>
      </c>
    </row>
    <row r="35" spans="8:9" x14ac:dyDescent="0.25">
      <c r="H35" s="8" t="str">
        <f>CHAR(ROWS(H$2:H35))</f>
        <v>"</v>
      </c>
      <c r="I35" s="8">
        <f t="shared" si="1"/>
        <v>34</v>
      </c>
    </row>
    <row r="36" spans="8:9" x14ac:dyDescent="0.25">
      <c r="H36" s="8" t="str">
        <f>CHAR(ROWS(H$2:H36))</f>
        <v>#</v>
      </c>
      <c r="I36" s="8">
        <f t="shared" si="1"/>
        <v>35</v>
      </c>
    </row>
    <row r="37" spans="8:9" x14ac:dyDescent="0.25">
      <c r="H37" s="8" t="str">
        <f>CHAR(ROWS(H$2:H37))</f>
        <v>$</v>
      </c>
      <c r="I37" s="8">
        <f t="shared" si="1"/>
        <v>36</v>
      </c>
    </row>
    <row r="38" spans="8:9" x14ac:dyDescent="0.25">
      <c r="H38" s="8" t="str">
        <f>CHAR(ROWS(H$2:H38))</f>
        <v>%</v>
      </c>
      <c r="I38" s="8">
        <f t="shared" si="1"/>
        <v>37</v>
      </c>
    </row>
    <row r="39" spans="8:9" x14ac:dyDescent="0.25">
      <c r="H39" s="8" t="str">
        <f>CHAR(ROWS(H$2:H39))</f>
        <v>&amp;</v>
      </c>
      <c r="I39" s="8">
        <f t="shared" si="1"/>
        <v>38</v>
      </c>
    </row>
    <row r="40" spans="8:9" x14ac:dyDescent="0.25">
      <c r="H40" s="8" t="str">
        <f>CHAR(ROWS(H$2:H40))</f>
        <v>'</v>
      </c>
      <c r="I40" s="8">
        <f t="shared" si="1"/>
        <v>39</v>
      </c>
    </row>
    <row r="41" spans="8:9" x14ac:dyDescent="0.25">
      <c r="H41" s="8" t="str">
        <f>CHAR(ROWS(H$2:H41))</f>
        <v>(</v>
      </c>
      <c r="I41" s="8">
        <f t="shared" si="1"/>
        <v>40</v>
      </c>
    </row>
    <row r="42" spans="8:9" x14ac:dyDescent="0.25">
      <c r="H42" s="8" t="str">
        <f>CHAR(ROWS(H$2:H42))</f>
        <v>)</v>
      </c>
      <c r="I42" s="8">
        <f t="shared" si="1"/>
        <v>41</v>
      </c>
    </row>
    <row r="43" spans="8:9" x14ac:dyDescent="0.25">
      <c r="H43" s="8" t="str">
        <f>CHAR(ROWS(H$2:H43))</f>
        <v>*</v>
      </c>
      <c r="I43" s="8">
        <f t="shared" si="1"/>
        <v>42</v>
      </c>
    </row>
    <row r="44" spans="8:9" x14ac:dyDescent="0.25">
      <c r="H44" s="8" t="str">
        <f>CHAR(ROWS(H$2:H44))</f>
        <v>+</v>
      </c>
      <c r="I44" s="8">
        <f t="shared" si="1"/>
        <v>43</v>
      </c>
    </row>
    <row r="45" spans="8:9" x14ac:dyDescent="0.25">
      <c r="H45" s="8" t="str">
        <f>CHAR(ROWS(H$2:H45))</f>
        <v>,</v>
      </c>
      <c r="I45" s="8">
        <f t="shared" si="1"/>
        <v>44</v>
      </c>
    </row>
    <row r="46" spans="8:9" x14ac:dyDescent="0.25">
      <c r="H46" s="8" t="str">
        <f>CHAR(ROWS(H$2:H46))</f>
        <v>-</v>
      </c>
      <c r="I46" s="8">
        <f t="shared" si="1"/>
        <v>45</v>
      </c>
    </row>
    <row r="47" spans="8:9" x14ac:dyDescent="0.25">
      <c r="H47" s="8" t="str">
        <f>CHAR(ROWS(H$2:H47))</f>
        <v>.</v>
      </c>
      <c r="I47" s="8">
        <f t="shared" si="1"/>
        <v>46</v>
      </c>
    </row>
    <row r="48" spans="8:9" x14ac:dyDescent="0.25">
      <c r="H48" s="8" t="str">
        <f>CHAR(ROWS(H$2:H48))</f>
        <v>/</v>
      </c>
      <c r="I48" s="8">
        <f t="shared" si="1"/>
        <v>47</v>
      </c>
    </row>
    <row r="49" spans="8:9" x14ac:dyDescent="0.25">
      <c r="H49" s="8" t="str">
        <f>CHAR(ROWS(H$2:H49))</f>
        <v>0</v>
      </c>
      <c r="I49" s="8">
        <f t="shared" si="1"/>
        <v>48</v>
      </c>
    </row>
    <row r="50" spans="8:9" x14ac:dyDescent="0.25">
      <c r="H50" s="8" t="str">
        <f>CHAR(ROWS(H$2:H50))</f>
        <v>1</v>
      </c>
      <c r="I50" s="8">
        <f t="shared" si="1"/>
        <v>49</v>
      </c>
    </row>
    <row r="51" spans="8:9" x14ac:dyDescent="0.25">
      <c r="H51" s="8" t="str">
        <f>CHAR(ROWS(H$2:H51))</f>
        <v>2</v>
      </c>
      <c r="I51" s="8">
        <f t="shared" si="1"/>
        <v>50</v>
      </c>
    </row>
    <row r="52" spans="8:9" x14ac:dyDescent="0.25">
      <c r="H52" s="8" t="str">
        <f>CHAR(ROWS(H$2:H52))</f>
        <v>3</v>
      </c>
      <c r="I52" s="8">
        <f t="shared" si="1"/>
        <v>51</v>
      </c>
    </row>
    <row r="53" spans="8:9" x14ac:dyDescent="0.25">
      <c r="H53" s="8" t="str">
        <f>CHAR(ROWS(H$2:H53))</f>
        <v>4</v>
      </c>
      <c r="I53" s="8">
        <f t="shared" si="1"/>
        <v>52</v>
      </c>
    </row>
    <row r="54" spans="8:9" x14ac:dyDescent="0.25">
      <c r="H54" s="8" t="str">
        <f>CHAR(ROWS(H$2:H54))</f>
        <v>5</v>
      </c>
      <c r="I54" s="8">
        <f t="shared" si="1"/>
        <v>53</v>
      </c>
    </row>
    <row r="55" spans="8:9" x14ac:dyDescent="0.25">
      <c r="H55" s="8" t="str">
        <f>CHAR(ROWS(H$2:H55))</f>
        <v>6</v>
      </c>
      <c r="I55" s="8">
        <f t="shared" si="1"/>
        <v>54</v>
      </c>
    </row>
    <row r="56" spans="8:9" x14ac:dyDescent="0.25">
      <c r="H56" s="8" t="str">
        <f>CHAR(ROWS(H$2:H56))</f>
        <v>7</v>
      </c>
      <c r="I56" s="8">
        <f t="shared" si="1"/>
        <v>55</v>
      </c>
    </row>
    <row r="57" spans="8:9" x14ac:dyDescent="0.25">
      <c r="H57" s="8" t="str">
        <f>CHAR(ROWS(H$2:H57))</f>
        <v>8</v>
      </c>
      <c r="I57" s="8">
        <f t="shared" si="1"/>
        <v>56</v>
      </c>
    </row>
    <row r="58" spans="8:9" x14ac:dyDescent="0.25">
      <c r="H58" s="8" t="str">
        <f>CHAR(ROWS(H$2:H58))</f>
        <v>9</v>
      </c>
      <c r="I58" s="8">
        <f t="shared" si="1"/>
        <v>57</v>
      </c>
    </row>
    <row r="59" spans="8:9" x14ac:dyDescent="0.25">
      <c r="H59" s="8" t="str">
        <f>CHAR(ROWS(H$2:H59))</f>
        <v>:</v>
      </c>
      <c r="I59" s="8">
        <f t="shared" si="1"/>
        <v>58</v>
      </c>
    </row>
    <row r="60" spans="8:9" x14ac:dyDescent="0.25">
      <c r="H60" s="8" t="str">
        <f>CHAR(ROWS(H$2:H60))</f>
        <v>;</v>
      </c>
      <c r="I60" s="8">
        <f t="shared" si="1"/>
        <v>59</v>
      </c>
    </row>
    <row r="61" spans="8:9" x14ac:dyDescent="0.25">
      <c r="H61" s="8" t="str">
        <f>CHAR(ROWS(H$2:H61))</f>
        <v>&lt;</v>
      </c>
      <c r="I61" s="8">
        <f t="shared" si="1"/>
        <v>60</v>
      </c>
    </row>
    <row r="62" spans="8:9" x14ac:dyDescent="0.25">
      <c r="H62" s="8" t="str">
        <f>CHAR(ROWS(H$2:H62))</f>
        <v>=</v>
      </c>
      <c r="I62" s="8">
        <f t="shared" si="1"/>
        <v>61</v>
      </c>
    </row>
    <row r="63" spans="8:9" x14ac:dyDescent="0.25">
      <c r="H63" s="8" t="str">
        <f>CHAR(ROWS(H$2:H63))</f>
        <v>&gt;</v>
      </c>
      <c r="I63" s="8">
        <f t="shared" si="1"/>
        <v>62</v>
      </c>
    </row>
    <row r="64" spans="8:9" x14ac:dyDescent="0.25">
      <c r="H64" s="8" t="str">
        <f>CHAR(ROWS(H$2:H64))</f>
        <v>?</v>
      </c>
      <c r="I64" s="8">
        <f t="shared" si="1"/>
        <v>63</v>
      </c>
    </row>
    <row r="65" spans="8:9" x14ac:dyDescent="0.25">
      <c r="H65" s="8" t="str">
        <f>CHAR(ROWS(H$2:H65))</f>
        <v>@</v>
      </c>
      <c r="I65" s="8">
        <f t="shared" si="1"/>
        <v>64</v>
      </c>
    </row>
    <row r="66" spans="8:9" x14ac:dyDescent="0.25">
      <c r="H66" s="8" t="str">
        <f>CHAR(ROWS(H$2:H66))</f>
        <v>A</v>
      </c>
      <c r="I66" s="8">
        <f t="shared" ref="I66:I129" si="2">CODE(H66)</f>
        <v>65</v>
      </c>
    </row>
    <row r="67" spans="8:9" x14ac:dyDescent="0.25">
      <c r="H67" s="8" t="str">
        <f>CHAR(ROWS(H$2:H67))</f>
        <v>B</v>
      </c>
      <c r="I67" s="8">
        <f t="shared" si="2"/>
        <v>66</v>
      </c>
    </row>
    <row r="68" spans="8:9" x14ac:dyDescent="0.25">
      <c r="H68" s="8" t="str">
        <f>CHAR(ROWS(H$2:H68))</f>
        <v>C</v>
      </c>
      <c r="I68" s="8">
        <f t="shared" si="2"/>
        <v>67</v>
      </c>
    </row>
    <row r="69" spans="8:9" x14ac:dyDescent="0.25">
      <c r="H69" s="8" t="str">
        <f>CHAR(ROWS(H$2:H69))</f>
        <v>D</v>
      </c>
      <c r="I69" s="8">
        <f t="shared" si="2"/>
        <v>68</v>
      </c>
    </row>
    <row r="70" spans="8:9" x14ac:dyDescent="0.25">
      <c r="H70" s="8" t="str">
        <f>CHAR(ROWS(H$2:H70))</f>
        <v>E</v>
      </c>
      <c r="I70" s="8">
        <f t="shared" si="2"/>
        <v>69</v>
      </c>
    </row>
    <row r="71" spans="8:9" x14ac:dyDescent="0.25">
      <c r="H71" s="8" t="str">
        <f>CHAR(ROWS(H$2:H71))</f>
        <v>F</v>
      </c>
      <c r="I71" s="8">
        <f t="shared" si="2"/>
        <v>70</v>
      </c>
    </row>
    <row r="72" spans="8:9" x14ac:dyDescent="0.25">
      <c r="H72" s="8" t="str">
        <f>CHAR(ROWS(H$2:H72))</f>
        <v>G</v>
      </c>
      <c r="I72" s="8">
        <f t="shared" si="2"/>
        <v>71</v>
      </c>
    </row>
    <row r="73" spans="8:9" x14ac:dyDescent="0.25">
      <c r="H73" s="8" t="str">
        <f>CHAR(ROWS(H$2:H73))</f>
        <v>H</v>
      </c>
      <c r="I73" s="8">
        <f t="shared" si="2"/>
        <v>72</v>
      </c>
    </row>
    <row r="74" spans="8:9" x14ac:dyDescent="0.25">
      <c r="H74" s="8" t="str">
        <f>CHAR(ROWS(H$2:H74))</f>
        <v>I</v>
      </c>
      <c r="I74" s="8">
        <f t="shared" si="2"/>
        <v>73</v>
      </c>
    </row>
    <row r="75" spans="8:9" x14ac:dyDescent="0.25">
      <c r="H75" s="8" t="str">
        <f>CHAR(ROWS(H$2:H75))</f>
        <v>J</v>
      </c>
      <c r="I75" s="8">
        <f t="shared" si="2"/>
        <v>74</v>
      </c>
    </row>
    <row r="76" spans="8:9" x14ac:dyDescent="0.25">
      <c r="H76" s="8" t="str">
        <f>CHAR(ROWS(H$2:H76))</f>
        <v>K</v>
      </c>
      <c r="I76" s="8">
        <f t="shared" si="2"/>
        <v>75</v>
      </c>
    </row>
    <row r="77" spans="8:9" x14ac:dyDescent="0.25">
      <c r="H77" s="8" t="str">
        <f>CHAR(ROWS(H$2:H77))</f>
        <v>L</v>
      </c>
      <c r="I77" s="8">
        <f t="shared" si="2"/>
        <v>76</v>
      </c>
    </row>
    <row r="78" spans="8:9" x14ac:dyDescent="0.25">
      <c r="H78" s="8" t="str">
        <f>CHAR(ROWS(H$2:H78))</f>
        <v>M</v>
      </c>
      <c r="I78" s="8">
        <f t="shared" si="2"/>
        <v>77</v>
      </c>
    </row>
    <row r="79" spans="8:9" x14ac:dyDescent="0.25">
      <c r="H79" s="8" t="str">
        <f>CHAR(ROWS(H$2:H79))</f>
        <v>N</v>
      </c>
      <c r="I79" s="8">
        <f t="shared" si="2"/>
        <v>78</v>
      </c>
    </row>
    <row r="80" spans="8:9" x14ac:dyDescent="0.25">
      <c r="H80" s="8" t="str">
        <f>CHAR(ROWS(H$2:H80))</f>
        <v>O</v>
      </c>
      <c r="I80" s="8">
        <f t="shared" si="2"/>
        <v>79</v>
      </c>
    </row>
    <row r="81" spans="8:9" x14ac:dyDescent="0.25">
      <c r="H81" s="8" t="str">
        <f>CHAR(ROWS(H$2:H81))</f>
        <v>P</v>
      </c>
      <c r="I81" s="8">
        <f t="shared" si="2"/>
        <v>80</v>
      </c>
    </row>
    <row r="82" spans="8:9" x14ac:dyDescent="0.25">
      <c r="H82" s="8" t="str">
        <f>CHAR(ROWS(H$2:H82))</f>
        <v>Q</v>
      </c>
      <c r="I82" s="8">
        <f t="shared" si="2"/>
        <v>81</v>
      </c>
    </row>
    <row r="83" spans="8:9" x14ac:dyDescent="0.25">
      <c r="H83" s="8" t="str">
        <f>CHAR(ROWS(H$2:H83))</f>
        <v>R</v>
      </c>
      <c r="I83" s="8">
        <f t="shared" si="2"/>
        <v>82</v>
      </c>
    </row>
    <row r="84" spans="8:9" x14ac:dyDescent="0.25">
      <c r="H84" s="8" t="str">
        <f>CHAR(ROWS(H$2:H84))</f>
        <v>S</v>
      </c>
      <c r="I84" s="8">
        <f t="shared" si="2"/>
        <v>83</v>
      </c>
    </row>
    <row r="85" spans="8:9" x14ac:dyDescent="0.25">
      <c r="H85" s="8" t="str">
        <f>CHAR(ROWS(H$2:H85))</f>
        <v>T</v>
      </c>
      <c r="I85" s="8">
        <f t="shared" si="2"/>
        <v>84</v>
      </c>
    </row>
    <row r="86" spans="8:9" x14ac:dyDescent="0.25">
      <c r="H86" s="8" t="str">
        <f>CHAR(ROWS(H$2:H86))</f>
        <v>U</v>
      </c>
      <c r="I86" s="8">
        <f t="shared" si="2"/>
        <v>85</v>
      </c>
    </row>
    <row r="87" spans="8:9" x14ac:dyDescent="0.25">
      <c r="H87" s="8" t="str">
        <f>CHAR(ROWS(H$2:H87))</f>
        <v>V</v>
      </c>
      <c r="I87" s="8">
        <f t="shared" si="2"/>
        <v>86</v>
      </c>
    </row>
    <row r="88" spans="8:9" x14ac:dyDescent="0.25">
      <c r="H88" s="8" t="str">
        <f>CHAR(ROWS(H$2:H88))</f>
        <v>W</v>
      </c>
      <c r="I88" s="8">
        <f t="shared" si="2"/>
        <v>87</v>
      </c>
    </row>
    <row r="89" spans="8:9" x14ac:dyDescent="0.25">
      <c r="H89" s="8" t="str">
        <f>CHAR(ROWS(H$2:H89))</f>
        <v>X</v>
      </c>
      <c r="I89" s="8">
        <f t="shared" si="2"/>
        <v>88</v>
      </c>
    </row>
    <row r="90" spans="8:9" x14ac:dyDescent="0.25">
      <c r="H90" s="8" t="str">
        <f>CHAR(ROWS(H$2:H90))</f>
        <v>Y</v>
      </c>
      <c r="I90" s="8">
        <f t="shared" si="2"/>
        <v>89</v>
      </c>
    </row>
    <row r="91" spans="8:9" x14ac:dyDescent="0.25">
      <c r="H91" s="8" t="str">
        <f>CHAR(ROWS(H$2:H91))</f>
        <v>Z</v>
      </c>
      <c r="I91" s="8">
        <f t="shared" si="2"/>
        <v>90</v>
      </c>
    </row>
    <row r="92" spans="8:9" x14ac:dyDescent="0.25">
      <c r="H92" s="8" t="str">
        <f>CHAR(ROWS(H$2:H92))</f>
        <v>[</v>
      </c>
      <c r="I92" s="8">
        <f t="shared" si="2"/>
        <v>91</v>
      </c>
    </row>
    <row r="93" spans="8:9" x14ac:dyDescent="0.25">
      <c r="H93" s="8" t="str">
        <f>CHAR(ROWS(H$2:H93))</f>
        <v>\</v>
      </c>
      <c r="I93" s="8">
        <f t="shared" si="2"/>
        <v>92</v>
      </c>
    </row>
    <row r="94" spans="8:9" x14ac:dyDescent="0.25">
      <c r="H94" s="8" t="str">
        <f>CHAR(ROWS(H$2:H94))</f>
        <v>]</v>
      </c>
      <c r="I94" s="8">
        <f t="shared" si="2"/>
        <v>93</v>
      </c>
    </row>
    <row r="95" spans="8:9" x14ac:dyDescent="0.25">
      <c r="H95" s="8" t="str">
        <f>CHAR(ROWS(H$2:H95))</f>
        <v>^</v>
      </c>
      <c r="I95" s="8">
        <f t="shared" si="2"/>
        <v>94</v>
      </c>
    </row>
    <row r="96" spans="8:9" x14ac:dyDescent="0.25">
      <c r="H96" s="8" t="str">
        <f>CHAR(ROWS(H$2:H96))</f>
        <v>_</v>
      </c>
      <c r="I96" s="8">
        <f t="shared" si="2"/>
        <v>95</v>
      </c>
    </row>
    <row r="97" spans="8:9" x14ac:dyDescent="0.25">
      <c r="H97" s="8" t="str">
        <f>CHAR(ROWS(H$2:H97))</f>
        <v>`</v>
      </c>
      <c r="I97" s="8">
        <f t="shared" si="2"/>
        <v>96</v>
      </c>
    </row>
    <row r="98" spans="8:9" x14ac:dyDescent="0.25">
      <c r="H98" s="8" t="str">
        <f>CHAR(ROWS(H$2:H98))</f>
        <v>a</v>
      </c>
      <c r="I98" s="8">
        <f t="shared" si="2"/>
        <v>97</v>
      </c>
    </row>
    <row r="99" spans="8:9" x14ac:dyDescent="0.25">
      <c r="H99" s="8" t="str">
        <f>CHAR(ROWS(H$2:H99))</f>
        <v>b</v>
      </c>
      <c r="I99" s="8">
        <f t="shared" si="2"/>
        <v>98</v>
      </c>
    </row>
    <row r="100" spans="8:9" x14ac:dyDescent="0.25">
      <c r="H100" s="8" t="str">
        <f>CHAR(ROWS(H$2:H100))</f>
        <v>c</v>
      </c>
      <c r="I100" s="8">
        <f t="shared" si="2"/>
        <v>99</v>
      </c>
    </row>
    <row r="101" spans="8:9" x14ac:dyDescent="0.25">
      <c r="H101" s="8" t="str">
        <f>CHAR(ROWS(H$2:H101))</f>
        <v>d</v>
      </c>
      <c r="I101" s="8">
        <f t="shared" si="2"/>
        <v>100</v>
      </c>
    </row>
    <row r="102" spans="8:9" x14ac:dyDescent="0.25">
      <c r="H102" s="8" t="str">
        <f>CHAR(ROWS(H$2:H102))</f>
        <v>e</v>
      </c>
      <c r="I102" s="8">
        <f t="shared" si="2"/>
        <v>101</v>
      </c>
    </row>
    <row r="103" spans="8:9" x14ac:dyDescent="0.25">
      <c r="H103" s="8" t="str">
        <f>CHAR(ROWS(H$2:H103))</f>
        <v>f</v>
      </c>
      <c r="I103" s="8">
        <f t="shared" si="2"/>
        <v>102</v>
      </c>
    </row>
    <row r="104" spans="8:9" x14ac:dyDescent="0.25">
      <c r="H104" s="8" t="str">
        <f>CHAR(ROWS(H$2:H104))</f>
        <v>g</v>
      </c>
      <c r="I104" s="8">
        <f t="shared" si="2"/>
        <v>103</v>
      </c>
    </row>
    <row r="105" spans="8:9" x14ac:dyDescent="0.25">
      <c r="H105" s="8" t="str">
        <f>CHAR(ROWS(H$2:H105))</f>
        <v>h</v>
      </c>
      <c r="I105" s="8">
        <f t="shared" si="2"/>
        <v>104</v>
      </c>
    </row>
    <row r="106" spans="8:9" x14ac:dyDescent="0.25">
      <c r="H106" s="8" t="str">
        <f>CHAR(ROWS(H$2:H106))</f>
        <v>i</v>
      </c>
      <c r="I106" s="8">
        <f t="shared" si="2"/>
        <v>105</v>
      </c>
    </row>
    <row r="107" spans="8:9" x14ac:dyDescent="0.25">
      <c r="H107" s="8" t="str">
        <f>CHAR(ROWS(H$2:H107))</f>
        <v>j</v>
      </c>
      <c r="I107" s="8">
        <f t="shared" si="2"/>
        <v>106</v>
      </c>
    </row>
    <row r="108" spans="8:9" x14ac:dyDescent="0.25">
      <c r="H108" s="8" t="str">
        <f>CHAR(ROWS(H$2:H108))</f>
        <v>k</v>
      </c>
      <c r="I108" s="8">
        <f t="shared" si="2"/>
        <v>107</v>
      </c>
    </row>
    <row r="109" spans="8:9" x14ac:dyDescent="0.25">
      <c r="H109" s="8" t="str">
        <f>CHAR(ROWS(H$2:H109))</f>
        <v>l</v>
      </c>
      <c r="I109" s="8">
        <f t="shared" si="2"/>
        <v>108</v>
      </c>
    </row>
    <row r="110" spans="8:9" x14ac:dyDescent="0.25">
      <c r="H110" s="8" t="str">
        <f>CHAR(ROWS(H$2:H110))</f>
        <v>m</v>
      </c>
      <c r="I110" s="8">
        <f t="shared" si="2"/>
        <v>109</v>
      </c>
    </row>
    <row r="111" spans="8:9" x14ac:dyDescent="0.25">
      <c r="H111" s="8" t="str">
        <f>CHAR(ROWS(H$2:H111))</f>
        <v>n</v>
      </c>
      <c r="I111" s="8">
        <f t="shared" si="2"/>
        <v>110</v>
      </c>
    </row>
    <row r="112" spans="8:9" x14ac:dyDescent="0.25">
      <c r="H112" s="8" t="str">
        <f>CHAR(ROWS(H$2:H112))</f>
        <v>o</v>
      </c>
      <c r="I112" s="8">
        <f t="shared" si="2"/>
        <v>111</v>
      </c>
    </row>
    <row r="113" spans="8:9" x14ac:dyDescent="0.25">
      <c r="H113" s="8" t="str">
        <f>CHAR(ROWS(H$2:H113))</f>
        <v>p</v>
      </c>
      <c r="I113" s="8">
        <f t="shared" si="2"/>
        <v>112</v>
      </c>
    </row>
    <row r="114" spans="8:9" x14ac:dyDescent="0.25">
      <c r="H114" s="8" t="str">
        <f>CHAR(ROWS(H$2:H114))</f>
        <v>q</v>
      </c>
      <c r="I114" s="8">
        <f t="shared" si="2"/>
        <v>113</v>
      </c>
    </row>
    <row r="115" spans="8:9" x14ac:dyDescent="0.25">
      <c r="H115" s="8" t="str">
        <f>CHAR(ROWS(H$2:H115))</f>
        <v>r</v>
      </c>
      <c r="I115" s="8">
        <f t="shared" si="2"/>
        <v>114</v>
      </c>
    </row>
    <row r="116" spans="8:9" x14ac:dyDescent="0.25">
      <c r="H116" s="8" t="str">
        <f>CHAR(ROWS(H$2:H116))</f>
        <v>s</v>
      </c>
      <c r="I116" s="8">
        <f t="shared" si="2"/>
        <v>115</v>
      </c>
    </row>
    <row r="117" spans="8:9" x14ac:dyDescent="0.25">
      <c r="H117" s="8" t="str">
        <f>CHAR(ROWS(H$2:H117))</f>
        <v>t</v>
      </c>
      <c r="I117" s="8">
        <f t="shared" si="2"/>
        <v>116</v>
      </c>
    </row>
    <row r="118" spans="8:9" x14ac:dyDescent="0.25">
      <c r="H118" s="8" t="str">
        <f>CHAR(ROWS(H$2:H118))</f>
        <v>u</v>
      </c>
      <c r="I118" s="8">
        <f t="shared" si="2"/>
        <v>117</v>
      </c>
    </row>
    <row r="119" spans="8:9" x14ac:dyDescent="0.25">
      <c r="H119" s="8" t="str">
        <f>CHAR(ROWS(H$2:H119))</f>
        <v>v</v>
      </c>
      <c r="I119" s="8">
        <f t="shared" si="2"/>
        <v>118</v>
      </c>
    </row>
    <row r="120" spans="8:9" x14ac:dyDescent="0.25">
      <c r="H120" s="8" t="str">
        <f>CHAR(ROWS(H$2:H120))</f>
        <v>w</v>
      </c>
      <c r="I120" s="8">
        <f t="shared" si="2"/>
        <v>119</v>
      </c>
    </row>
    <row r="121" spans="8:9" x14ac:dyDescent="0.25">
      <c r="H121" s="8" t="str">
        <f>CHAR(ROWS(H$2:H121))</f>
        <v>x</v>
      </c>
      <c r="I121" s="8">
        <f t="shared" si="2"/>
        <v>120</v>
      </c>
    </row>
    <row r="122" spans="8:9" x14ac:dyDescent="0.25">
      <c r="H122" s="8" t="str">
        <f>CHAR(ROWS(H$2:H122))</f>
        <v>y</v>
      </c>
      <c r="I122" s="8">
        <f t="shared" si="2"/>
        <v>121</v>
      </c>
    </row>
    <row r="123" spans="8:9" x14ac:dyDescent="0.25">
      <c r="H123" s="8" t="str">
        <f>CHAR(ROWS(H$2:H123))</f>
        <v>z</v>
      </c>
      <c r="I123" s="8">
        <f t="shared" si="2"/>
        <v>122</v>
      </c>
    </row>
    <row r="124" spans="8:9" x14ac:dyDescent="0.25">
      <c r="H124" s="8" t="str">
        <f>CHAR(ROWS(H$2:H124))</f>
        <v>{</v>
      </c>
      <c r="I124" s="8">
        <f t="shared" si="2"/>
        <v>123</v>
      </c>
    </row>
    <row r="125" spans="8:9" x14ac:dyDescent="0.25">
      <c r="H125" s="8" t="str">
        <f>CHAR(ROWS(H$2:H125))</f>
        <v>|</v>
      </c>
      <c r="I125" s="8">
        <f t="shared" si="2"/>
        <v>124</v>
      </c>
    </row>
    <row r="126" spans="8:9" x14ac:dyDescent="0.25">
      <c r="H126" s="8" t="str">
        <f>CHAR(ROWS(H$2:H126))</f>
        <v>}</v>
      </c>
      <c r="I126" s="8">
        <f t="shared" si="2"/>
        <v>125</v>
      </c>
    </row>
    <row r="127" spans="8:9" x14ac:dyDescent="0.25">
      <c r="H127" s="8" t="str">
        <f>CHAR(ROWS(H$2:H127))</f>
        <v>~</v>
      </c>
      <c r="I127" s="8">
        <f t="shared" si="2"/>
        <v>126</v>
      </c>
    </row>
    <row r="128" spans="8:9" x14ac:dyDescent="0.25">
      <c r="H128" s="8" t="str">
        <f>CHAR(ROWS(H$2:H128))</f>
        <v></v>
      </c>
      <c r="I128" s="8">
        <f t="shared" si="2"/>
        <v>127</v>
      </c>
    </row>
    <row r="129" spans="8:9" x14ac:dyDescent="0.25">
      <c r="H129" s="8" t="str">
        <f>CHAR(ROWS(H$2:H129))</f>
        <v>€</v>
      </c>
      <c r="I129" s="8">
        <f t="shared" si="2"/>
        <v>128</v>
      </c>
    </row>
    <row r="130" spans="8:9" x14ac:dyDescent="0.25">
      <c r="H130" s="8" t="str">
        <f>CHAR(ROWS(H$2:H130))</f>
        <v></v>
      </c>
      <c r="I130" s="8">
        <f t="shared" ref="I130:I193" si="3">CODE(H130)</f>
        <v>129</v>
      </c>
    </row>
    <row r="131" spans="8:9" x14ac:dyDescent="0.25">
      <c r="H131" s="8" t="str">
        <f>CHAR(ROWS(H$2:H131))</f>
        <v>‚</v>
      </c>
      <c r="I131" s="8">
        <f t="shared" si="3"/>
        <v>130</v>
      </c>
    </row>
    <row r="132" spans="8:9" x14ac:dyDescent="0.25">
      <c r="H132" s="8" t="str">
        <f>CHAR(ROWS(H$2:H132))</f>
        <v>ƒ</v>
      </c>
      <c r="I132" s="8">
        <f t="shared" si="3"/>
        <v>131</v>
      </c>
    </row>
    <row r="133" spans="8:9" x14ac:dyDescent="0.25">
      <c r="H133" s="8" t="str">
        <f>CHAR(ROWS(H$2:H133))</f>
        <v>„</v>
      </c>
      <c r="I133" s="8">
        <f t="shared" si="3"/>
        <v>132</v>
      </c>
    </row>
    <row r="134" spans="8:9" x14ac:dyDescent="0.25">
      <c r="H134" s="8" t="str">
        <f>CHAR(ROWS(H$2:H134))</f>
        <v>…</v>
      </c>
      <c r="I134" s="8">
        <f t="shared" si="3"/>
        <v>133</v>
      </c>
    </row>
    <row r="135" spans="8:9" x14ac:dyDescent="0.25">
      <c r="H135" s="8" t="str">
        <f>CHAR(ROWS(H$2:H135))</f>
        <v>†</v>
      </c>
      <c r="I135" s="8">
        <f t="shared" si="3"/>
        <v>134</v>
      </c>
    </row>
    <row r="136" spans="8:9" x14ac:dyDescent="0.25">
      <c r="H136" s="8" t="str">
        <f>CHAR(ROWS(H$2:H136))</f>
        <v>‡</v>
      </c>
      <c r="I136" s="8">
        <f t="shared" si="3"/>
        <v>135</v>
      </c>
    </row>
    <row r="137" spans="8:9" x14ac:dyDescent="0.25">
      <c r="H137" s="8" t="str">
        <f>CHAR(ROWS(H$2:H137))</f>
        <v>ˆ</v>
      </c>
      <c r="I137" s="8">
        <f t="shared" si="3"/>
        <v>136</v>
      </c>
    </row>
    <row r="138" spans="8:9" x14ac:dyDescent="0.25">
      <c r="H138" s="8" t="str">
        <f>CHAR(ROWS(H$2:H138))</f>
        <v>‰</v>
      </c>
      <c r="I138" s="8">
        <f t="shared" si="3"/>
        <v>137</v>
      </c>
    </row>
    <row r="139" spans="8:9" x14ac:dyDescent="0.25">
      <c r="H139" s="8" t="str">
        <f>CHAR(ROWS(H$2:H139))</f>
        <v>Š</v>
      </c>
      <c r="I139" s="8">
        <f t="shared" si="3"/>
        <v>138</v>
      </c>
    </row>
    <row r="140" spans="8:9" x14ac:dyDescent="0.25">
      <c r="H140" s="8" t="str">
        <f>CHAR(ROWS(H$2:H140))</f>
        <v>‹</v>
      </c>
      <c r="I140" s="8">
        <f t="shared" si="3"/>
        <v>139</v>
      </c>
    </row>
    <row r="141" spans="8:9" x14ac:dyDescent="0.25">
      <c r="H141" s="8" t="str">
        <f>CHAR(ROWS(H$2:H141))</f>
        <v>Œ</v>
      </c>
      <c r="I141" s="8">
        <f t="shared" si="3"/>
        <v>140</v>
      </c>
    </row>
    <row r="142" spans="8:9" x14ac:dyDescent="0.25">
      <c r="H142" s="8" t="str">
        <f>CHAR(ROWS(H$2:H142))</f>
        <v></v>
      </c>
      <c r="I142" s="8">
        <f t="shared" si="3"/>
        <v>141</v>
      </c>
    </row>
    <row r="143" spans="8:9" x14ac:dyDescent="0.25">
      <c r="H143" s="8" t="str">
        <f>CHAR(ROWS(H$2:H143))</f>
        <v>Ž</v>
      </c>
      <c r="I143" s="8">
        <f t="shared" si="3"/>
        <v>142</v>
      </c>
    </row>
    <row r="144" spans="8:9" x14ac:dyDescent="0.25">
      <c r="H144" s="8" t="str">
        <f>CHAR(ROWS(H$2:H144))</f>
        <v></v>
      </c>
      <c r="I144" s="8">
        <f t="shared" si="3"/>
        <v>143</v>
      </c>
    </row>
    <row r="145" spans="8:9" x14ac:dyDescent="0.25">
      <c r="H145" s="8" t="str">
        <f>CHAR(ROWS(H$2:H145))</f>
        <v></v>
      </c>
      <c r="I145" s="8">
        <f t="shared" si="3"/>
        <v>144</v>
      </c>
    </row>
    <row r="146" spans="8:9" x14ac:dyDescent="0.25">
      <c r="H146" s="8" t="str">
        <f>CHAR(ROWS(H$2:H146))</f>
        <v>‘</v>
      </c>
      <c r="I146" s="8">
        <f t="shared" si="3"/>
        <v>145</v>
      </c>
    </row>
    <row r="147" spans="8:9" x14ac:dyDescent="0.25">
      <c r="H147" s="8" t="str">
        <f>CHAR(ROWS(H$2:H147))</f>
        <v>’</v>
      </c>
      <c r="I147" s="8">
        <f t="shared" si="3"/>
        <v>146</v>
      </c>
    </row>
    <row r="148" spans="8:9" x14ac:dyDescent="0.25">
      <c r="H148" s="8" t="str">
        <f>CHAR(ROWS(H$2:H148))</f>
        <v>“</v>
      </c>
      <c r="I148" s="8">
        <f t="shared" si="3"/>
        <v>147</v>
      </c>
    </row>
    <row r="149" spans="8:9" x14ac:dyDescent="0.25">
      <c r="H149" s="8" t="str">
        <f>CHAR(ROWS(H$2:H149))</f>
        <v>”</v>
      </c>
      <c r="I149" s="8">
        <f t="shared" si="3"/>
        <v>148</v>
      </c>
    </row>
    <row r="150" spans="8:9" x14ac:dyDescent="0.25">
      <c r="H150" s="8" t="str">
        <f>CHAR(ROWS(H$2:H150))</f>
        <v>•</v>
      </c>
      <c r="I150" s="8">
        <f t="shared" si="3"/>
        <v>149</v>
      </c>
    </row>
    <row r="151" spans="8:9" x14ac:dyDescent="0.25">
      <c r="H151" s="8" t="str">
        <f>CHAR(ROWS(H$2:H151))</f>
        <v>–</v>
      </c>
      <c r="I151" s="8">
        <f t="shared" si="3"/>
        <v>150</v>
      </c>
    </row>
    <row r="152" spans="8:9" x14ac:dyDescent="0.25">
      <c r="H152" s="8" t="str">
        <f>CHAR(ROWS(H$2:H152))</f>
        <v>—</v>
      </c>
      <c r="I152" s="8">
        <f t="shared" si="3"/>
        <v>151</v>
      </c>
    </row>
    <row r="153" spans="8:9" x14ac:dyDescent="0.25">
      <c r="H153" s="8" t="str">
        <f>CHAR(ROWS(H$2:H153))</f>
        <v>˜</v>
      </c>
      <c r="I153" s="8">
        <f t="shared" si="3"/>
        <v>152</v>
      </c>
    </row>
    <row r="154" spans="8:9" x14ac:dyDescent="0.25">
      <c r="H154" s="8" t="str">
        <f>CHAR(ROWS(H$2:H154))</f>
        <v>™</v>
      </c>
      <c r="I154" s="8">
        <f t="shared" si="3"/>
        <v>153</v>
      </c>
    </row>
    <row r="155" spans="8:9" x14ac:dyDescent="0.25">
      <c r="H155" s="8" t="str">
        <f>CHAR(ROWS(H$2:H155))</f>
        <v>š</v>
      </c>
      <c r="I155" s="8">
        <f t="shared" si="3"/>
        <v>154</v>
      </c>
    </row>
    <row r="156" spans="8:9" x14ac:dyDescent="0.25">
      <c r="H156" s="8" t="str">
        <f>CHAR(ROWS(H$2:H156))</f>
        <v>›</v>
      </c>
      <c r="I156" s="8">
        <f t="shared" si="3"/>
        <v>155</v>
      </c>
    </row>
    <row r="157" spans="8:9" x14ac:dyDescent="0.25">
      <c r="H157" s="8" t="str">
        <f>CHAR(ROWS(H$2:H157))</f>
        <v>œ</v>
      </c>
      <c r="I157" s="8">
        <f t="shared" si="3"/>
        <v>156</v>
      </c>
    </row>
    <row r="158" spans="8:9" x14ac:dyDescent="0.25">
      <c r="H158" s="8" t="str">
        <f>CHAR(ROWS(H$2:H158))</f>
        <v></v>
      </c>
      <c r="I158" s="8">
        <f t="shared" si="3"/>
        <v>157</v>
      </c>
    </row>
    <row r="159" spans="8:9" x14ac:dyDescent="0.25">
      <c r="H159" s="8" t="str">
        <f>CHAR(ROWS(H$2:H159))</f>
        <v>ž</v>
      </c>
      <c r="I159" s="8">
        <f t="shared" si="3"/>
        <v>158</v>
      </c>
    </row>
    <row r="160" spans="8:9" x14ac:dyDescent="0.25">
      <c r="H160" s="8" t="str">
        <f>CHAR(ROWS(H$2:H160))</f>
        <v>Ÿ</v>
      </c>
      <c r="I160" s="8">
        <f t="shared" si="3"/>
        <v>159</v>
      </c>
    </row>
    <row r="161" spans="8:9" x14ac:dyDescent="0.25">
      <c r="H161" s="8" t="str">
        <f>CHAR(ROWS(H$2:H161))</f>
        <v> </v>
      </c>
      <c r="I161" s="8">
        <f t="shared" si="3"/>
        <v>160</v>
      </c>
    </row>
    <row r="162" spans="8:9" x14ac:dyDescent="0.25">
      <c r="H162" s="8" t="str">
        <f>CHAR(ROWS(H$2:H162))</f>
        <v>¡</v>
      </c>
      <c r="I162" s="8">
        <f t="shared" si="3"/>
        <v>161</v>
      </c>
    </row>
    <row r="163" spans="8:9" x14ac:dyDescent="0.25">
      <c r="H163" s="8" t="str">
        <f>CHAR(ROWS(H$2:H163))</f>
        <v>¢</v>
      </c>
      <c r="I163" s="8">
        <f t="shared" si="3"/>
        <v>162</v>
      </c>
    </row>
    <row r="164" spans="8:9" x14ac:dyDescent="0.25">
      <c r="H164" s="8" t="str">
        <f>CHAR(ROWS(H$2:H164))</f>
        <v>£</v>
      </c>
      <c r="I164" s="8">
        <f t="shared" si="3"/>
        <v>163</v>
      </c>
    </row>
    <row r="165" spans="8:9" x14ac:dyDescent="0.25">
      <c r="H165" s="8" t="str">
        <f>CHAR(ROWS(H$2:H165))</f>
        <v>¤</v>
      </c>
      <c r="I165" s="8">
        <f t="shared" si="3"/>
        <v>164</v>
      </c>
    </row>
    <row r="166" spans="8:9" x14ac:dyDescent="0.25">
      <c r="H166" s="8" t="str">
        <f>CHAR(ROWS(H$2:H166))</f>
        <v>¥</v>
      </c>
      <c r="I166" s="8">
        <f t="shared" si="3"/>
        <v>165</v>
      </c>
    </row>
    <row r="167" spans="8:9" x14ac:dyDescent="0.25">
      <c r="H167" s="8" t="str">
        <f>CHAR(ROWS(H$2:H167))</f>
        <v>¦</v>
      </c>
      <c r="I167" s="8">
        <f t="shared" si="3"/>
        <v>166</v>
      </c>
    </row>
    <row r="168" spans="8:9" x14ac:dyDescent="0.25">
      <c r="H168" s="8" t="str">
        <f>CHAR(ROWS(H$2:H168))</f>
        <v>§</v>
      </c>
      <c r="I168" s="8">
        <f t="shared" si="3"/>
        <v>167</v>
      </c>
    </row>
    <row r="169" spans="8:9" x14ac:dyDescent="0.25">
      <c r="H169" s="8" t="str">
        <f>CHAR(ROWS(H$2:H169))</f>
        <v>¨</v>
      </c>
      <c r="I169" s="8">
        <f t="shared" si="3"/>
        <v>168</v>
      </c>
    </row>
    <row r="170" spans="8:9" x14ac:dyDescent="0.25">
      <c r="H170" s="8" t="str">
        <f>CHAR(ROWS(H$2:H170))</f>
        <v>©</v>
      </c>
      <c r="I170" s="8">
        <f t="shared" si="3"/>
        <v>169</v>
      </c>
    </row>
    <row r="171" spans="8:9" x14ac:dyDescent="0.25">
      <c r="H171" s="8" t="str">
        <f>CHAR(ROWS(H$2:H171))</f>
        <v>ª</v>
      </c>
      <c r="I171" s="8">
        <f t="shared" si="3"/>
        <v>170</v>
      </c>
    </row>
    <row r="172" spans="8:9" x14ac:dyDescent="0.25">
      <c r="H172" s="8" t="str">
        <f>CHAR(ROWS(H$2:H172))</f>
        <v>«</v>
      </c>
      <c r="I172" s="8">
        <f t="shared" si="3"/>
        <v>171</v>
      </c>
    </row>
    <row r="173" spans="8:9" x14ac:dyDescent="0.25">
      <c r="H173" s="8" t="str">
        <f>CHAR(ROWS(H$2:H173))</f>
        <v>¬</v>
      </c>
      <c r="I173" s="8">
        <f t="shared" si="3"/>
        <v>172</v>
      </c>
    </row>
    <row r="174" spans="8:9" x14ac:dyDescent="0.25">
      <c r="H174" s="8" t="str">
        <f>CHAR(ROWS(H$2:H174))</f>
        <v>­</v>
      </c>
      <c r="I174" s="8">
        <f t="shared" si="3"/>
        <v>173</v>
      </c>
    </row>
    <row r="175" spans="8:9" x14ac:dyDescent="0.25">
      <c r="H175" s="8" t="str">
        <f>CHAR(ROWS(H$2:H175))</f>
        <v>®</v>
      </c>
      <c r="I175" s="8">
        <f t="shared" si="3"/>
        <v>174</v>
      </c>
    </row>
    <row r="176" spans="8:9" x14ac:dyDescent="0.25">
      <c r="H176" s="8" t="str">
        <f>CHAR(ROWS(H$2:H176))</f>
        <v>¯</v>
      </c>
      <c r="I176" s="8">
        <f t="shared" si="3"/>
        <v>175</v>
      </c>
    </row>
    <row r="177" spans="8:9" x14ac:dyDescent="0.25">
      <c r="H177" s="8" t="str">
        <f>CHAR(ROWS(H$2:H177))</f>
        <v>°</v>
      </c>
      <c r="I177" s="8">
        <f t="shared" si="3"/>
        <v>176</v>
      </c>
    </row>
    <row r="178" spans="8:9" x14ac:dyDescent="0.25">
      <c r="H178" s="8" t="str">
        <f>CHAR(ROWS(H$2:H178))</f>
        <v>±</v>
      </c>
      <c r="I178" s="8">
        <f t="shared" si="3"/>
        <v>177</v>
      </c>
    </row>
    <row r="179" spans="8:9" x14ac:dyDescent="0.25">
      <c r="H179" s="8" t="str">
        <f>CHAR(ROWS(H$2:H179))</f>
        <v>²</v>
      </c>
      <c r="I179" s="8">
        <f t="shared" si="3"/>
        <v>178</v>
      </c>
    </row>
    <row r="180" spans="8:9" x14ac:dyDescent="0.25">
      <c r="H180" s="8" t="str">
        <f>CHAR(ROWS(H$2:H180))</f>
        <v>³</v>
      </c>
      <c r="I180" s="8">
        <f t="shared" si="3"/>
        <v>179</v>
      </c>
    </row>
    <row r="181" spans="8:9" x14ac:dyDescent="0.25">
      <c r="H181" s="8" t="str">
        <f>CHAR(ROWS(H$2:H181))</f>
        <v>´</v>
      </c>
      <c r="I181" s="8">
        <f t="shared" si="3"/>
        <v>180</v>
      </c>
    </row>
    <row r="182" spans="8:9" x14ac:dyDescent="0.25">
      <c r="H182" s="8" t="str">
        <f>CHAR(ROWS(H$2:H182))</f>
        <v>µ</v>
      </c>
      <c r="I182" s="8">
        <f t="shared" si="3"/>
        <v>181</v>
      </c>
    </row>
    <row r="183" spans="8:9" x14ac:dyDescent="0.25">
      <c r="H183" s="8" t="str">
        <f>CHAR(ROWS(H$2:H183))</f>
        <v>¶</v>
      </c>
      <c r="I183" s="8">
        <f t="shared" si="3"/>
        <v>182</v>
      </c>
    </row>
    <row r="184" spans="8:9" x14ac:dyDescent="0.25">
      <c r="H184" s="8" t="str">
        <f>CHAR(ROWS(H$2:H184))</f>
        <v>·</v>
      </c>
      <c r="I184" s="8">
        <f t="shared" si="3"/>
        <v>183</v>
      </c>
    </row>
    <row r="185" spans="8:9" x14ac:dyDescent="0.25">
      <c r="H185" s="8" t="str">
        <f>CHAR(ROWS(H$2:H185))</f>
        <v>¸</v>
      </c>
      <c r="I185" s="8">
        <f t="shared" si="3"/>
        <v>184</v>
      </c>
    </row>
    <row r="186" spans="8:9" x14ac:dyDescent="0.25">
      <c r="H186" s="8" t="str">
        <f>CHAR(ROWS(H$2:H186))</f>
        <v>¹</v>
      </c>
      <c r="I186" s="8">
        <f t="shared" si="3"/>
        <v>185</v>
      </c>
    </row>
    <row r="187" spans="8:9" x14ac:dyDescent="0.25">
      <c r="H187" s="8" t="str">
        <f>CHAR(ROWS(H$2:H187))</f>
        <v>º</v>
      </c>
      <c r="I187" s="8">
        <f t="shared" si="3"/>
        <v>186</v>
      </c>
    </row>
    <row r="188" spans="8:9" x14ac:dyDescent="0.25">
      <c r="H188" s="8" t="str">
        <f>CHAR(ROWS(H$2:H188))</f>
        <v>»</v>
      </c>
      <c r="I188" s="8">
        <f t="shared" si="3"/>
        <v>187</v>
      </c>
    </row>
    <row r="189" spans="8:9" x14ac:dyDescent="0.25">
      <c r="H189" s="8" t="str">
        <f>CHAR(ROWS(H$2:H189))</f>
        <v>¼</v>
      </c>
      <c r="I189" s="8">
        <f t="shared" si="3"/>
        <v>188</v>
      </c>
    </row>
    <row r="190" spans="8:9" x14ac:dyDescent="0.25">
      <c r="H190" s="8" t="str">
        <f>CHAR(ROWS(H$2:H190))</f>
        <v>½</v>
      </c>
      <c r="I190" s="8">
        <f t="shared" si="3"/>
        <v>189</v>
      </c>
    </row>
    <row r="191" spans="8:9" x14ac:dyDescent="0.25">
      <c r="H191" s="8" t="str">
        <f>CHAR(ROWS(H$2:H191))</f>
        <v>¾</v>
      </c>
      <c r="I191" s="8">
        <f t="shared" si="3"/>
        <v>190</v>
      </c>
    </row>
    <row r="192" spans="8:9" x14ac:dyDescent="0.25">
      <c r="H192" s="8" t="str">
        <f>CHAR(ROWS(H$2:H192))</f>
        <v>¿</v>
      </c>
      <c r="I192" s="8">
        <f t="shared" si="3"/>
        <v>191</v>
      </c>
    </row>
    <row r="193" spans="8:9" x14ac:dyDescent="0.25">
      <c r="H193" s="8" t="str">
        <f>CHAR(ROWS(H$2:H193))</f>
        <v>À</v>
      </c>
      <c r="I193" s="8">
        <f t="shared" si="3"/>
        <v>192</v>
      </c>
    </row>
    <row r="194" spans="8:9" x14ac:dyDescent="0.25">
      <c r="H194" s="8" t="str">
        <f>CHAR(ROWS(H$2:H194))</f>
        <v>Á</v>
      </c>
      <c r="I194" s="8">
        <f t="shared" ref="I194:I255" si="4">CODE(H194)</f>
        <v>193</v>
      </c>
    </row>
    <row r="195" spans="8:9" x14ac:dyDescent="0.25">
      <c r="H195" s="8" t="str">
        <f>CHAR(ROWS(H$2:H195))</f>
        <v>Â</v>
      </c>
      <c r="I195" s="8">
        <f t="shared" si="4"/>
        <v>194</v>
      </c>
    </row>
    <row r="196" spans="8:9" x14ac:dyDescent="0.25">
      <c r="H196" s="8" t="str">
        <f>CHAR(ROWS(H$2:H196))</f>
        <v>Ã</v>
      </c>
      <c r="I196" s="8">
        <f t="shared" si="4"/>
        <v>195</v>
      </c>
    </row>
    <row r="197" spans="8:9" x14ac:dyDescent="0.25">
      <c r="H197" s="8" t="str">
        <f>CHAR(ROWS(H$2:H197))</f>
        <v>Ä</v>
      </c>
      <c r="I197" s="8">
        <f t="shared" si="4"/>
        <v>196</v>
      </c>
    </row>
    <row r="198" spans="8:9" x14ac:dyDescent="0.25">
      <c r="H198" s="8" t="str">
        <f>CHAR(ROWS(H$2:H198))</f>
        <v>Å</v>
      </c>
      <c r="I198" s="8">
        <f t="shared" si="4"/>
        <v>197</v>
      </c>
    </row>
    <row r="199" spans="8:9" x14ac:dyDescent="0.25">
      <c r="H199" s="8" t="str">
        <f>CHAR(ROWS(H$2:H199))</f>
        <v>Æ</v>
      </c>
      <c r="I199" s="8">
        <f t="shared" si="4"/>
        <v>198</v>
      </c>
    </row>
    <row r="200" spans="8:9" x14ac:dyDescent="0.25">
      <c r="H200" s="8" t="str">
        <f>CHAR(ROWS(H$2:H200))</f>
        <v>Ç</v>
      </c>
      <c r="I200" s="8">
        <f t="shared" si="4"/>
        <v>199</v>
      </c>
    </row>
    <row r="201" spans="8:9" x14ac:dyDescent="0.25">
      <c r="H201" s="8" t="str">
        <f>CHAR(ROWS(H$2:H201))</f>
        <v>È</v>
      </c>
      <c r="I201" s="8">
        <f t="shared" si="4"/>
        <v>200</v>
      </c>
    </row>
    <row r="202" spans="8:9" x14ac:dyDescent="0.25">
      <c r="H202" s="8" t="str">
        <f>CHAR(ROWS(H$2:H202))</f>
        <v>É</v>
      </c>
      <c r="I202" s="8">
        <f t="shared" si="4"/>
        <v>201</v>
      </c>
    </row>
    <row r="203" spans="8:9" x14ac:dyDescent="0.25">
      <c r="H203" s="8" t="str">
        <f>CHAR(ROWS(H$2:H203))</f>
        <v>Ê</v>
      </c>
      <c r="I203" s="8">
        <f t="shared" si="4"/>
        <v>202</v>
      </c>
    </row>
    <row r="204" spans="8:9" x14ac:dyDescent="0.25">
      <c r="H204" s="8" t="str">
        <f>CHAR(ROWS(H$2:H204))</f>
        <v>Ë</v>
      </c>
      <c r="I204" s="8">
        <f t="shared" si="4"/>
        <v>203</v>
      </c>
    </row>
    <row r="205" spans="8:9" x14ac:dyDescent="0.25">
      <c r="H205" s="8" t="str">
        <f>CHAR(ROWS(H$2:H205))</f>
        <v>Ì</v>
      </c>
      <c r="I205" s="8">
        <f t="shared" si="4"/>
        <v>204</v>
      </c>
    </row>
    <row r="206" spans="8:9" x14ac:dyDescent="0.25">
      <c r="H206" s="8" t="str">
        <f>CHAR(ROWS(H$2:H206))</f>
        <v>Í</v>
      </c>
      <c r="I206" s="8">
        <f t="shared" si="4"/>
        <v>205</v>
      </c>
    </row>
    <row r="207" spans="8:9" x14ac:dyDescent="0.25">
      <c r="H207" s="8" t="str">
        <f>CHAR(ROWS(H$2:H207))</f>
        <v>Î</v>
      </c>
      <c r="I207" s="8">
        <f t="shared" si="4"/>
        <v>206</v>
      </c>
    </row>
    <row r="208" spans="8:9" x14ac:dyDescent="0.25">
      <c r="H208" s="8" t="str">
        <f>CHAR(ROWS(H$2:H208))</f>
        <v>Ï</v>
      </c>
      <c r="I208" s="8">
        <f t="shared" si="4"/>
        <v>207</v>
      </c>
    </row>
    <row r="209" spans="8:9" x14ac:dyDescent="0.25">
      <c r="H209" s="8" t="str">
        <f>CHAR(ROWS(H$2:H209))</f>
        <v>Ð</v>
      </c>
      <c r="I209" s="8">
        <f t="shared" si="4"/>
        <v>208</v>
      </c>
    </row>
    <row r="210" spans="8:9" x14ac:dyDescent="0.25">
      <c r="H210" s="8" t="str">
        <f>CHAR(ROWS(H$2:H210))</f>
        <v>Ñ</v>
      </c>
      <c r="I210" s="8">
        <f t="shared" si="4"/>
        <v>209</v>
      </c>
    </row>
    <row r="211" spans="8:9" x14ac:dyDescent="0.25">
      <c r="H211" s="8" t="str">
        <f>CHAR(ROWS(H$2:H211))</f>
        <v>Ò</v>
      </c>
      <c r="I211" s="8">
        <f t="shared" si="4"/>
        <v>210</v>
      </c>
    </row>
    <row r="212" spans="8:9" x14ac:dyDescent="0.25">
      <c r="H212" s="8" t="str">
        <f>CHAR(ROWS(H$2:H212))</f>
        <v>Ó</v>
      </c>
      <c r="I212" s="8">
        <f t="shared" si="4"/>
        <v>211</v>
      </c>
    </row>
    <row r="213" spans="8:9" x14ac:dyDescent="0.25">
      <c r="H213" s="8" t="str">
        <f>CHAR(ROWS(H$2:H213))</f>
        <v>Ô</v>
      </c>
      <c r="I213" s="8">
        <f t="shared" si="4"/>
        <v>212</v>
      </c>
    </row>
    <row r="214" spans="8:9" x14ac:dyDescent="0.25">
      <c r="H214" s="8" t="str">
        <f>CHAR(ROWS(H$2:H214))</f>
        <v>Õ</v>
      </c>
      <c r="I214" s="8">
        <f t="shared" si="4"/>
        <v>213</v>
      </c>
    </row>
    <row r="215" spans="8:9" x14ac:dyDescent="0.25">
      <c r="H215" s="8" t="str">
        <f>CHAR(ROWS(H$2:H215))</f>
        <v>Ö</v>
      </c>
      <c r="I215" s="8">
        <f t="shared" si="4"/>
        <v>214</v>
      </c>
    </row>
    <row r="216" spans="8:9" x14ac:dyDescent="0.25">
      <c r="H216" s="8" t="str">
        <f>CHAR(ROWS(H$2:H216))</f>
        <v>×</v>
      </c>
      <c r="I216" s="8">
        <f t="shared" si="4"/>
        <v>215</v>
      </c>
    </row>
    <row r="217" spans="8:9" x14ac:dyDescent="0.25">
      <c r="H217" s="8" t="str">
        <f>CHAR(ROWS(H$2:H217))</f>
        <v>Ø</v>
      </c>
      <c r="I217" s="8">
        <f t="shared" si="4"/>
        <v>216</v>
      </c>
    </row>
    <row r="218" spans="8:9" x14ac:dyDescent="0.25">
      <c r="H218" s="8" t="str">
        <f>CHAR(ROWS(H$2:H218))</f>
        <v>Ù</v>
      </c>
      <c r="I218" s="8">
        <f t="shared" si="4"/>
        <v>217</v>
      </c>
    </row>
    <row r="219" spans="8:9" x14ac:dyDescent="0.25">
      <c r="H219" s="8" t="str">
        <f>CHAR(ROWS(H$2:H219))</f>
        <v>Ú</v>
      </c>
      <c r="I219" s="8">
        <f t="shared" si="4"/>
        <v>218</v>
      </c>
    </row>
    <row r="220" spans="8:9" x14ac:dyDescent="0.25">
      <c r="H220" s="8" t="str">
        <f>CHAR(ROWS(H$2:H220))</f>
        <v>Û</v>
      </c>
      <c r="I220" s="8">
        <f t="shared" si="4"/>
        <v>219</v>
      </c>
    </row>
    <row r="221" spans="8:9" x14ac:dyDescent="0.25">
      <c r="H221" s="8" t="str">
        <f>CHAR(ROWS(H$2:H221))</f>
        <v>Ü</v>
      </c>
      <c r="I221" s="8">
        <f t="shared" si="4"/>
        <v>220</v>
      </c>
    </row>
    <row r="222" spans="8:9" x14ac:dyDescent="0.25">
      <c r="H222" s="8" t="str">
        <f>CHAR(ROWS(H$2:H222))</f>
        <v>Ý</v>
      </c>
      <c r="I222" s="8">
        <f t="shared" si="4"/>
        <v>221</v>
      </c>
    </row>
    <row r="223" spans="8:9" x14ac:dyDescent="0.25">
      <c r="H223" s="8" t="str">
        <f>CHAR(ROWS(H$2:H223))</f>
        <v>Þ</v>
      </c>
      <c r="I223" s="8">
        <f t="shared" si="4"/>
        <v>222</v>
      </c>
    </row>
    <row r="224" spans="8:9" x14ac:dyDescent="0.25">
      <c r="H224" s="8" t="str">
        <f>CHAR(ROWS(H$2:H224))</f>
        <v>ß</v>
      </c>
      <c r="I224" s="8">
        <f t="shared" si="4"/>
        <v>223</v>
      </c>
    </row>
    <row r="225" spans="8:9" x14ac:dyDescent="0.25">
      <c r="H225" s="8" t="str">
        <f>CHAR(ROWS(H$2:H225))</f>
        <v>à</v>
      </c>
      <c r="I225" s="8">
        <f t="shared" si="4"/>
        <v>224</v>
      </c>
    </row>
    <row r="226" spans="8:9" x14ac:dyDescent="0.25">
      <c r="H226" s="8" t="str">
        <f>CHAR(ROWS(H$2:H226))</f>
        <v>á</v>
      </c>
      <c r="I226" s="8">
        <f t="shared" si="4"/>
        <v>225</v>
      </c>
    </row>
    <row r="227" spans="8:9" x14ac:dyDescent="0.25">
      <c r="H227" s="8" t="str">
        <f>CHAR(ROWS(H$2:H227))</f>
        <v>â</v>
      </c>
      <c r="I227" s="8">
        <f t="shared" si="4"/>
        <v>226</v>
      </c>
    </row>
    <row r="228" spans="8:9" x14ac:dyDescent="0.25">
      <c r="H228" s="8" t="str">
        <f>CHAR(ROWS(H$2:H228))</f>
        <v>ã</v>
      </c>
      <c r="I228" s="8">
        <f t="shared" si="4"/>
        <v>227</v>
      </c>
    </row>
    <row r="229" spans="8:9" x14ac:dyDescent="0.25">
      <c r="H229" s="8" t="str">
        <f>CHAR(ROWS(H$2:H229))</f>
        <v>ä</v>
      </c>
      <c r="I229" s="8">
        <f t="shared" si="4"/>
        <v>228</v>
      </c>
    </row>
    <row r="230" spans="8:9" x14ac:dyDescent="0.25">
      <c r="H230" s="8" t="str">
        <f>CHAR(ROWS(H$2:H230))</f>
        <v>å</v>
      </c>
      <c r="I230" s="8">
        <f t="shared" si="4"/>
        <v>229</v>
      </c>
    </row>
    <row r="231" spans="8:9" x14ac:dyDescent="0.25">
      <c r="H231" s="8" t="str">
        <f>CHAR(ROWS(H$2:H231))</f>
        <v>æ</v>
      </c>
      <c r="I231" s="8">
        <f t="shared" si="4"/>
        <v>230</v>
      </c>
    </row>
    <row r="232" spans="8:9" x14ac:dyDescent="0.25">
      <c r="H232" s="8" t="str">
        <f>CHAR(ROWS(H$2:H232))</f>
        <v>ç</v>
      </c>
      <c r="I232" s="8">
        <f t="shared" si="4"/>
        <v>231</v>
      </c>
    </row>
    <row r="233" spans="8:9" x14ac:dyDescent="0.25">
      <c r="H233" s="8" t="str">
        <f>CHAR(ROWS(H$2:H233))</f>
        <v>è</v>
      </c>
      <c r="I233" s="8">
        <f t="shared" si="4"/>
        <v>232</v>
      </c>
    </row>
    <row r="234" spans="8:9" x14ac:dyDescent="0.25">
      <c r="H234" s="8" t="str">
        <f>CHAR(ROWS(H$2:H234))</f>
        <v>é</v>
      </c>
      <c r="I234" s="8">
        <f t="shared" si="4"/>
        <v>233</v>
      </c>
    </row>
    <row r="235" spans="8:9" x14ac:dyDescent="0.25">
      <c r="H235" s="8" t="str">
        <f>CHAR(ROWS(H$2:H235))</f>
        <v>ê</v>
      </c>
      <c r="I235" s="8">
        <f t="shared" si="4"/>
        <v>234</v>
      </c>
    </row>
    <row r="236" spans="8:9" x14ac:dyDescent="0.25">
      <c r="H236" s="8" t="str">
        <f>CHAR(ROWS(H$2:H236))</f>
        <v>ë</v>
      </c>
      <c r="I236" s="8">
        <f t="shared" si="4"/>
        <v>235</v>
      </c>
    </row>
    <row r="237" spans="8:9" x14ac:dyDescent="0.25">
      <c r="H237" s="8" t="str">
        <f>CHAR(ROWS(H$2:H237))</f>
        <v>ì</v>
      </c>
      <c r="I237" s="8">
        <f t="shared" si="4"/>
        <v>236</v>
      </c>
    </row>
    <row r="238" spans="8:9" x14ac:dyDescent="0.25">
      <c r="H238" s="8" t="str">
        <f>CHAR(ROWS(H$2:H238))</f>
        <v>í</v>
      </c>
      <c r="I238" s="8">
        <f t="shared" si="4"/>
        <v>237</v>
      </c>
    </row>
    <row r="239" spans="8:9" x14ac:dyDescent="0.25">
      <c r="H239" s="8" t="str">
        <f>CHAR(ROWS(H$2:H239))</f>
        <v>î</v>
      </c>
      <c r="I239" s="8">
        <f t="shared" si="4"/>
        <v>238</v>
      </c>
    </row>
    <row r="240" spans="8:9" x14ac:dyDescent="0.25">
      <c r="H240" s="8" t="str">
        <f>CHAR(ROWS(H$2:H240))</f>
        <v>ï</v>
      </c>
      <c r="I240" s="8">
        <f t="shared" si="4"/>
        <v>239</v>
      </c>
    </row>
    <row r="241" spans="8:9" x14ac:dyDescent="0.25">
      <c r="H241" s="8" t="str">
        <f>CHAR(ROWS(H$2:H241))</f>
        <v>ð</v>
      </c>
      <c r="I241" s="8">
        <f t="shared" si="4"/>
        <v>240</v>
      </c>
    </row>
    <row r="242" spans="8:9" x14ac:dyDescent="0.25">
      <c r="H242" s="8" t="str">
        <f>CHAR(ROWS(H$2:H242))</f>
        <v>ñ</v>
      </c>
      <c r="I242" s="8">
        <f t="shared" si="4"/>
        <v>241</v>
      </c>
    </row>
    <row r="243" spans="8:9" x14ac:dyDescent="0.25">
      <c r="H243" s="8" t="str">
        <f>CHAR(ROWS(H$2:H243))</f>
        <v>ò</v>
      </c>
      <c r="I243" s="8">
        <f t="shared" si="4"/>
        <v>242</v>
      </c>
    </row>
    <row r="244" spans="8:9" x14ac:dyDescent="0.25">
      <c r="H244" s="8" t="str">
        <f>CHAR(ROWS(H$2:H244))</f>
        <v>ó</v>
      </c>
      <c r="I244" s="8">
        <f t="shared" si="4"/>
        <v>243</v>
      </c>
    </row>
    <row r="245" spans="8:9" x14ac:dyDescent="0.25">
      <c r="H245" s="8" t="str">
        <f>CHAR(ROWS(H$2:H245))</f>
        <v>ô</v>
      </c>
      <c r="I245" s="8">
        <f t="shared" si="4"/>
        <v>244</v>
      </c>
    </row>
    <row r="246" spans="8:9" x14ac:dyDescent="0.25">
      <c r="H246" s="8" t="str">
        <f>CHAR(ROWS(H$2:H246))</f>
        <v>õ</v>
      </c>
      <c r="I246" s="8">
        <f t="shared" si="4"/>
        <v>245</v>
      </c>
    </row>
    <row r="247" spans="8:9" x14ac:dyDescent="0.25">
      <c r="H247" s="8" t="str">
        <f>CHAR(ROWS(H$2:H247))</f>
        <v>ö</v>
      </c>
      <c r="I247" s="8">
        <f t="shared" si="4"/>
        <v>246</v>
      </c>
    </row>
    <row r="248" spans="8:9" x14ac:dyDescent="0.25">
      <c r="H248" s="8" t="str">
        <f>CHAR(ROWS(H$2:H248))</f>
        <v>÷</v>
      </c>
      <c r="I248" s="8">
        <f t="shared" si="4"/>
        <v>247</v>
      </c>
    </row>
    <row r="249" spans="8:9" x14ac:dyDescent="0.25">
      <c r="H249" s="8" t="str">
        <f>CHAR(ROWS(H$2:H249))</f>
        <v>ø</v>
      </c>
      <c r="I249" s="8">
        <f t="shared" si="4"/>
        <v>248</v>
      </c>
    </row>
    <row r="250" spans="8:9" x14ac:dyDescent="0.25">
      <c r="H250" s="8" t="str">
        <f>CHAR(ROWS(H$2:H250))</f>
        <v>ù</v>
      </c>
      <c r="I250" s="8">
        <f t="shared" si="4"/>
        <v>249</v>
      </c>
    </row>
    <row r="251" spans="8:9" x14ac:dyDescent="0.25">
      <c r="H251" s="8" t="str">
        <f>CHAR(ROWS(H$2:H251))</f>
        <v>ú</v>
      </c>
      <c r="I251" s="8">
        <f t="shared" si="4"/>
        <v>250</v>
      </c>
    </row>
    <row r="252" spans="8:9" x14ac:dyDescent="0.25">
      <c r="H252" s="8" t="str">
        <f>CHAR(ROWS(H$2:H252))</f>
        <v>û</v>
      </c>
      <c r="I252" s="8">
        <f t="shared" si="4"/>
        <v>251</v>
      </c>
    </row>
    <row r="253" spans="8:9" x14ac:dyDescent="0.25">
      <c r="H253" s="8" t="str">
        <f>CHAR(ROWS(H$2:H253))</f>
        <v>ü</v>
      </c>
      <c r="I253" s="8">
        <f t="shared" si="4"/>
        <v>252</v>
      </c>
    </row>
    <row r="254" spans="8:9" x14ac:dyDescent="0.25">
      <c r="H254" s="8" t="str">
        <f>CHAR(ROWS(H$2:H254))</f>
        <v>ý</v>
      </c>
      <c r="I254" s="8">
        <f t="shared" si="4"/>
        <v>253</v>
      </c>
    </row>
    <row r="255" spans="8:9" x14ac:dyDescent="0.25">
      <c r="H255" s="8" t="str">
        <f>CHAR(ROWS(H$2:H255))</f>
        <v>þ</v>
      </c>
      <c r="I255" s="8">
        <f t="shared" si="4"/>
        <v>254</v>
      </c>
    </row>
    <row r="256" spans="8:9" x14ac:dyDescent="0.25">
      <c r="H256" s="8" t="str">
        <f>CHAR(ROWS(H$2:H256))</f>
        <v>ÿ</v>
      </c>
      <c r="I256" s="8">
        <f>CODE(H256)</f>
        <v>255</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0">
    <tabColor rgb="FF0000FF"/>
  </sheetPr>
  <dimension ref="A1:I22"/>
  <sheetViews>
    <sheetView workbookViewId="0"/>
  </sheetViews>
  <sheetFormatPr defaultRowHeight="15" x14ac:dyDescent="0.25"/>
  <cols>
    <col min="1" max="1" width="11.85546875" bestFit="1" customWidth="1"/>
    <col min="2" max="2" width="10.28515625" customWidth="1"/>
    <col min="3" max="3" width="15.140625" customWidth="1"/>
    <col min="4"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14" t="s">
        <v>93</v>
      </c>
      <c r="B1" s="14" t="s">
        <v>37</v>
      </c>
      <c r="C1" s="14" t="s">
        <v>835</v>
      </c>
      <c r="E1" s="27"/>
    </row>
    <row r="2" spans="1:9" x14ac:dyDescent="0.25">
      <c r="A2" s="8">
        <v>23004</v>
      </c>
      <c r="B2" s="22">
        <v>280</v>
      </c>
      <c r="C2" s="8" t="s">
        <v>870</v>
      </c>
      <c r="I2" s="27"/>
    </row>
    <row r="3" spans="1:9" x14ac:dyDescent="0.25">
      <c r="A3" s="8">
        <v>23005</v>
      </c>
      <c r="B3" s="22">
        <v>691</v>
      </c>
      <c r="C3" s="8" t="s">
        <v>841</v>
      </c>
    </row>
    <row r="4" spans="1:9" x14ac:dyDescent="0.25">
      <c r="A4" s="8"/>
      <c r="B4" s="22"/>
      <c r="C4" s="8" t="s">
        <v>841</v>
      </c>
    </row>
    <row r="5" spans="1:9" x14ac:dyDescent="0.25">
      <c r="A5" s="8">
        <v>23006</v>
      </c>
      <c r="B5" s="22">
        <v>713</v>
      </c>
      <c r="C5" s="8" t="s">
        <v>870</v>
      </c>
    </row>
    <row r="6" spans="1:9" x14ac:dyDescent="0.25">
      <c r="A6" s="8">
        <v>23007</v>
      </c>
      <c r="B6" s="22">
        <v>305</v>
      </c>
      <c r="C6" s="8" t="s">
        <v>841</v>
      </c>
    </row>
    <row r="7" spans="1:9" x14ac:dyDescent="0.25">
      <c r="A7" s="8">
        <v>23008</v>
      </c>
      <c r="B7" s="22">
        <v>178</v>
      </c>
      <c r="C7" s="8" t="s">
        <v>870</v>
      </c>
    </row>
    <row r="8" spans="1:9" x14ac:dyDescent="0.25">
      <c r="A8" s="8">
        <v>23009</v>
      </c>
      <c r="B8" s="22">
        <v>512</v>
      </c>
      <c r="C8" s="8" t="s">
        <v>841</v>
      </c>
    </row>
    <row r="9" spans="1:9" x14ac:dyDescent="0.25">
      <c r="A9" s="8">
        <v>23010</v>
      </c>
      <c r="B9" s="22">
        <v>893</v>
      </c>
      <c r="C9" s="8" t="s">
        <v>841</v>
      </c>
    </row>
    <row r="10" spans="1:9" x14ac:dyDescent="0.25">
      <c r="A10" s="8"/>
      <c r="B10" s="22"/>
      <c r="C10" s="8" t="s">
        <v>841</v>
      </c>
    </row>
    <row r="11" spans="1:9" x14ac:dyDescent="0.25">
      <c r="A11" s="8">
        <v>23011</v>
      </c>
      <c r="B11" s="22">
        <v>645</v>
      </c>
      <c r="C11" s="8" t="s">
        <v>841</v>
      </c>
    </row>
    <row r="12" spans="1:9" x14ac:dyDescent="0.25">
      <c r="A12" s="8">
        <v>23012</v>
      </c>
      <c r="B12" s="22">
        <v>907</v>
      </c>
      <c r="C12" s="8" t="s">
        <v>841</v>
      </c>
    </row>
    <row r="13" spans="1:9" x14ac:dyDescent="0.25">
      <c r="A13" s="8">
        <v>23013</v>
      </c>
      <c r="B13" s="22">
        <v>615</v>
      </c>
      <c r="C13" s="8" t="s">
        <v>918</v>
      </c>
    </row>
    <row r="14" spans="1:9" x14ac:dyDescent="0.25">
      <c r="A14" s="8">
        <v>23014</v>
      </c>
      <c r="B14" s="22">
        <v>834</v>
      </c>
      <c r="C14" s="8" t="s">
        <v>870</v>
      </c>
    </row>
    <row r="15" spans="1:9" x14ac:dyDescent="0.25">
      <c r="A15" s="8">
        <v>23015</v>
      </c>
      <c r="B15" s="22">
        <v>670</v>
      </c>
      <c r="C15" s="8" t="s">
        <v>918</v>
      </c>
    </row>
    <row r="16" spans="1:9" x14ac:dyDescent="0.25">
      <c r="A16" s="8"/>
      <c r="B16" s="22"/>
      <c r="C16" s="8" t="s">
        <v>918</v>
      </c>
    </row>
    <row r="17" spans="1:3" x14ac:dyDescent="0.25">
      <c r="A17" s="8">
        <v>23016</v>
      </c>
      <c r="B17" s="22">
        <v>146</v>
      </c>
      <c r="C17" s="8" t="s">
        <v>870</v>
      </c>
    </row>
    <row r="18" spans="1:3" x14ac:dyDescent="0.25">
      <c r="A18" s="8">
        <v>23017</v>
      </c>
      <c r="B18" s="22">
        <v>666</v>
      </c>
      <c r="C18" s="8" t="s">
        <v>918</v>
      </c>
    </row>
    <row r="19" spans="1:3" x14ac:dyDescent="0.25">
      <c r="A19" s="8"/>
      <c r="B19" s="22"/>
      <c r="C19" s="8" t="s">
        <v>918</v>
      </c>
    </row>
    <row r="20" spans="1:3" x14ac:dyDescent="0.25">
      <c r="A20" s="8"/>
      <c r="B20" s="22"/>
      <c r="C20" s="8" t="s">
        <v>918</v>
      </c>
    </row>
    <row r="21" spans="1:3" x14ac:dyDescent="0.25">
      <c r="A21" s="8">
        <v>23018</v>
      </c>
      <c r="B21" s="22">
        <v>598</v>
      </c>
      <c r="C21" s="8" t="s">
        <v>841</v>
      </c>
    </row>
    <row r="22" spans="1:3" x14ac:dyDescent="0.25">
      <c r="A22" s="8">
        <v>23019</v>
      </c>
      <c r="B22" s="22">
        <v>821</v>
      </c>
      <c r="C22" s="8" t="s">
        <v>841</v>
      </c>
    </row>
  </sheetData>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81">
    <tabColor rgb="FF0000FF"/>
  </sheetPr>
  <dimension ref="A1:I22"/>
  <sheetViews>
    <sheetView workbookViewId="0">
      <selection activeCell="B2" sqref="B2"/>
    </sheetView>
  </sheetViews>
  <sheetFormatPr defaultRowHeight="15" x14ac:dyDescent="0.25"/>
  <cols>
    <col min="1" max="1" width="20.85546875" bestFit="1" customWidth="1"/>
    <col min="2" max="2" width="13" customWidth="1"/>
    <col min="3" max="3" width="15.140625" customWidth="1"/>
    <col min="4" max="4" width="18.7109375" bestFit="1"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5" ht="30" x14ac:dyDescent="0.25">
      <c r="A1" s="44" t="s">
        <v>963</v>
      </c>
      <c r="B1" s="44" t="s">
        <v>964</v>
      </c>
      <c r="D1" s="14" t="s">
        <v>704</v>
      </c>
      <c r="E1" s="27"/>
    </row>
    <row r="2" spans="1:5" x14ac:dyDescent="0.25">
      <c r="A2" s="8" t="s">
        <v>965</v>
      </c>
      <c r="B2" s="10" t="e">
        <f t="shared" ref="B2:B10" si="0">MATCH(A2,$D$2:$D$12,0)</f>
        <v>#N/A</v>
      </c>
      <c r="D2" s="8" t="s">
        <v>966</v>
      </c>
    </row>
    <row r="3" spans="1:5" x14ac:dyDescent="0.25">
      <c r="A3" s="8" t="s">
        <v>968</v>
      </c>
      <c r="B3" s="10">
        <f t="shared" si="0"/>
        <v>2</v>
      </c>
      <c r="D3" s="8" t="s">
        <v>968</v>
      </c>
    </row>
    <row r="4" spans="1:5" x14ac:dyDescent="0.25">
      <c r="A4" s="8" t="s">
        <v>967</v>
      </c>
      <c r="B4" s="10" t="e">
        <f t="shared" si="0"/>
        <v>#N/A</v>
      </c>
      <c r="D4" s="8" t="s">
        <v>970</v>
      </c>
    </row>
    <row r="5" spans="1:5" x14ac:dyDescent="0.25">
      <c r="A5" s="8" t="s">
        <v>977</v>
      </c>
      <c r="B5" s="10">
        <f t="shared" si="0"/>
        <v>10</v>
      </c>
      <c r="D5" s="8" t="s">
        <v>972</v>
      </c>
    </row>
    <row r="6" spans="1:5" x14ac:dyDescent="0.25">
      <c r="A6" s="8" t="s">
        <v>969</v>
      </c>
      <c r="B6" s="10" t="e">
        <f t="shared" si="0"/>
        <v>#N/A</v>
      </c>
      <c r="D6" s="8" t="s">
        <v>974</v>
      </c>
    </row>
    <row r="7" spans="1:5" x14ac:dyDescent="0.25">
      <c r="A7" s="8" t="s">
        <v>971</v>
      </c>
      <c r="B7" s="10" t="e">
        <f t="shared" si="0"/>
        <v>#N/A</v>
      </c>
      <c r="D7" s="8" t="s">
        <v>976</v>
      </c>
    </row>
    <row r="8" spans="1:5" x14ac:dyDescent="0.25">
      <c r="A8" s="8" t="s">
        <v>974</v>
      </c>
      <c r="B8" s="10">
        <f t="shared" si="0"/>
        <v>5</v>
      </c>
      <c r="D8" s="8" t="s">
        <v>978</v>
      </c>
    </row>
    <row r="9" spans="1:5" x14ac:dyDescent="0.25">
      <c r="A9" s="8" t="s">
        <v>973</v>
      </c>
      <c r="B9" s="10" t="e">
        <f t="shared" si="0"/>
        <v>#N/A</v>
      </c>
      <c r="D9" s="8" t="s">
        <v>979</v>
      </c>
    </row>
    <row r="10" spans="1:5" x14ac:dyDescent="0.25">
      <c r="A10" s="8" t="s">
        <v>975</v>
      </c>
      <c r="B10" s="10" t="e">
        <f t="shared" si="0"/>
        <v>#N/A</v>
      </c>
      <c r="D10" s="8" t="s">
        <v>980</v>
      </c>
    </row>
    <row r="11" spans="1:5" x14ac:dyDescent="0.25">
      <c r="D11" s="8" t="s">
        <v>977</v>
      </c>
    </row>
    <row r="12" spans="1:5" x14ac:dyDescent="0.25">
      <c r="D12" s="8" t="s">
        <v>981</v>
      </c>
    </row>
    <row r="22" spans="9:9" x14ac:dyDescent="0.25">
      <c r="I22" s="175"/>
    </row>
  </sheetData>
  <sortState xmlns:xlrd2="http://schemas.microsoft.com/office/spreadsheetml/2017/richdata2" ref="A2:B10">
    <sortCondition ref="A2"/>
  </sortState>
  <pageMargins left="0.7" right="0.7" top="0.75" bottom="0.75" header="0.3" footer="0.3"/>
  <pageSetup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82">
    <tabColor rgb="FF0000FF"/>
  </sheetPr>
  <dimension ref="A1:I11"/>
  <sheetViews>
    <sheetView topLeftCell="C1" workbookViewId="0">
      <selection activeCell="C5" sqref="C5"/>
    </sheetView>
  </sheetViews>
  <sheetFormatPr defaultRowHeight="15" x14ac:dyDescent="0.25"/>
  <cols>
    <col min="1" max="1" width="22.42578125" bestFit="1" customWidth="1"/>
    <col min="2" max="2" width="10.28515625" customWidth="1"/>
    <col min="3" max="3" width="22.42578125" bestFit="1" customWidth="1"/>
    <col min="4" max="4" width="13.42578125" bestFit="1"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5" t="s">
        <v>982</v>
      </c>
      <c r="C1" s="5" t="s">
        <v>982</v>
      </c>
      <c r="E1" s="27"/>
    </row>
    <row r="2" spans="1:9" x14ac:dyDescent="0.25">
      <c r="A2" s="8" t="s">
        <v>983</v>
      </c>
      <c r="C2" s="8" t="s">
        <v>986</v>
      </c>
      <c r="I2" s="27"/>
    </row>
    <row r="3" spans="1:9" x14ac:dyDescent="0.25">
      <c r="A3" s="8" t="s">
        <v>985</v>
      </c>
      <c r="C3" s="8" t="s">
        <v>985</v>
      </c>
    </row>
    <row r="4" spans="1:9" x14ac:dyDescent="0.25">
      <c r="A4" s="8" t="s">
        <v>984</v>
      </c>
      <c r="C4" s="8" t="s">
        <v>989</v>
      </c>
    </row>
    <row r="5" spans="1:9" x14ac:dyDescent="0.25">
      <c r="A5" s="8" t="s">
        <v>988</v>
      </c>
      <c r="C5" s="8" t="s">
        <v>988</v>
      </c>
    </row>
    <row r="6" spans="1:9" x14ac:dyDescent="0.25">
      <c r="A6" s="8" t="s">
        <v>989</v>
      </c>
      <c r="C6" s="8" t="s">
        <v>990</v>
      </c>
    </row>
    <row r="7" spans="1:9" x14ac:dyDescent="0.25">
      <c r="A7" s="8" t="s">
        <v>990</v>
      </c>
      <c r="C7" s="8" t="s">
        <v>983</v>
      </c>
    </row>
    <row r="8" spans="1:9" x14ac:dyDescent="0.25">
      <c r="A8" s="8" t="s">
        <v>987</v>
      </c>
      <c r="C8" s="8" t="s">
        <v>984</v>
      </c>
    </row>
    <row r="9" spans="1:9" x14ac:dyDescent="0.25">
      <c r="A9" s="8" t="s">
        <v>991</v>
      </c>
      <c r="C9" s="8" t="s">
        <v>987</v>
      </c>
    </row>
    <row r="10" spans="1:9" x14ac:dyDescent="0.25">
      <c r="A10" s="8" t="s">
        <v>992</v>
      </c>
      <c r="C10" s="8" t="s">
        <v>992</v>
      </c>
    </row>
    <row r="11" spans="1:9" x14ac:dyDescent="0.25">
      <c r="A11" s="8" t="s">
        <v>986</v>
      </c>
      <c r="C11" s="8" t="s">
        <v>991</v>
      </c>
    </row>
  </sheetData>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83">
    <tabColor rgb="FF0000FF"/>
  </sheetPr>
  <dimension ref="A1:K1"/>
  <sheetViews>
    <sheetView zoomScaleNormal="100" workbookViewId="0">
      <selection activeCell="B1" sqref="B1"/>
    </sheetView>
  </sheetViews>
  <sheetFormatPr defaultColWidth="11" defaultRowHeight="15" x14ac:dyDescent="0.25"/>
  <cols>
    <col min="1" max="1" width="12" bestFit="1" customWidth="1"/>
    <col min="2" max="11" width="6.42578125" customWidth="1"/>
    <col min="12" max="12" width="11" bestFit="1" customWidth="1"/>
  </cols>
  <sheetData>
    <row r="1" spans="1:11" x14ac:dyDescent="0.25">
      <c r="A1" s="78" t="s">
        <v>993</v>
      </c>
      <c r="B1" s="8">
        <v>2.7</v>
      </c>
      <c r="C1" s="8">
        <v>2.2999999999999998</v>
      </c>
      <c r="D1" s="8">
        <v>1.3</v>
      </c>
      <c r="E1" s="8">
        <v>6.4</v>
      </c>
      <c r="F1" s="8">
        <v>2.2999999999999998</v>
      </c>
      <c r="G1" s="8">
        <v>4.3</v>
      </c>
      <c r="H1" s="8">
        <v>1.7</v>
      </c>
      <c r="I1" s="8">
        <v>6.8</v>
      </c>
      <c r="J1" s="8">
        <v>5.2</v>
      </c>
      <c r="K1" s="8">
        <v>1.1000000000000001</v>
      </c>
    </row>
  </sheetData>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84">
    <tabColor rgb="FF0000FF"/>
  </sheetPr>
  <dimension ref="A1:I11"/>
  <sheetViews>
    <sheetView workbookViewId="0">
      <selection activeCell="G9" sqref="G9"/>
    </sheetView>
  </sheetViews>
  <sheetFormatPr defaultRowHeight="15" x14ac:dyDescent="0.25"/>
  <cols>
    <col min="1" max="1" width="14.140625" customWidth="1"/>
    <col min="2" max="2" width="10.28515625" customWidth="1"/>
    <col min="3" max="3" width="8.28515625" bestFit="1" customWidth="1"/>
    <col min="4" max="4" width="16.7109375" bestFit="1"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5" t="s">
        <v>0</v>
      </c>
      <c r="B1" s="5" t="s">
        <v>304</v>
      </c>
      <c r="C1" s="5" t="s">
        <v>37</v>
      </c>
      <c r="D1" s="5" t="s">
        <v>572</v>
      </c>
      <c r="E1" s="27"/>
    </row>
    <row r="2" spans="1:9" x14ac:dyDescent="0.25">
      <c r="A2" s="220">
        <v>40558</v>
      </c>
      <c r="B2" s="8" t="s">
        <v>994</v>
      </c>
      <c r="C2" s="22">
        <f t="shared" ref="C2:C11" ca="1" si="0">INT(RAND()*800+80)</f>
        <v>859</v>
      </c>
      <c r="D2" s="8" t="s">
        <v>995</v>
      </c>
      <c r="I2" s="27"/>
    </row>
    <row r="3" spans="1:9" x14ac:dyDescent="0.25">
      <c r="A3" s="221">
        <v>40559</v>
      </c>
      <c r="B3" s="8" t="s">
        <v>996</v>
      </c>
      <c r="C3" s="22">
        <f t="shared" ca="1" si="0"/>
        <v>400</v>
      </c>
      <c r="D3" s="8" t="s">
        <v>997</v>
      </c>
    </row>
    <row r="4" spans="1:9" x14ac:dyDescent="0.25">
      <c r="A4" s="222">
        <v>40560</v>
      </c>
      <c r="B4" s="8" t="s">
        <v>998</v>
      </c>
      <c r="C4" s="22">
        <f t="shared" ca="1" si="0"/>
        <v>767</v>
      </c>
      <c r="D4" s="8" t="s">
        <v>999</v>
      </c>
    </row>
    <row r="5" spans="1:9" x14ac:dyDescent="0.25">
      <c r="A5" s="220">
        <v>40561</v>
      </c>
      <c r="B5" s="8" t="s">
        <v>1000</v>
      </c>
      <c r="C5" s="22">
        <f t="shared" ca="1" si="0"/>
        <v>509</v>
      </c>
      <c r="D5" s="8" t="s">
        <v>1001</v>
      </c>
    </row>
    <row r="6" spans="1:9" x14ac:dyDescent="0.25">
      <c r="A6" s="221">
        <v>40562</v>
      </c>
      <c r="B6" s="8" t="s">
        <v>1002</v>
      </c>
      <c r="C6" s="22">
        <f t="shared" ca="1" si="0"/>
        <v>864</v>
      </c>
      <c r="D6" s="8" t="s">
        <v>1003</v>
      </c>
    </row>
    <row r="7" spans="1:9" x14ac:dyDescent="0.25">
      <c r="A7" s="220">
        <v>40563</v>
      </c>
      <c r="B7" s="8" t="s">
        <v>1004</v>
      </c>
      <c r="C7" s="22">
        <f t="shared" ca="1" si="0"/>
        <v>682</v>
      </c>
      <c r="D7" s="8" t="s">
        <v>1005</v>
      </c>
    </row>
    <row r="8" spans="1:9" x14ac:dyDescent="0.25">
      <c r="A8" s="222">
        <v>40564</v>
      </c>
      <c r="B8" s="8" t="s">
        <v>1006</v>
      </c>
      <c r="C8" s="22">
        <f t="shared" ca="1" si="0"/>
        <v>676</v>
      </c>
      <c r="D8" s="8" t="s">
        <v>1007</v>
      </c>
    </row>
    <row r="9" spans="1:9" x14ac:dyDescent="0.25">
      <c r="A9" s="221">
        <v>40565</v>
      </c>
      <c r="B9" s="8" t="s">
        <v>1008</v>
      </c>
      <c r="C9" s="22">
        <f t="shared" ca="1" si="0"/>
        <v>688</v>
      </c>
      <c r="D9" s="8" t="s">
        <v>1009</v>
      </c>
    </row>
    <row r="10" spans="1:9" x14ac:dyDescent="0.25">
      <c r="A10" s="220">
        <v>40566</v>
      </c>
      <c r="B10" s="8" t="s">
        <v>1010</v>
      </c>
      <c r="C10" s="22">
        <f t="shared" ca="1" si="0"/>
        <v>283</v>
      </c>
      <c r="D10" s="8" t="s">
        <v>1011</v>
      </c>
    </row>
    <row r="11" spans="1:9" x14ac:dyDescent="0.25">
      <c r="A11" s="220">
        <v>40567</v>
      </c>
      <c r="B11" s="8" t="s">
        <v>1012</v>
      </c>
      <c r="C11" s="22">
        <f t="shared" ca="1" si="0"/>
        <v>187</v>
      </c>
      <c r="D11" s="8" t="s">
        <v>1013</v>
      </c>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85">
    <tabColor rgb="FF0000FF"/>
  </sheetPr>
  <dimension ref="A1:I106"/>
  <sheetViews>
    <sheetView workbookViewId="0">
      <selection activeCell="D3" sqref="D3"/>
    </sheetView>
  </sheetViews>
  <sheetFormatPr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134" t="s">
        <v>0</v>
      </c>
      <c r="B1" s="134" t="s">
        <v>302</v>
      </c>
      <c r="C1" s="134" t="s">
        <v>303</v>
      </c>
      <c r="D1" s="134" t="s">
        <v>1</v>
      </c>
      <c r="E1" s="134" t="s">
        <v>304</v>
      </c>
      <c r="F1" s="134" t="s">
        <v>305</v>
      </c>
      <c r="G1" s="134" t="s">
        <v>37</v>
      </c>
      <c r="H1" s="134" t="s">
        <v>175</v>
      </c>
    </row>
    <row r="2" spans="1:9" x14ac:dyDescent="0.25">
      <c r="A2" s="75">
        <v>40544</v>
      </c>
      <c r="B2" s="8" t="s">
        <v>319</v>
      </c>
      <c r="C2" s="8" t="s">
        <v>307</v>
      </c>
      <c r="D2" s="8" t="s">
        <v>3</v>
      </c>
      <c r="E2" s="8" t="s">
        <v>337</v>
      </c>
      <c r="F2" s="8">
        <v>16</v>
      </c>
      <c r="G2" s="22">
        <v>432</v>
      </c>
      <c r="H2" s="22">
        <v>232</v>
      </c>
      <c r="I2" s="27"/>
    </row>
    <row r="3" spans="1:9" x14ac:dyDescent="0.25">
      <c r="A3" s="75">
        <v>40545</v>
      </c>
      <c r="B3" s="8" t="s">
        <v>321</v>
      </c>
      <c r="C3" s="8" t="s">
        <v>310</v>
      </c>
      <c r="D3" s="8" t="s">
        <v>328</v>
      </c>
      <c r="E3" s="8" t="s">
        <v>313</v>
      </c>
      <c r="F3" s="8">
        <v>24</v>
      </c>
      <c r="G3" s="22">
        <v>528</v>
      </c>
      <c r="H3" s="22">
        <v>240</v>
      </c>
    </row>
    <row r="4" spans="1:9" x14ac:dyDescent="0.25">
      <c r="A4" s="75">
        <v>40545</v>
      </c>
      <c r="B4" s="8" t="s">
        <v>319</v>
      </c>
      <c r="C4" s="8" t="s">
        <v>309</v>
      </c>
      <c r="D4" s="8" t="s">
        <v>136</v>
      </c>
      <c r="E4" s="8" t="s">
        <v>330</v>
      </c>
      <c r="F4" s="8">
        <v>30</v>
      </c>
      <c r="G4" s="22">
        <v>810</v>
      </c>
      <c r="H4" s="22">
        <v>435</v>
      </c>
    </row>
    <row r="5" spans="1:9" x14ac:dyDescent="0.25">
      <c r="A5" s="75">
        <v>40545</v>
      </c>
      <c r="B5" s="8" t="s">
        <v>321</v>
      </c>
      <c r="C5" s="8" t="s">
        <v>309</v>
      </c>
      <c r="D5" s="8" t="s">
        <v>136</v>
      </c>
      <c r="E5" s="8" t="s">
        <v>331</v>
      </c>
      <c r="F5" s="8">
        <v>19</v>
      </c>
      <c r="G5" s="22">
        <v>418</v>
      </c>
      <c r="H5" s="22">
        <v>190</v>
      </c>
    </row>
    <row r="6" spans="1:9" x14ac:dyDescent="0.25">
      <c r="A6" s="75">
        <v>40546</v>
      </c>
      <c r="B6" s="8" t="s">
        <v>311</v>
      </c>
      <c r="C6" s="8" t="s">
        <v>307</v>
      </c>
      <c r="D6" s="8" t="s">
        <v>136</v>
      </c>
      <c r="E6" s="8" t="s">
        <v>324</v>
      </c>
      <c r="F6" s="8">
        <v>38</v>
      </c>
      <c r="G6" s="22">
        <v>722</v>
      </c>
      <c r="H6" s="22">
        <v>304</v>
      </c>
    </row>
    <row r="7" spans="1:9" x14ac:dyDescent="0.25">
      <c r="A7" s="75">
        <v>40546</v>
      </c>
      <c r="B7" s="8" t="s">
        <v>315</v>
      </c>
      <c r="C7" s="8" t="s">
        <v>308</v>
      </c>
      <c r="D7" s="8" t="s">
        <v>7</v>
      </c>
      <c r="E7" s="8" t="s">
        <v>324</v>
      </c>
      <c r="F7" s="8">
        <v>20</v>
      </c>
      <c r="G7" s="22">
        <v>460</v>
      </c>
      <c r="H7" s="22">
        <v>220</v>
      </c>
    </row>
    <row r="8" spans="1:9" x14ac:dyDescent="0.25">
      <c r="A8" s="75">
        <v>40546</v>
      </c>
      <c r="B8" s="8" t="s">
        <v>317</v>
      </c>
      <c r="C8" s="8" t="s">
        <v>310</v>
      </c>
      <c r="D8" s="8" t="s">
        <v>136</v>
      </c>
      <c r="E8" s="8" t="s">
        <v>332</v>
      </c>
      <c r="F8" s="8">
        <v>23</v>
      </c>
      <c r="G8" s="22">
        <v>483</v>
      </c>
      <c r="H8" s="22">
        <v>212.75</v>
      </c>
    </row>
    <row r="9" spans="1:9" x14ac:dyDescent="0.25">
      <c r="A9" s="75">
        <v>40546</v>
      </c>
      <c r="B9" s="8" t="s">
        <v>311</v>
      </c>
      <c r="C9" s="8" t="s">
        <v>310</v>
      </c>
      <c r="D9" s="8" t="s">
        <v>3</v>
      </c>
      <c r="E9" s="8" t="s">
        <v>339</v>
      </c>
      <c r="F9" s="8">
        <v>6</v>
      </c>
      <c r="G9" s="22">
        <v>114</v>
      </c>
      <c r="H9" s="22">
        <v>48</v>
      </c>
    </row>
    <row r="10" spans="1:9" x14ac:dyDescent="0.25">
      <c r="A10" s="75">
        <v>40547</v>
      </c>
      <c r="B10" s="8" t="s">
        <v>317</v>
      </c>
      <c r="C10" s="8" t="s">
        <v>308</v>
      </c>
      <c r="D10" s="8" t="s">
        <v>3</v>
      </c>
      <c r="E10" s="8" t="s">
        <v>344</v>
      </c>
      <c r="F10" s="8">
        <v>29</v>
      </c>
      <c r="G10" s="22">
        <v>609</v>
      </c>
      <c r="H10" s="22">
        <v>268.25</v>
      </c>
    </row>
    <row r="11" spans="1:9" x14ac:dyDescent="0.25">
      <c r="A11" s="75">
        <v>40548</v>
      </c>
      <c r="B11" s="8" t="s">
        <v>317</v>
      </c>
      <c r="C11" s="8" t="s">
        <v>310</v>
      </c>
      <c r="D11" s="8" t="s">
        <v>136</v>
      </c>
      <c r="E11" s="8" t="s">
        <v>322</v>
      </c>
      <c r="F11" s="8">
        <v>57</v>
      </c>
      <c r="G11" s="22">
        <v>1197</v>
      </c>
      <c r="H11" s="22">
        <v>527.25</v>
      </c>
    </row>
    <row r="12" spans="1:9" x14ac:dyDescent="0.25">
      <c r="A12" s="75">
        <v>40548</v>
      </c>
      <c r="B12" s="8" t="s">
        <v>311</v>
      </c>
      <c r="C12" s="8" t="s">
        <v>309</v>
      </c>
      <c r="D12" s="8" t="s">
        <v>312</v>
      </c>
      <c r="E12" s="8" t="s">
        <v>323</v>
      </c>
      <c r="F12" s="8">
        <v>12</v>
      </c>
      <c r="G12" s="22">
        <v>228</v>
      </c>
      <c r="H12" s="22">
        <v>96</v>
      </c>
    </row>
    <row r="13" spans="1:9" x14ac:dyDescent="0.25">
      <c r="A13" s="75">
        <v>40548</v>
      </c>
      <c r="B13" s="8" t="s">
        <v>315</v>
      </c>
      <c r="C13" s="8" t="s">
        <v>309</v>
      </c>
      <c r="D13" s="8" t="s">
        <v>312</v>
      </c>
      <c r="E13" s="8" t="s">
        <v>429</v>
      </c>
      <c r="F13" s="8">
        <v>60</v>
      </c>
      <c r="G13" s="22">
        <v>1380</v>
      </c>
      <c r="H13" s="22">
        <v>660</v>
      </c>
    </row>
    <row r="14" spans="1:9" x14ac:dyDescent="0.25">
      <c r="A14" s="75">
        <v>40549</v>
      </c>
      <c r="B14" s="8" t="s">
        <v>311</v>
      </c>
      <c r="C14" s="8" t="s">
        <v>307</v>
      </c>
      <c r="D14" s="8" t="s">
        <v>312</v>
      </c>
      <c r="E14" s="8" t="s">
        <v>329</v>
      </c>
      <c r="F14" s="8">
        <v>54</v>
      </c>
      <c r="G14" s="22">
        <v>1026</v>
      </c>
      <c r="H14" s="22">
        <v>432</v>
      </c>
    </row>
    <row r="15" spans="1:9" x14ac:dyDescent="0.25">
      <c r="A15" s="75">
        <v>40549</v>
      </c>
      <c r="B15" s="8" t="s">
        <v>311</v>
      </c>
      <c r="C15" s="8" t="s">
        <v>310</v>
      </c>
      <c r="D15" s="8" t="s">
        <v>132</v>
      </c>
      <c r="E15" s="8" t="s">
        <v>333</v>
      </c>
      <c r="F15" s="8">
        <v>40</v>
      </c>
      <c r="G15" s="22">
        <v>760</v>
      </c>
      <c r="H15" s="22">
        <v>320</v>
      </c>
    </row>
    <row r="16" spans="1:9" x14ac:dyDescent="0.25">
      <c r="A16" s="75">
        <v>40549</v>
      </c>
      <c r="B16" s="8" t="s">
        <v>315</v>
      </c>
      <c r="C16" s="8" t="s">
        <v>309</v>
      </c>
      <c r="D16" s="8" t="s">
        <v>3</v>
      </c>
      <c r="E16" s="8" t="s">
        <v>347</v>
      </c>
      <c r="F16" s="8">
        <v>18</v>
      </c>
      <c r="G16" s="22">
        <v>414</v>
      </c>
      <c r="H16" s="22">
        <v>198</v>
      </c>
    </row>
    <row r="17" spans="1:8" x14ac:dyDescent="0.25">
      <c r="A17" s="75">
        <v>40549</v>
      </c>
      <c r="B17" s="8" t="s">
        <v>319</v>
      </c>
      <c r="C17" s="8" t="s">
        <v>309</v>
      </c>
      <c r="D17" s="8" t="s">
        <v>3</v>
      </c>
      <c r="E17" s="8" t="s">
        <v>339</v>
      </c>
      <c r="F17" s="8">
        <v>64</v>
      </c>
      <c r="G17" s="22">
        <v>1728</v>
      </c>
      <c r="H17" s="22">
        <v>928</v>
      </c>
    </row>
    <row r="18" spans="1:8" x14ac:dyDescent="0.25">
      <c r="A18" s="75">
        <v>40550</v>
      </c>
      <c r="B18" s="8" t="s">
        <v>315</v>
      </c>
      <c r="C18" s="8" t="s">
        <v>308</v>
      </c>
      <c r="D18" s="8" t="s">
        <v>312</v>
      </c>
      <c r="E18" s="8" t="s">
        <v>428</v>
      </c>
      <c r="F18" s="8">
        <v>12</v>
      </c>
      <c r="G18" s="22">
        <v>276</v>
      </c>
      <c r="H18" s="22">
        <v>132</v>
      </c>
    </row>
    <row r="19" spans="1:8" x14ac:dyDescent="0.25">
      <c r="A19" s="75">
        <v>40550</v>
      </c>
      <c r="B19" s="8" t="s">
        <v>317</v>
      </c>
      <c r="C19" s="8" t="s">
        <v>308</v>
      </c>
      <c r="D19" s="8" t="s">
        <v>3</v>
      </c>
      <c r="E19" s="8" t="s">
        <v>339</v>
      </c>
      <c r="F19" s="8">
        <v>22</v>
      </c>
      <c r="G19" s="22">
        <v>462</v>
      </c>
      <c r="H19" s="22">
        <v>203.5</v>
      </c>
    </row>
    <row r="20" spans="1:8" x14ac:dyDescent="0.25">
      <c r="A20" s="75">
        <v>40550</v>
      </c>
      <c r="B20" s="8" t="s">
        <v>317</v>
      </c>
      <c r="C20" s="8" t="s">
        <v>309</v>
      </c>
      <c r="D20" s="8" t="s">
        <v>136</v>
      </c>
      <c r="E20" s="8" t="s">
        <v>326</v>
      </c>
      <c r="F20" s="8">
        <v>61</v>
      </c>
      <c r="G20" s="22">
        <v>1281</v>
      </c>
      <c r="H20" s="22">
        <v>564.25</v>
      </c>
    </row>
    <row r="21" spans="1:8" x14ac:dyDescent="0.25">
      <c r="A21" s="75">
        <v>40550</v>
      </c>
      <c r="B21" s="8" t="s">
        <v>317</v>
      </c>
      <c r="C21" s="8" t="s">
        <v>309</v>
      </c>
      <c r="D21" s="8" t="s">
        <v>136</v>
      </c>
      <c r="E21" s="8" t="s">
        <v>338</v>
      </c>
      <c r="F21" s="8">
        <v>53</v>
      </c>
      <c r="G21" s="22">
        <v>1113</v>
      </c>
      <c r="H21" s="22">
        <v>490.25</v>
      </c>
    </row>
    <row r="22" spans="1:8" x14ac:dyDescent="0.25">
      <c r="A22" s="75">
        <v>40550</v>
      </c>
      <c r="B22" s="8" t="s">
        <v>321</v>
      </c>
      <c r="C22" s="8" t="s">
        <v>309</v>
      </c>
      <c r="D22" s="8" t="s">
        <v>132</v>
      </c>
      <c r="E22" s="8" t="s">
        <v>326</v>
      </c>
      <c r="F22" s="8">
        <v>27</v>
      </c>
      <c r="G22" s="22">
        <v>594</v>
      </c>
      <c r="H22" s="22">
        <v>270</v>
      </c>
    </row>
    <row r="23" spans="1:8" x14ac:dyDescent="0.25">
      <c r="A23" s="75">
        <v>40551</v>
      </c>
      <c r="B23" s="8" t="s">
        <v>319</v>
      </c>
      <c r="C23" s="8" t="s">
        <v>309</v>
      </c>
      <c r="D23" s="8" t="s">
        <v>7</v>
      </c>
      <c r="E23" s="8" t="s">
        <v>335</v>
      </c>
      <c r="F23" s="8">
        <v>16</v>
      </c>
      <c r="G23" s="22">
        <v>432</v>
      </c>
      <c r="H23" s="22">
        <v>232</v>
      </c>
    </row>
    <row r="24" spans="1:8" x14ac:dyDescent="0.25">
      <c r="A24" s="75">
        <v>40552</v>
      </c>
      <c r="B24" s="8" t="s">
        <v>315</v>
      </c>
      <c r="C24" s="8" t="s">
        <v>307</v>
      </c>
      <c r="D24" s="8" t="s">
        <v>312</v>
      </c>
      <c r="E24" s="8" t="s">
        <v>332</v>
      </c>
      <c r="F24" s="8">
        <v>38</v>
      </c>
      <c r="G24" s="22">
        <v>874</v>
      </c>
      <c r="H24" s="22">
        <v>418</v>
      </c>
    </row>
    <row r="25" spans="1:8" x14ac:dyDescent="0.25">
      <c r="A25" s="75">
        <v>40552</v>
      </c>
      <c r="B25" s="8" t="s">
        <v>321</v>
      </c>
      <c r="C25" s="8" t="s">
        <v>307</v>
      </c>
      <c r="D25" s="8" t="s">
        <v>136</v>
      </c>
      <c r="E25" s="8" t="s">
        <v>325</v>
      </c>
      <c r="F25" s="8">
        <v>40</v>
      </c>
      <c r="G25" s="22">
        <v>880</v>
      </c>
      <c r="H25" s="22">
        <v>400</v>
      </c>
    </row>
    <row r="26" spans="1:8" x14ac:dyDescent="0.25">
      <c r="A26" s="75">
        <v>40552</v>
      </c>
      <c r="B26" s="8" t="s">
        <v>311</v>
      </c>
      <c r="C26" s="8" t="s">
        <v>307</v>
      </c>
      <c r="D26" s="8" t="s">
        <v>132</v>
      </c>
      <c r="E26" s="8" t="s">
        <v>339</v>
      </c>
      <c r="F26" s="8">
        <v>42</v>
      </c>
      <c r="G26" s="22">
        <v>798</v>
      </c>
      <c r="H26" s="22">
        <v>336</v>
      </c>
    </row>
    <row r="27" spans="1:8" x14ac:dyDescent="0.25">
      <c r="A27" s="75">
        <v>40552</v>
      </c>
      <c r="B27" s="8" t="s">
        <v>321</v>
      </c>
      <c r="C27" s="8" t="s">
        <v>310</v>
      </c>
      <c r="D27" s="8" t="s">
        <v>7</v>
      </c>
      <c r="E27" s="8" t="s">
        <v>332</v>
      </c>
      <c r="F27" s="8">
        <v>26</v>
      </c>
      <c r="G27" s="22">
        <v>572</v>
      </c>
      <c r="H27" s="22">
        <v>260</v>
      </c>
    </row>
    <row r="28" spans="1:8" x14ac:dyDescent="0.25">
      <c r="A28" s="75">
        <v>40552</v>
      </c>
      <c r="B28" s="8" t="s">
        <v>321</v>
      </c>
      <c r="C28" s="8" t="s">
        <v>310</v>
      </c>
      <c r="D28" s="8" t="s">
        <v>3</v>
      </c>
      <c r="E28" s="8" t="s">
        <v>333</v>
      </c>
      <c r="F28" s="8">
        <v>15</v>
      </c>
      <c r="G28" s="22">
        <v>330</v>
      </c>
      <c r="H28" s="22">
        <v>150</v>
      </c>
    </row>
    <row r="29" spans="1:8" x14ac:dyDescent="0.25">
      <c r="A29" s="75">
        <v>40553</v>
      </c>
      <c r="B29" s="8" t="s">
        <v>317</v>
      </c>
      <c r="C29" s="8" t="s">
        <v>307</v>
      </c>
      <c r="D29" s="8" t="s">
        <v>328</v>
      </c>
      <c r="E29" s="8" t="s">
        <v>342</v>
      </c>
      <c r="F29" s="8">
        <v>27</v>
      </c>
      <c r="G29" s="22">
        <v>567</v>
      </c>
      <c r="H29" s="22">
        <v>249.75</v>
      </c>
    </row>
    <row r="30" spans="1:8" x14ac:dyDescent="0.25">
      <c r="A30" s="75">
        <v>40553</v>
      </c>
      <c r="B30" s="8" t="s">
        <v>315</v>
      </c>
      <c r="C30" s="8" t="s">
        <v>307</v>
      </c>
      <c r="D30" s="8" t="s">
        <v>136</v>
      </c>
      <c r="E30" s="8" t="s">
        <v>337</v>
      </c>
      <c r="F30" s="8">
        <v>63</v>
      </c>
      <c r="G30" s="22">
        <v>1449</v>
      </c>
      <c r="H30" s="22">
        <v>693</v>
      </c>
    </row>
    <row r="31" spans="1:8" x14ac:dyDescent="0.25">
      <c r="A31" s="75">
        <v>40553</v>
      </c>
      <c r="B31" s="8" t="s">
        <v>319</v>
      </c>
      <c r="C31" s="8" t="s">
        <v>307</v>
      </c>
      <c r="D31" s="8" t="s">
        <v>132</v>
      </c>
      <c r="E31" s="8" t="s">
        <v>334</v>
      </c>
      <c r="F31" s="8">
        <v>17</v>
      </c>
      <c r="G31" s="22">
        <v>459</v>
      </c>
      <c r="H31" s="22">
        <v>246.5</v>
      </c>
    </row>
    <row r="32" spans="1:8" x14ac:dyDescent="0.25">
      <c r="A32" s="75">
        <v>40553</v>
      </c>
      <c r="B32" s="8" t="s">
        <v>317</v>
      </c>
      <c r="C32" s="8" t="s">
        <v>307</v>
      </c>
      <c r="D32" s="8" t="s">
        <v>132</v>
      </c>
      <c r="E32" s="8" t="s">
        <v>341</v>
      </c>
      <c r="F32" s="8">
        <v>17</v>
      </c>
      <c r="G32" s="22">
        <v>357</v>
      </c>
      <c r="H32" s="22">
        <v>157.25</v>
      </c>
    </row>
    <row r="33" spans="1:8" x14ac:dyDescent="0.25">
      <c r="A33" s="75">
        <v>40553</v>
      </c>
      <c r="B33" s="8" t="s">
        <v>321</v>
      </c>
      <c r="C33" s="8" t="s">
        <v>308</v>
      </c>
      <c r="D33" s="8" t="s">
        <v>328</v>
      </c>
      <c r="E33" s="8" t="s">
        <v>324</v>
      </c>
      <c r="F33" s="8">
        <v>7</v>
      </c>
      <c r="G33" s="22">
        <v>154</v>
      </c>
      <c r="H33" s="22">
        <v>70</v>
      </c>
    </row>
    <row r="34" spans="1:8" x14ac:dyDescent="0.25">
      <c r="A34" s="75">
        <v>40553</v>
      </c>
      <c r="B34" s="8" t="s">
        <v>311</v>
      </c>
      <c r="C34" s="8" t="s">
        <v>308</v>
      </c>
      <c r="D34" s="8" t="s">
        <v>132</v>
      </c>
      <c r="E34" s="8" t="s">
        <v>322</v>
      </c>
      <c r="F34" s="8">
        <v>8</v>
      </c>
      <c r="G34" s="22">
        <v>152</v>
      </c>
      <c r="H34" s="22">
        <v>64</v>
      </c>
    </row>
    <row r="35" spans="1:8" x14ac:dyDescent="0.25">
      <c r="A35" s="75">
        <v>40553</v>
      </c>
      <c r="B35" s="8" t="s">
        <v>311</v>
      </c>
      <c r="C35" s="8" t="s">
        <v>310</v>
      </c>
      <c r="D35" s="8" t="s">
        <v>7</v>
      </c>
      <c r="E35" s="8" t="s">
        <v>342</v>
      </c>
      <c r="F35" s="8">
        <v>30</v>
      </c>
      <c r="G35" s="22">
        <v>570</v>
      </c>
      <c r="H35" s="22">
        <v>240</v>
      </c>
    </row>
    <row r="36" spans="1:8" x14ac:dyDescent="0.25">
      <c r="A36" s="75">
        <v>40553</v>
      </c>
      <c r="B36" s="8" t="s">
        <v>317</v>
      </c>
      <c r="C36" s="8" t="s">
        <v>310</v>
      </c>
      <c r="D36" s="8" t="s">
        <v>3</v>
      </c>
      <c r="E36" s="8" t="s">
        <v>341</v>
      </c>
      <c r="F36" s="8">
        <v>47</v>
      </c>
      <c r="G36" s="22">
        <v>987</v>
      </c>
      <c r="H36" s="22">
        <v>434.75</v>
      </c>
    </row>
    <row r="37" spans="1:8" x14ac:dyDescent="0.25">
      <c r="A37" s="75">
        <v>40553</v>
      </c>
      <c r="B37" s="8" t="s">
        <v>319</v>
      </c>
      <c r="C37" s="8" t="s">
        <v>309</v>
      </c>
      <c r="D37" s="8" t="s">
        <v>132</v>
      </c>
      <c r="E37" s="8" t="s">
        <v>313</v>
      </c>
      <c r="F37" s="8">
        <v>65</v>
      </c>
      <c r="G37" s="22">
        <v>1755</v>
      </c>
      <c r="H37" s="22">
        <v>942.5</v>
      </c>
    </row>
    <row r="38" spans="1:8" x14ac:dyDescent="0.25">
      <c r="A38" s="75">
        <v>40554</v>
      </c>
      <c r="B38" s="8" t="s">
        <v>319</v>
      </c>
      <c r="C38" s="8" t="s">
        <v>307</v>
      </c>
      <c r="D38" s="8" t="s">
        <v>312</v>
      </c>
      <c r="E38" s="8" t="s">
        <v>336</v>
      </c>
      <c r="F38" s="8">
        <v>14</v>
      </c>
      <c r="G38" s="22">
        <v>378</v>
      </c>
      <c r="H38" s="22">
        <v>203</v>
      </c>
    </row>
    <row r="39" spans="1:8" x14ac:dyDescent="0.25">
      <c r="A39" s="75">
        <v>40554</v>
      </c>
      <c r="B39" s="8" t="s">
        <v>319</v>
      </c>
      <c r="C39" s="8" t="s">
        <v>307</v>
      </c>
      <c r="D39" s="8" t="s">
        <v>132</v>
      </c>
      <c r="E39" s="8" t="s">
        <v>344</v>
      </c>
      <c r="F39" s="8">
        <v>49</v>
      </c>
      <c r="G39" s="22">
        <v>1323</v>
      </c>
      <c r="H39" s="22">
        <v>710.5</v>
      </c>
    </row>
    <row r="40" spans="1:8" x14ac:dyDescent="0.25">
      <c r="A40" s="75">
        <v>40555</v>
      </c>
      <c r="B40" s="8" t="s">
        <v>317</v>
      </c>
      <c r="C40" s="8" t="s">
        <v>308</v>
      </c>
      <c r="D40" s="8" t="s">
        <v>328</v>
      </c>
      <c r="E40" s="8" t="s">
        <v>336</v>
      </c>
      <c r="F40" s="8">
        <v>19</v>
      </c>
      <c r="G40" s="22">
        <v>399</v>
      </c>
      <c r="H40" s="22">
        <v>175.75</v>
      </c>
    </row>
    <row r="41" spans="1:8" x14ac:dyDescent="0.25">
      <c r="A41" s="75">
        <v>40555</v>
      </c>
      <c r="B41" s="8" t="s">
        <v>321</v>
      </c>
      <c r="C41" s="8" t="s">
        <v>310</v>
      </c>
      <c r="D41" s="8" t="s">
        <v>7</v>
      </c>
      <c r="E41" s="8" t="s">
        <v>338</v>
      </c>
      <c r="F41" s="8">
        <v>7</v>
      </c>
      <c r="G41" s="22">
        <v>154</v>
      </c>
      <c r="H41" s="22">
        <v>70</v>
      </c>
    </row>
    <row r="42" spans="1:8" x14ac:dyDescent="0.25">
      <c r="A42" s="75">
        <v>40556</v>
      </c>
      <c r="B42" s="8" t="s">
        <v>321</v>
      </c>
      <c r="C42" s="8" t="s">
        <v>308</v>
      </c>
      <c r="D42" s="8" t="s">
        <v>136</v>
      </c>
      <c r="E42" s="8" t="s">
        <v>343</v>
      </c>
      <c r="F42" s="8">
        <v>57</v>
      </c>
      <c r="G42" s="22">
        <v>1254</v>
      </c>
      <c r="H42" s="22">
        <v>570</v>
      </c>
    </row>
    <row r="43" spans="1:8" x14ac:dyDescent="0.25">
      <c r="A43" s="75">
        <v>40556</v>
      </c>
      <c r="B43" s="8" t="s">
        <v>311</v>
      </c>
      <c r="C43" s="8" t="s">
        <v>308</v>
      </c>
      <c r="D43" s="8" t="s">
        <v>136</v>
      </c>
      <c r="E43" s="8" t="s">
        <v>329</v>
      </c>
      <c r="F43" s="8">
        <v>33</v>
      </c>
      <c r="G43" s="22">
        <v>627</v>
      </c>
      <c r="H43" s="22">
        <v>264</v>
      </c>
    </row>
    <row r="44" spans="1:8" x14ac:dyDescent="0.25">
      <c r="A44" s="75">
        <v>40556</v>
      </c>
      <c r="B44" s="8" t="s">
        <v>321</v>
      </c>
      <c r="C44" s="8" t="s">
        <v>308</v>
      </c>
      <c r="D44" s="8" t="s">
        <v>136</v>
      </c>
      <c r="E44" s="8" t="s">
        <v>329</v>
      </c>
      <c r="F44" s="8">
        <v>40</v>
      </c>
      <c r="G44" s="22">
        <v>880</v>
      </c>
      <c r="H44" s="22">
        <v>400</v>
      </c>
    </row>
    <row r="45" spans="1:8" x14ac:dyDescent="0.25">
      <c r="A45" s="75">
        <v>40556</v>
      </c>
      <c r="B45" s="8" t="s">
        <v>315</v>
      </c>
      <c r="C45" s="8" t="s">
        <v>310</v>
      </c>
      <c r="D45" s="8" t="s">
        <v>132</v>
      </c>
      <c r="E45" s="8" t="s">
        <v>324</v>
      </c>
      <c r="F45" s="8">
        <v>52</v>
      </c>
      <c r="G45" s="22">
        <v>1196</v>
      </c>
      <c r="H45" s="22">
        <v>572</v>
      </c>
    </row>
    <row r="46" spans="1:8" x14ac:dyDescent="0.25">
      <c r="A46" s="75">
        <v>40557</v>
      </c>
      <c r="B46" s="8" t="s">
        <v>315</v>
      </c>
      <c r="C46" s="8" t="s">
        <v>307</v>
      </c>
      <c r="D46" s="8" t="s">
        <v>312</v>
      </c>
      <c r="E46" s="8" t="s">
        <v>316</v>
      </c>
      <c r="F46" s="8">
        <v>34</v>
      </c>
      <c r="G46" s="22">
        <v>782</v>
      </c>
      <c r="H46" s="22">
        <v>374</v>
      </c>
    </row>
    <row r="47" spans="1:8" x14ac:dyDescent="0.25">
      <c r="A47" s="75">
        <v>40558</v>
      </c>
      <c r="B47" s="8" t="s">
        <v>317</v>
      </c>
      <c r="C47" s="8" t="s">
        <v>307</v>
      </c>
      <c r="D47" s="8" t="s">
        <v>328</v>
      </c>
      <c r="E47" s="8" t="s">
        <v>330</v>
      </c>
      <c r="F47" s="8">
        <v>63</v>
      </c>
      <c r="G47" s="22">
        <v>1323</v>
      </c>
      <c r="H47" s="22">
        <v>582.75</v>
      </c>
    </row>
    <row r="48" spans="1:8" x14ac:dyDescent="0.25">
      <c r="A48" s="75">
        <v>40558</v>
      </c>
      <c r="B48" s="8" t="s">
        <v>311</v>
      </c>
      <c r="C48" s="8" t="s">
        <v>308</v>
      </c>
      <c r="D48" s="8" t="s">
        <v>7</v>
      </c>
      <c r="E48" s="8" t="s">
        <v>432</v>
      </c>
      <c r="F48" s="8">
        <v>11</v>
      </c>
      <c r="G48" s="22">
        <v>209</v>
      </c>
      <c r="H48" s="22">
        <v>88</v>
      </c>
    </row>
    <row r="49" spans="1:8" x14ac:dyDescent="0.25">
      <c r="A49" s="75">
        <v>40559</v>
      </c>
      <c r="B49" s="8" t="s">
        <v>321</v>
      </c>
      <c r="C49" s="8" t="s">
        <v>308</v>
      </c>
      <c r="D49" s="8" t="s">
        <v>3</v>
      </c>
      <c r="E49" s="8" t="s">
        <v>432</v>
      </c>
      <c r="F49" s="8">
        <v>56</v>
      </c>
      <c r="G49" s="22">
        <v>1232</v>
      </c>
      <c r="H49" s="22">
        <v>560</v>
      </c>
    </row>
    <row r="50" spans="1:8" x14ac:dyDescent="0.25">
      <c r="A50" s="75">
        <v>40559</v>
      </c>
      <c r="B50" s="8" t="s">
        <v>315</v>
      </c>
      <c r="C50" s="8" t="s">
        <v>310</v>
      </c>
      <c r="D50" s="8" t="s">
        <v>132</v>
      </c>
      <c r="E50" s="8" t="s">
        <v>333</v>
      </c>
      <c r="F50" s="8">
        <v>31</v>
      </c>
      <c r="G50" s="22">
        <v>713</v>
      </c>
      <c r="H50" s="22">
        <v>341</v>
      </c>
    </row>
    <row r="51" spans="1:8" x14ac:dyDescent="0.25">
      <c r="A51" s="75">
        <v>40560</v>
      </c>
      <c r="B51" s="8" t="s">
        <v>319</v>
      </c>
      <c r="C51" s="8" t="s">
        <v>307</v>
      </c>
      <c r="D51" s="8" t="s">
        <v>312</v>
      </c>
      <c r="E51" s="8" t="s">
        <v>335</v>
      </c>
      <c r="F51" s="8">
        <v>62</v>
      </c>
      <c r="G51" s="22">
        <v>1674</v>
      </c>
      <c r="H51" s="22">
        <v>899</v>
      </c>
    </row>
    <row r="52" spans="1:8" x14ac:dyDescent="0.25">
      <c r="A52" s="75">
        <v>40560</v>
      </c>
      <c r="B52" s="8" t="s">
        <v>319</v>
      </c>
      <c r="C52" s="8" t="s">
        <v>307</v>
      </c>
      <c r="D52" s="8" t="s">
        <v>328</v>
      </c>
      <c r="E52" s="8" t="s">
        <v>331</v>
      </c>
      <c r="F52" s="8">
        <v>43</v>
      </c>
      <c r="G52" s="22">
        <v>1161</v>
      </c>
      <c r="H52" s="22">
        <v>623.5</v>
      </c>
    </row>
    <row r="53" spans="1:8" x14ac:dyDescent="0.25">
      <c r="A53" s="75">
        <v>40560</v>
      </c>
      <c r="B53" s="8" t="s">
        <v>315</v>
      </c>
      <c r="C53" s="8" t="s">
        <v>307</v>
      </c>
      <c r="D53" s="8" t="s">
        <v>3</v>
      </c>
      <c r="E53" s="8" t="s">
        <v>339</v>
      </c>
      <c r="F53" s="8">
        <v>39</v>
      </c>
      <c r="G53" s="22">
        <v>897</v>
      </c>
      <c r="H53" s="22">
        <v>429</v>
      </c>
    </row>
    <row r="54" spans="1:8" x14ac:dyDescent="0.25">
      <c r="A54" s="75">
        <v>40560</v>
      </c>
      <c r="B54" s="8" t="s">
        <v>319</v>
      </c>
      <c r="C54" s="8" t="s">
        <v>308</v>
      </c>
      <c r="D54" s="8" t="s">
        <v>7</v>
      </c>
      <c r="E54" s="8" t="s">
        <v>325</v>
      </c>
      <c r="F54" s="8">
        <v>61</v>
      </c>
      <c r="G54" s="22">
        <v>1647</v>
      </c>
      <c r="H54" s="22">
        <v>884.5</v>
      </c>
    </row>
    <row r="55" spans="1:8" x14ac:dyDescent="0.25">
      <c r="A55" s="75">
        <v>40560</v>
      </c>
      <c r="B55" s="8" t="s">
        <v>311</v>
      </c>
      <c r="C55" s="8" t="s">
        <v>308</v>
      </c>
      <c r="D55" s="8" t="s">
        <v>312</v>
      </c>
      <c r="E55" s="8" t="s">
        <v>428</v>
      </c>
      <c r="F55" s="8">
        <v>59</v>
      </c>
      <c r="G55" s="22">
        <v>1121</v>
      </c>
      <c r="H55" s="22">
        <v>472</v>
      </c>
    </row>
    <row r="56" spans="1:8" x14ac:dyDescent="0.25">
      <c r="A56" s="75">
        <v>40560</v>
      </c>
      <c r="B56" s="8" t="s">
        <v>321</v>
      </c>
      <c r="C56" s="8" t="s">
        <v>308</v>
      </c>
      <c r="D56" s="8" t="s">
        <v>132</v>
      </c>
      <c r="E56" s="8" t="s">
        <v>339</v>
      </c>
      <c r="F56" s="8">
        <v>16</v>
      </c>
      <c r="G56" s="22">
        <v>352</v>
      </c>
      <c r="H56" s="22">
        <v>160</v>
      </c>
    </row>
    <row r="57" spans="1:8" x14ac:dyDescent="0.25">
      <c r="A57" s="75">
        <v>40560</v>
      </c>
      <c r="B57" s="8" t="s">
        <v>319</v>
      </c>
      <c r="C57" s="8" t="s">
        <v>309</v>
      </c>
      <c r="D57" s="8" t="s">
        <v>7</v>
      </c>
      <c r="E57" s="8" t="s">
        <v>339</v>
      </c>
      <c r="F57" s="8">
        <v>10</v>
      </c>
      <c r="G57" s="22">
        <v>270</v>
      </c>
      <c r="H57" s="22">
        <v>145</v>
      </c>
    </row>
    <row r="58" spans="1:8" x14ac:dyDescent="0.25">
      <c r="A58" s="75">
        <v>40561</v>
      </c>
      <c r="B58" s="8" t="s">
        <v>311</v>
      </c>
      <c r="C58" s="8" t="s">
        <v>307</v>
      </c>
      <c r="D58" s="8" t="s">
        <v>312</v>
      </c>
      <c r="E58" s="8" t="s">
        <v>337</v>
      </c>
      <c r="F58" s="8">
        <v>24</v>
      </c>
      <c r="G58" s="22">
        <v>456</v>
      </c>
      <c r="H58" s="22">
        <v>192</v>
      </c>
    </row>
    <row r="59" spans="1:8" x14ac:dyDescent="0.25">
      <c r="A59" s="75">
        <v>40561</v>
      </c>
      <c r="B59" s="8" t="s">
        <v>321</v>
      </c>
      <c r="C59" s="8" t="s">
        <v>307</v>
      </c>
      <c r="D59" s="8" t="s">
        <v>312</v>
      </c>
      <c r="E59" s="8" t="s">
        <v>345</v>
      </c>
      <c r="F59" s="8">
        <v>20</v>
      </c>
      <c r="G59" s="22">
        <v>440</v>
      </c>
      <c r="H59" s="22">
        <v>200</v>
      </c>
    </row>
    <row r="60" spans="1:8" x14ac:dyDescent="0.25">
      <c r="A60" s="75">
        <v>40561</v>
      </c>
      <c r="B60" s="8" t="s">
        <v>317</v>
      </c>
      <c r="C60" s="8" t="s">
        <v>307</v>
      </c>
      <c r="D60" s="8" t="s">
        <v>328</v>
      </c>
      <c r="E60" s="8" t="s">
        <v>314</v>
      </c>
      <c r="F60" s="8">
        <v>12</v>
      </c>
      <c r="G60" s="22">
        <v>252</v>
      </c>
      <c r="H60" s="22">
        <v>111</v>
      </c>
    </row>
    <row r="61" spans="1:8" x14ac:dyDescent="0.25">
      <c r="A61" s="75">
        <v>40561</v>
      </c>
      <c r="B61" s="8" t="s">
        <v>321</v>
      </c>
      <c r="C61" s="8" t="s">
        <v>307</v>
      </c>
      <c r="D61" s="8" t="s">
        <v>136</v>
      </c>
      <c r="E61" s="8" t="s">
        <v>334</v>
      </c>
      <c r="F61" s="8">
        <v>59</v>
      </c>
      <c r="G61" s="22">
        <v>1298</v>
      </c>
      <c r="H61" s="22">
        <v>590</v>
      </c>
    </row>
    <row r="62" spans="1:8" x14ac:dyDescent="0.25">
      <c r="A62" s="75">
        <v>40561</v>
      </c>
      <c r="B62" s="8" t="s">
        <v>311</v>
      </c>
      <c r="C62" s="8" t="s">
        <v>308</v>
      </c>
      <c r="D62" s="8" t="s">
        <v>7</v>
      </c>
      <c r="E62" s="8" t="s">
        <v>339</v>
      </c>
      <c r="F62" s="8">
        <v>62</v>
      </c>
      <c r="G62" s="22">
        <v>1178</v>
      </c>
      <c r="H62" s="22">
        <v>496</v>
      </c>
    </row>
    <row r="63" spans="1:8" x14ac:dyDescent="0.25">
      <c r="A63" s="75">
        <v>40561</v>
      </c>
      <c r="B63" s="8" t="s">
        <v>319</v>
      </c>
      <c r="C63" s="8" t="s">
        <v>308</v>
      </c>
      <c r="D63" s="8" t="s">
        <v>132</v>
      </c>
      <c r="E63" s="8" t="s">
        <v>343</v>
      </c>
      <c r="F63" s="8">
        <v>17</v>
      </c>
      <c r="G63" s="22">
        <v>459</v>
      </c>
      <c r="H63" s="22">
        <v>246.5</v>
      </c>
    </row>
    <row r="64" spans="1:8" x14ac:dyDescent="0.25">
      <c r="A64" s="75">
        <v>40561</v>
      </c>
      <c r="B64" s="8" t="s">
        <v>315</v>
      </c>
      <c r="C64" s="8" t="s">
        <v>310</v>
      </c>
      <c r="D64" s="8" t="s">
        <v>132</v>
      </c>
      <c r="E64" s="8" t="s">
        <v>432</v>
      </c>
      <c r="F64" s="8">
        <v>53</v>
      </c>
      <c r="G64" s="22">
        <v>1219</v>
      </c>
      <c r="H64" s="22">
        <v>583</v>
      </c>
    </row>
    <row r="65" spans="1:8" x14ac:dyDescent="0.25">
      <c r="A65" s="75">
        <v>40561</v>
      </c>
      <c r="B65" s="8" t="s">
        <v>311</v>
      </c>
      <c r="C65" s="8" t="s">
        <v>309</v>
      </c>
      <c r="D65" s="8" t="s">
        <v>3</v>
      </c>
      <c r="E65" s="8" t="s">
        <v>330</v>
      </c>
      <c r="F65" s="8">
        <v>8</v>
      </c>
      <c r="G65" s="22">
        <v>152</v>
      </c>
      <c r="H65" s="22">
        <v>64</v>
      </c>
    </row>
    <row r="66" spans="1:8" x14ac:dyDescent="0.25">
      <c r="A66" s="75">
        <v>40562</v>
      </c>
      <c r="B66" s="8" t="s">
        <v>321</v>
      </c>
      <c r="C66" s="8" t="s">
        <v>310</v>
      </c>
      <c r="D66" s="8" t="s">
        <v>3</v>
      </c>
      <c r="E66" s="8" t="s">
        <v>326</v>
      </c>
      <c r="F66" s="8">
        <v>35</v>
      </c>
      <c r="G66" s="22">
        <v>770</v>
      </c>
      <c r="H66" s="22">
        <v>350</v>
      </c>
    </row>
    <row r="67" spans="1:8" x14ac:dyDescent="0.25">
      <c r="A67" s="75">
        <v>40563</v>
      </c>
      <c r="B67" s="8" t="s">
        <v>315</v>
      </c>
      <c r="C67" s="8" t="s">
        <v>307</v>
      </c>
      <c r="D67" s="8" t="s">
        <v>7</v>
      </c>
      <c r="E67" s="8" t="s">
        <v>323</v>
      </c>
      <c r="F67" s="8">
        <v>59</v>
      </c>
      <c r="G67" s="22">
        <v>1357</v>
      </c>
      <c r="H67" s="22">
        <v>649</v>
      </c>
    </row>
    <row r="68" spans="1:8" x14ac:dyDescent="0.25">
      <c r="A68" s="75">
        <v>40563</v>
      </c>
      <c r="B68" s="8" t="s">
        <v>321</v>
      </c>
      <c r="C68" s="8" t="s">
        <v>307</v>
      </c>
      <c r="D68" s="8" t="s">
        <v>328</v>
      </c>
      <c r="E68" s="8" t="s">
        <v>329</v>
      </c>
      <c r="F68" s="8">
        <v>10</v>
      </c>
      <c r="G68" s="22">
        <v>220</v>
      </c>
      <c r="H68" s="22">
        <v>100</v>
      </c>
    </row>
    <row r="69" spans="1:8" x14ac:dyDescent="0.25">
      <c r="A69" s="75">
        <v>40563</v>
      </c>
      <c r="B69" s="8" t="s">
        <v>311</v>
      </c>
      <c r="C69" s="8" t="s">
        <v>309</v>
      </c>
      <c r="D69" s="8" t="s">
        <v>3</v>
      </c>
      <c r="E69" s="8" t="s">
        <v>432</v>
      </c>
      <c r="F69" s="8">
        <v>58</v>
      </c>
      <c r="G69" s="22">
        <v>1102</v>
      </c>
      <c r="H69" s="22">
        <v>464</v>
      </c>
    </row>
    <row r="70" spans="1:8" x14ac:dyDescent="0.25">
      <c r="A70" s="75">
        <v>40564</v>
      </c>
      <c r="B70" s="8" t="s">
        <v>319</v>
      </c>
      <c r="C70" s="8" t="s">
        <v>307</v>
      </c>
      <c r="D70" s="8" t="s">
        <v>7</v>
      </c>
      <c r="E70" s="8" t="s">
        <v>324</v>
      </c>
      <c r="F70" s="8">
        <v>58</v>
      </c>
      <c r="G70" s="22">
        <v>1566</v>
      </c>
      <c r="H70" s="22">
        <v>841</v>
      </c>
    </row>
    <row r="71" spans="1:8" x14ac:dyDescent="0.25">
      <c r="A71" s="75">
        <v>40564</v>
      </c>
      <c r="B71" s="8" t="s">
        <v>311</v>
      </c>
      <c r="C71" s="8" t="s">
        <v>308</v>
      </c>
      <c r="D71" s="8" t="s">
        <v>136</v>
      </c>
      <c r="E71" s="8" t="s">
        <v>334</v>
      </c>
      <c r="F71" s="8">
        <v>23</v>
      </c>
      <c r="G71" s="22">
        <v>437</v>
      </c>
      <c r="H71" s="22">
        <v>184</v>
      </c>
    </row>
    <row r="72" spans="1:8" x14ac:dyDescent="0.25">
      <c r="A72" s="75">
        <v>40564</v>
      </c>
      <c r="B72" s="8" t="s">
        <v>311</v>
      </c>
      <c r="C72" s="8" t="s">
        <v>308</v>
      </c>
      <c r="D72" s="8" t="s">
        <v>132</v>
      </c>
      <c r="E72" s="8" t="s">
        <v>333</v>
      </c>
      <c r="F72" s="8">
        <v>64</v>
      </c>
      <c r="G72" s="22">
        <v>1216</v>
      </c>
      <c r="H72" s="22">
        <v>512</v>
      </c>
    </row>
    <row r="73" spans="1:8" x14ac:dyDescent="0.25">
      <c r="A73" s="75">
        <v>40564</v>
      </c>
      <c r="B73" s="8" t="s">
        <v>317</v>
      </c>
      <c r="C73" s="8" t="s">
        <v>310</v>
      </c>
      <c r="D73" s="8" t="s">
        <v>136</v>
      </c>
      <c r="E73" s="8" t="s">
        <v>428</v>
      </c>
      <c r="F73" s="8">
        <v>13</v>
      </c>
      <c r="G73" s="22">
        <v>273</v>
      </c>
      <c r="H73" s="22">
        <v>120.25</v>
      </c>
    </row>
    <row r="74" spans="1:8" x14ac:dyDescent="0.25">
      <c r="A74" s="75">
        <v>40564</v>
      </c>
      <c r="B74" s="8" t="s">
        <v>321</v>
      </c>
      <c r="C74" s="8" t="s">
        <v>310</v>
      </c>
      <c r="D74" s="8" t="s">
        <v>132</v>
      </c>
      <c r="E74" s="8" t="s">
        <v>342</v>
      </c>
      <c r="F74" s="8">
        <v>11</v>
      </c>
      <c r="G74" s="22">
        <v>242</v>
      </c>
      <c r="H74" s="22">
        <v>110</v>
      </c>
    </row>
    <row r="75" spans="1:8" x14ac:dyDescent="0.25">
      <c r="A75" s="75">
        <v>40564</v>
      </c>
      <c r="B75" s="8" t="s">
        <v>319</v>
      </c>
      <c r="C75" s="8" t="s">
        <v>309</v>
      </c>
      <c r="D75" s="8" t="s">
        <v>328</v>
      </c>
      <c r="E75" s="8" t="s">
        <v>336</v>
      </c>
      <c r="F75" s="8">
        <v>56</v>
      </c>
      <c r="G75" s="22">
        <v>1512</v>
      </c>
      <c r="H75" s="22">
        <v>812</v>
      </c>
    </row>
    <row r="76" spans="1:8" x14ac:dyDescent="0.25">
      <c r="A76" s="75">
        <v>40565</v>
      </c>
      <c r="B76" s="8" t="s">
        <v>319</v>
      </c>
      <c r="C76" s="8" t="s">
        <v>310</v>
      </c>
      <c r="D76" s="8" t="s">
        <v>312</v>
      </c>
      <c r="E76" s="8" t="s">
        <v>324</v>
      </c>
      <c r="F76" s="8">
        <v>29</v>
      </c>
      <c r="G76" s="22">
        <v>783</v>
      </c>
      <c r="H76" s="22">
        <v>420.5</v>
      </c>
    </row>
    <row r="77" spans="1:8" x14ac:dyDescent="0.25">
      <c r="A77" s="75">
        <v>40565</v>
      </c>
      <c r="B77" s="8" t="s">
        <v>315</v>
      </c>
      <c r="C77" s="8" t="s">
        <v>310</v>
      </c>
      <c r="D77" s="8" t="s">
        <v>132</v>
      </c>
      <c r="E77" s="8" t="s">
        <v>313</v>
      </c>
      <c r="F77" s="8">
        <v>29</v>
      </c>
      <c r="G77" s="22">
        <v>667</v>
      </c>
      <c r="H77" s="22">
        <v>319</v>
      </c>
    </row>
    <row r="78" spans="1:8" x14ac:dyDescent="0.25">
      <c r="A78" s="75">
        <v>40565</v>
      </c>
      <c r="B78" s="8" t="s">
        <v>321</v>
      </c>
      <c r="C78" s="8" t="s">
        <v>309</v>
      </c>
      <c r="D78" s="8" t="s">
        <v>136</v>
      </c>
      <c r="E78" s="8" t="s">
        <v>330</v>
      </c>
      <c r="F78" s="8">
        <v>53</v>
      </c>
      <c r="G78" s="22">
        <v>1166</v>
      </c>
      <c r="H78" s="22">
        <v>530</v>
      </c>
    </row>
    <row r="79" spans="1:8" x14ac:dyDescent="0.25">
      <c r="A79" s="75">
        <v>40565</v>
      </c>
      <c r="B79" s="8" t="s">
        <v>321</v>
      </c>
      <c r="C79" s="8" t="s">
        <v>309</v>
      </c>
      <c r="D79" s="8" t="s">
        <v>3</v>
      </c>
      <c r="E79" s="8" t="s">
        <v>432</v>
      </c>
      <c r="F79" s="8">
        <v>35</v>
      </c>
      <c r="G79" s="22">
        <v>770</v>
      </c>
      <c r="H79" s="22">
        <v>350</v>
      </c>
    </row>
    <row r="80" spans="1:8" x14ac:dyDescent="0.25">
      <c r="A80" s="75">
        <v>40565</v>
      </c>
      <c r="B80" s="8" t="s">
        <v>321</v>
      </c>
      <c r="C80" s="8" t="s">
        <v>309</v>
      </c>
      <c r="D80" s="8" t="s">
        <v>132</v>
      </c>
      <c r="E80" s="8" t="s">
        <v>338</v>
      </c>
      <c r="F80" s="8">
        <v>6</v>
      </c>
      <c r="G80" s="22">
        <v>132</v>
      </c>
      <c r="H80" s="22">
        <v>60</v>
      </c>
    </row>
    <row r="81" spans="1:8" x14ac:dyDescent="0.25">
      <c r="A81" s="75">
        <v>40566</v>
      </c>
      <c r="B81" s="8" t="s">
        <v>319</v>
      </c>
      <c r="C81" s="8" t="s">
        <v>307</v>
      </c>
      <c r="D81" s="8" t="s">
        <v>312</v>
      </c>
      <c r="E81" s="8" t="s">
        <v>339</v>
      </c>
      <c r="F81" s="8">
        <v>44</v>
      </c>
      <c r="G81" s="22">
        <v>1188</v>
      </c>
      <c r="H81" s="22">
        <v>638</v>
      </c>
    </row>
    <row r="82" spans="1:8" x14ac:dyDescent="0.25">
      <c r="A82" s="75">
        <v>40566</v>
      </c>
      <c r="B82" s="8" t="s">
        <v>321</v>
      </c>
      <c r="C82" s="8" t="s">
        <v>307</v>
      </c>
      <c r="D82" s="8" t="s">
        <v>328</v>
      </c>
      <c r="E82" s="8" t="s">
        <v>345</v>
      </c>
      <c r="F82" s="8">
        <v>9</v>
      </c>
      <c r="G82" s="22">
        <v>198</v>
      </c>
      <c r="H82" s="22">
        <v>90</v>
      </c>
    </row>
    <row r="83" spans="1:8" x14ac:dyDescent="0.25">
      <c r="A83" s="75">
        <v>40566</v>
      </c>
      <c r="B83" s="8" t="s">
        <v>319</v>
      </c>
      <c r="C83" s="8" t="s">
        <v>307</v>
      </c>
      <c r="D83" s="8" t="s">
        <v>136</v>
      </c>
      <c r="E83" s="8" t="s">
        <v>338</v>
      </c>
      <c r="F83" s="8">
        <v>22</v>
      </c>
      <c r="G83" s="22">
        <v>594</v>
      </c>
      <c r="H83" s="22">
        <v>319</v>
      </c>
    </row>
    <row r="84" spans="1:8" x14ac:dyDescent="0.25">
      <c r="A84" s="75">
        <v>40566</v>
      </c>
      <c r="B84" s="8" t="s">
        <v>311</v>
      </c>
      <c r="C84" s="8" t="s">
        <v>310</v>
      </c>
      <c r="D84" s="8" t="s">
        <v>7</v>
      </c>
      <c r="E84" s="8" t="s">
        <v>326</v>
      </c>
      <c r="F84" s="8">
        <v>49</v>
      </c>
      <c r="G84" s="22">
        <v>931</v>
      </c>
      <c r="H84" s="22">
        <v>392</v>
      </c>
    </row>
    <row r="85" spans="1:8" x14ac:dyDescent="0.25">
      <c r="A85" s="75">
        <v>40567</v>
      </c>
      <c r="B85" s="8" t="s">
        <v>315</v>
      </c>
      <c r="C85" s="8" t="s">
        <v>308</v>
      </c>
      <c r="D85" s="8" t="s">
        <v>312</v>
      </c>
      <c r="E85" s="8" t="s">
        <v>344</v>
      </c>
      <c r="F85" s="8">
        <v>13</v>
      </c>
      <c r="G85" s="22">
        <v>299</v>
      </c>
      <c r="H85" s="22">
        <v>143</v>
      </c>
    </row>
    <row r="86" spans="1:8" x14ac:dyDescent="0.25">
      <c r="A86" s="75">
        <v>40567</v>
      </c>
      <c r="B86" s="8" t="s">
        <v>319</v>
      </c>
      <c r="C86" s="8" t="s">
        <v>309</v>
      </c>
      <c r="D86" s="8" t="s">
        <v>328</v>
      </c>
      <c r="E86" s="8" t="s">
        <v>335</v>
      </c>
      <c r="F86" s="8">
        <v>63</v>
      </c>
      <c r="G86" s="22">
        <v>1701</v>
      </c>
      <c r="H86" s="22">
        <v>913.5</v>
      </c>
    </row>
    <row r="87" spans="1:8" x14ac:dyDescent="0.25">
      <c r="A87" s="75">
        <v>40568</v>
      </c>
      <c r="B87" s="8" t="s">
        <v>311</v>
      </c>
      <c r="C87" s="8" t="s">
        <v>308</v>
      </c>
      <c r="D87" s="8" t="s">
        <v>312</v>
      </c>
      <c r="E87" s="8" t="s">
        <v>316</v>
      </c>
      <c r="F87" s="8">
        <v>21</v>
      </c>
      <c r="G87" s="22">
        <v>399</v>
      </c>
      <c r="H87" s="22">
        <v>168</v>
      </c>
    </row>
    <row r="88" spans="1:8" x14ac:dyDescent="0.25">
      <c r="A88" s="75">
        <v>40569</v>
      </c>
      <c r="B88" s="8" t="s">
        <v>321</v>
      </c>
      <c r="C88" s="8" t="s">
        <v>307</v>
      </c>
      <c r="D88" s="8" t="s">
        <v>7</v>
      </c>
      <c r="E88" s="8" t="s">
        <v>347</v>
      </c>
      <c r="F88" s="8">
        <v>17</v>
      </c>
      <c r="G88" s="22">
        <v>374</v>
      </c>
      <c r="H88" s="22">
        <v>170</v>
      </c>
    </row>
    <row r="89" spans="1:8" x14ac:dyDescent="0.25">
      <c r="A89" s="75">
        <v>40569</v>
      </c>
      <c r="B89" s="8" t="s">
        <v>321</v>
      </c>
      <c r="C89" s="8" t="s">
        <v>308</v>
      </c>
      <c r="D89" s="8" t="s">
        <v>328</v>
      </c>
      <c r="E89" s="8" t="s">
        <v>329</v>
      </c>
      <c r="F89" s="8">
        <v>21</v>
      </c>
      <c r="G89" s="22">
        <v>462</v>
      </c>
      <c r="H89" s="22">
        <v>210</v>
      </c>
    </row>
    <row r="90" spans="1:8" x14ac:dyDescent="0.25">
      <c r="A90" s="75">
        <v>40569</v>
      </c>
      <c r="B90" s="8" t="s">
        <v>317</v>
      </c>
      <c r="C90" s="8" t="s">
        <v>310</v>
      </c>
      <c r="D90" s="8" t="s">
        <v>3</v>
      </c>
      <c r="E90" s="8" t="s">
        <v>345</v>
      </c>
      <c r="F90" s="8">
        <v>44</v>
      </c>
      <c r="G90" s="22">
        <v>924</v>
      </c>
      <c r="H90" s="22">
        <v>407</v>
      </c>
    </row>
    <row r="91" spans="1:8" x14ac:dyDescent="0.25">
      <c r="A91" s="75">
        <v>40569</v>
      </c>
      <c r="B91" s="8" t="s">
        <v>321</v>
      </c>
      <c r="C91" s="8" t="s">
        <v>309</v>
      </c>
      <c r="D91" s="8" t="s">
        <v>136</v>
      </c>
      <c r="E91" s="8" t="s">
        <v>318</v>
      </c>
      <c r="F91" s="8">
        <v>61</v>
      </c>
      <c r="G91" s="22">
        <v>5000</v>
      </c>
      <c r="H91" s="22">
        <v>610</v>
      </c>
    </row>
    <row r="92" spans="1:8" x14ac:dyDescent="0.25">
      <c r="A92" s="75">
        <v>40570</v>
      </c>
      <c r="B92" s="8" t="s">
        <v>315</v>
      </c>
      <c r="C92" s="8" t="s">
        <v>309</v>
      </c>
      <c r="D92" s="8" t="s">
        <v>328</v>
      </c>
      <c r="E92" s="8" t="s">
        <v>333</v>
      </c>
      <c r="F92" s="8">
        <v>10</v>
      </c>
      <c r="G92" s="22">
        <v>230</v>
      </c>
      <c r="H92" s="22">
        <v>110</v>
      </c>
    </row>
    <row r="93" spans="1:8" x14ac:dyDescent="0.25">
      <c r="A93" s="75">
        <v>40571</v>
      </c>
      <c r="B93" s="8" t="s">
        <v>317</v>
      </c>
      <c r="C93" s="8" t="s">
        <v>307</v>
      </c>
      <c r="D93" s="8" t="s">
        <v>132</v>
      </c>
      <c r="E93" s="8" t="s">
        <v>340</v>
      </c>
      <c r="F93" s="8">
        <v>36</v>
      </c>
      <c r="G93" s="22">
        <v>756</v>
      </c>
      <c r="H93" s="22">
        <v>333</v>
      </c>
    </row>
    <row r="94" spans="1:8" x14ac:dyDescent="0.25">
      <c r="A94" s="75">
        <v>40571</v>
      </c>
      <c r="B94" s="8" t="s">
        <v>319</v>
      </c>
      <c r="C94" s="8" t="s">
        <v>308</v>
      </c>
      <c r="D94" s="8" t="s">
        <v>132</v>
      </c>
      <c r="E94" s="8" t="s">
        <v>432</v>
      </c>
      <c r="F94" s="8">
        <v>42</v>
      </c>
      <c r="G94" s="22">
        <v>1134</v>
      </c>
      <c r="H94" s="22">
        <v>609</v>
      </c>
    </row>
    <row r="95" spans="1:8" x14ac:dyDescent="0.25">
      <c r="A95" s="75">
        <v>40571</v>
      </c>
      <c r="B95" s="8" t="s">
        <v>315</v>
      </c>
      <c r="C95" s="8" t="s">
        <v>310</v>
      </c>
      <c r="D95" s="8" t="s">
        <v>312</v>
      </c>
      <c r="E95" s="8" t="s">
        <v>314</v>
      </c>
      <c r="F95" s="8">
        <v>46</v>
      </c>
      <c r="G95" s="22">
        <v>1058</v>
      </c>
      <c r="H95" s="22">
        <v>506</v>
      </c>
    </row>
    <row r="96" spans="1:8" x14ac:dyDescent="0.25">
      <c r="A96" s="75">
        <v>40571</v>
      </c>
      <c r="B96" s="8" t="s">
        <v>319</v>
      </c>
      <c r="C96" s="8" t="s">
        <v>310</v>
      </c>
      <c r="D96" s="8" t="s">
        <v>312</v>
      </c>
      <c r="E96" s="8" t="s">
        <v>432</v>
      </c>
      <c r="F96" s="8">
        <v>44</v>
      </c>
      <c r="G96" s="22">
        <v>1188</v>
      </c>
      <c r="H96" s="22">
        <v>638</v>
      </c>
    </row>
    <row r="97" spans="1:8" x14ac:dyDescent="0.25">
      <c r="A97" s="75">
        <v>40571</v>
      </c>
      <c r="B97" s="8" t="s">
        <v>319</v>
      </c>
      <c r="C97" s="8" t="s">
        <v>310</v>
      </c>
      <c r="D97" s="8" t="s">
        <v>328</v>
      </c>
      <c r="E97" s="8" t="s">
        <v>313</v>
      </c>
      <c r="F97" s="8">
        <v>56</v>
      </c>
      <c r="G97" s="22">
        <v>1512</v>
      </c>
      <c r="H97" s="22">
        <v>812</v>
      </c>
    </row>
    <row r="98" spans="1:8" x14ac:dyDescent="0.25">
      <c r="A98" s="75">
        <v>40571</v>
      </c>
      <c r="B98" s="8" t="s">
        <v>321</v>
      </c>
      <c r="C98" s="8" t="s">
        <v>310</v>
      </c>
      <c r="D98" s="8" t="s">
        <v>3</v>
      </c>
      <c r="E98" s="8" t="s">
        <v>333</v>
      </c>
      <c r="F98" s="8">
        <v>25</v>
      </c>
      <c r="G98" s="22">
        <v>550</v>
      </c>
      <c r="H98" s="22">
        <v>250</v>
      </c>
    </row>
    <row r="99" spans="1:8" x14ac:dyDescent="0.25">
      <c r="A99" s="75">
        <v>40571</v>
      </c>
      <c r="B99" s="8" t="s">
        <v>311</v>
      </c>
      <c r="C99" s="8" t="s">
        <v>310</v>
      </c>
      <c r="D99" s="8" t="s">
        <v>132</v>
      </c>
      <c r="E99" s="8" t="s">
        <v>318</v>
      </c>
      <c r="F99" s="8">
        <v>51</v>
      </c>
      <c r="G99" s="22">
        <v>969</v>
      </c>
      <c r="H99" s="22">
        <v>408</v>
      </c>
    </row>
    <row r="100" spans="1:8" x14ac:dyDescent="0.25">
      <c r="A100" s="75">
        <v>40571</v>
      </c>
      <c r="B100" s="8" t="s">
        <v>317</v>
      </c>
      <c r="C100" s="8" t="s">
        <v>309</v>
      </c>
      <c r="D100" s="8" t="s">
        <v>7</v>
      </c>
      <c r="E100" s="8" t="s">
        <v>324</v>
      </c>
      <c r="F100" s="8">
        <v>62</v>
      </c>
      <c r="G100" s="22">
        <v>1302</v>
      </c>
      <c r="H100" s="22">
        <v>573.5</v>
      </c>
    </row>
    <row r="101" spans="1:8" x14ac:dyDescent="0.25">
      <c r="A101" s="75">
        <v>40571</v>
      </c>
      <c r="B101" s="8" t="s">
        <v>315</v>
      </c>
      <c r="C101" s="8" t="s">
        <v>309</v>
      </c>
      <c r="D101" s="8" t="s">
        <v>132</v>
      </c>
      <c r="E101" s="8" t="s">
        <v>327</v>
      </c>
      <c r="F101" s="8">
        <v>15</v>
      </c>
      <c r="G101" s="22">
        <v>345</v>
      </c>
      <c r="H101" s="22">
        <v>165</v>
      </c>
    </row>
    <row r="102" spans="1:8" x14ac:dyDescent="0.25">
      <c r="A102" s="75">
        <v>40572</v>
      </c>
      <c r="B102" s="8" t="s">
        <v>321</v>
      </c>
      <c r="C102" s="8" t="s">
        <v>307</v>
      </c>
      <c r="D102" s="8" t="s">
        <v>7</v>
      </c>
      <c r="E102" s="8" t="s">
        <v>330</v>
      </c>
      <c r="F102" s="8">
        <v>50</v>
      </c>
      <c r="G102" s="22">
        <v>1100</v>
      </c>
      <c r="H102" s="22">
        <v>500</v>
      </c>
    </row>
    <row r="103" spans="1:8" x14ac:dyDescent="0.25">
      <c r="A103" s="75">
        <v>40572</v>
      </c>
      <c r="B103" s="8" t="s">
        <v>319</v>
      </c>
      <c r="C103" s="8" t="s">
        <v>308</v>
      </c>
      <c r="D103" s="8" t="s">
        <v>328</v>
      </c>
      <c r="E103" s="8" t="s">
        <v>343</v>
      </c>
      <c r="F103" s="8">
        <v>10</v>
      </c>
      <c r="G103" s="22">
        <v>270</v>
      </c>
      <c r="H103" s="22">
        <v>145</v>
      </c>
    </row>
    <row r="104" spans="1:8" x14ac:dyDescent="0.25">
      <c r="A104" s="75">
        <v>40573</v>
      </c>
      <c r="B104" s="8" t="s">
        <v>311</v>
      </c>
      <c r="C104" s="8" t="s">
        <v>310</v>
      </c>
      <c r="D104" s="8" t="s">
        <v>3</v>
      </c>
      <c r="E104" s="8" t="s">
        <v>322</v>
      </c>
      <c r="F104" s="8">
        <v>23</v>
      </c>
      <c r="G104" s="22">
        <v>437</v>
      </c>
      <c r="H104" s="22">
        <v>184</v>
      </c>
    </row>
    <row r="105" spans="1:8" x14ac:dyDescent="0.25">
      <c r="A105" s="75">
        <v>40573</v>
      </c>
      <c r="B105" s="8" t="s">
        <v>319</v>
      </c>
      <c r="C105" s="8" t="s">
        <v>310</v>
      </c>
      <c r="D105" s="8" t="s">
        <v>3</v>
      </c>
      <c r="E105" s="8" t="s">
        <v>322</v>
      </c>
      <c r="F105" s="8">
        <v>25</v>
      </c>
      <c r="G105" s="22">
        <v>675</v>
      </c>
      <c r="H105" s="22">
        <v>362.5</v>
      </c>
    </row>
    <row r="106" spans="1:8" x14ac:dyDescent="0.25">
      <c r="A106" s="75">
        <v>40573</v>
      </c>
      <c r="B106" s="8" t="s">
        <v>311</v>
      </c>
      <c r="C106" s="8" t="s">
        <v>309</v>
      </c>
      <c r="D106" s="8" t="s">
        <v>328</v>
      </c>
      <c r="E106" s="8" t="s">
        <v>334</v>
      </c>
      <c r="F106" s="8">
        <v>49</v>
      </c>
      <c r="G106" s="22">
        <v>931</v>
      </c>
      <c r="H106" s="22">
        <v>392</v>
      </c>
    </row>
  </sheetData>
  <sortState xmlns:xlrd2="http://schemas.microsoft.com/office/spreadsheetml/2017/richdata2" ref="A2:H106">
    <sortCondition ref="A2"/>
  </sortState>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86">
    <tabColor rgb="FF0000FF"/>
  </sheetPr>
  <dimension ref="A1:I11"/>
  <sheetViews>
    <sheetView workbookViewId="0">
      <selection activeCell="C8" sqref="C8"/>
    </sheetView>
  </sheetViews>
  <sheetFormatPr defaultRowHeight="15" x14ac:dyDescent="0.25"/>
  <cols>
    <col min="1" max="1" width="22.42578125" bestFit="1" customWidth="1"/>
    <col min="2" max="2" width="10.28515625" customWidth="1"/>
    <col min="3" max="3" width="15.140625" customWidth="1"/>
    <col min="4"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5" t="s">
        <v>982</v>
      </c>
      <c r="E1" s="27"/>
    </row>
    <row r="2" spans="1:9" x14ac:dyDescent="0.25">
      <c r="A2" s="8" t="s">
        <v>986</v>
      </c>
      <c r="C2" s="219"/>
      <c r="I2" s="27"/>
    </row>
    <row r="3" spans="1:9" x14ac:dyDescent="0.25">
      <c r="A3" s="8" t="s">
        <v>985</v>
      </c>
      <c r="C3" s="219"/>
    </row>
    <row r="4" spans="1:9" x14ac:dyDescent="0.25">
      <c r="A4" s="8" t="s">
        <v>989</v>
      </c>
      <c r="C4" s="219"/>
    </row>
    <row r="5" spans="1:9" x14ac:dyDescent="0.25">
      <c r="A5" s="8" t="s">
        <v>988</v>
      </c>
      <c r="C5" s="219"/>
    </row>
    <row r="6" spans="1:9" x14ac:dyDescent="0.25">
      <c r="A6" s="8" t="s">
        <v>990</v>
      </c>
      <c r="C6" s="219"/>
    </row>
    <row r="7" spans="1:9" x14ac:dyDescent="0.25">
      <c r="A7" s="8" t="s">
        <v>983</v>
      </c>
      <c r="C7" s="219"/>
    </row>
    <row r="8" spans="1:9" x14ac:dyDescent="0.25">
      <c r="A8" s="8" t="s">
        <v>984</v>
      </c>
      <c r="C8" s="219"/>
    </row>
    <row r="9" spans="1:9" x14ac:dyDescent="0.25">
      <c r="A9" s="8" t="s">
        <v>987</v>
      </c>
      <c r="C9" s="219"/>
    </row>
    <row r="10" spans="1:9" x14ac:dyDescent="0.25">
      <c r="A10" s="8" t="s">
        <v>992</v>
      </c>
      <c r="C10" s="219"/>
    </row>
    <row r="11" spans="1:9" x14ac:dyDescent="0.25">
      <c r="A11" s="8" t="s">
        <v>991</v>
      </c>
      <c r="C11" s="175"/>
    </row>
  </sheetData>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87">
    <tabColor rgb="FF0000FF"/>
  </sheetPr>
  <dimension ref="A1:H106"/>
  <sheetViews>
    <sheetView workbookViewId="0">
      <selection activeCell="C4" sqref="C4"/>
    </sheetView>
  </sheetViews>
  <sheetFormatPr defaultRowHeight="15" x14ac:dyDescent="0.25"/>
  <cols>
    <col min="3" max="3" width="14.28515625" bestFit="1" customWidth="1"/>
    <col min="7" max="8" width="10.8554687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40544</v>
      </c>
      <c r="B2" s="8" t="s">
        <v>319</v>
      </c>
      <c r="C2" s="8" t="s">
        <v>307</v>
      </c>
      <c r="D2" s="8" t="s">
        <v>3</v>
      </c>
      <c r="E2" s="8" t="s">
        <v>337</v>
      </c>
      <c r="F2" s="8">
        <v>16</v>
      </c>
      <c r="G2" s="22">
        <v>432</v>
      </c>
      <c r="H2" s="22">
        <v>232</v>
      </c>
    </row>
    <row r="3" spans="1:8" x14ac:dyDescent="0.25">
      <c r="A3" s="75">
        <v>40545</v>
      </c>
      <c r="B3" s="8" t="s">
        <v>321</v>
      </c>
      <c r="C3" s="8" t="s">
        <v>310</v>
      </c>
      <c r="D3" s="8" t="s">
        <v>328</v>
      </c>
      <c r="E3" s="8" t="s">
        <v>313</v>
      </c>
      <c r="F3" s="8">
        <v>24</v>
      </c>
      <c r="G3" s="22">
        <v>528</v>
      </c>
      <c r="H3" s="22">
        <v>240</v>
      </c>
    </row>
    <row r="4" spans="1:8" x14ac:dyDescent="0.25">
      <c r="A4" s="75">
        <v>40545</v>
      </c>
      <c r="B4" s="8" t="s">
        <v>321</v>
      </c>
      <c r="C4" s="8" t="s">
        <v>309</v>
      </c>
      <c r="D4" s="8" t="s">
        <v>136</v>
      </c>
      <c r="E4" s="8" t="s">
        <v>331</v>
      </c>
      <c r="F4" s="8">
        <v>19</v>
      </c>
      <c r="G4" s="22">
        <v>418</v>
      </c>
      <c r="H4" s="22">
        <v>190</v>
      </c>
    </row>
    <row r="5" spans="1:8" x14ac:dyDescent="0.25">
      <c r="A5" s="75">
        <v>40545</v>
      </c>
      <c r="B5" s="8" t="s">
        <v>319</v>
      </c>
      <c r="C5" s="8" t="s">
        <v>309</v>
      </c>
      <c r="D5" s="8" t="s">
        <v>136</v>
      </c>
      <c r="E5" s="8" t="s">
        <v>330</v>
      </c>
      <c r="F5" s="8">
        <v>30</v>
      </c>
      <c r="G5" s="22">
        <v>810</v>
      </c>
      <c r="H5" s="22">
        <v>435</v>
      </c>
    </row>
    <row r="6" spans="1:8" x14ac:dyDescent="0.25">
      <c r="A6" s="75">
        <v>40546</v>
      </c>
      <c r="B6" s="8" t="s">
        <v>315</v>
      </c>
      <c r="C6" s="8" t="s">
        <v>308</v>
      </c>
      <c r="D6" s="8" t="s">
        <v>7</v>
      </c>
      <c r="E6" s="8" t="s">
        <v>324</v>
      </c>
      <c r="F6" s="8">
        <v>20</v>
      </c>
      <c r="G6" s="22">
        <v>460</v>
      </c>
      <c r="H6" s="22">
        <v>220</v>
      </c>
    </row>
    <row r="7" spans="1:8" x14ac:dyDescent="0.25">
      <c r="A7" s="75">
        <v>40546</v>
      </c>
      <c r="B7" s="8" t="s">
        <v>311</v>
      </c>
      <c r="C7" s="8" t="s">
        <v>307</v>
      </c>
      <c r="D7" s="8" t="s">
        <v>136</v>
      </c>
      <c r="E7" s="8" t="s">
        <v>324</v>
      </c>
      <c r="F7" s="8">
        <v>38</v>
      </c>
      <c r="G7" s="22">
        <v>722</v>
      </c>
      <c r="H7" s="22">
        <v>304</v>
      </c>
    </row>
    <row r="8" spans="1:8" x14ac:dyDescent="0.25">
      <c r="A8" s="75">
        <v>40546</v>
      </c>
      <c r="B8" s="8" t="s">
        <v>317</v>
      </c>
      <c r="C8" s="8" t="s">
        <v>310</v>
      </c>
      <c r="D8" s="8" t="s">
        <v>136</v>
      </c>
      <c r="E8" s="8" t="s">
        <v>332</v>
      </c>
      <c r="F8" s="8">
        <v>23</v>
      </c>
      <c r="G8" s="22">
        <v>483</v>
      </c>
      <c r="H8" s="22">
        <v>212.75</v>
      </c>
    </row>
    <row r="9" spans="1:8" x14ac:dyDescent="0.25">
      <c r="A9" s="75">
        <v>40546</v>
      </c>
      <c r="B9" s="8" t="s">
        <v>311</v>
      </c>
      <c r="C9" s="8" t="s">
        <v>310</v>
      </c>
      <c r="D9" s="8" t="s">
        <v>3</v>
      </c>
      <c r="E9" s="8" t="s">
        <v>339</v>
      </c>
      <c r="F9" s="8">
        <v>6</v>
      </c>
      <c r="G9" s="22">
        <v>114</v>
      </c>
      <c r="H9" s="22">
        <v>48</v>
      </c>
    </row>
    <row r="10" spans="1:8" x14ac:dyDescent="0.25">
      <c r="A10" s="75">
        <v>40547</v>
      </c>
      <c r="B10" s="8" t="s">
        <v>317</v>
      </c>
      <c r="C10" s="8" t="s">
        <v>308</v>
      </c>
      <c r="D10" s="8" t="s">
        <v>3</v>
      </c>
      <c r="E10" s="8" t="s">
        <v>344</v>
      </c>
      <c r="F10" s="8">
        <v>29</v>
      </c>
      <c r="G10" s="22">
        <v>609</v>
      </c>
      <c r="H10" s="22">
        <v>268.25</v>
      </c>
    </row>
    <row r="11" spans="1:8" x14ac:dyDescent="0.25">
      <c r="A11" s="75">
        <v>40548</v>
      </c>
      <c r="B11" s="8" t="s">
        <v>315</v>
      </c>
      <c r="C11" s="8" t="s">
        <v>309</v>
      </c>
      <c r="D11" s="8" t="s">
        <v>312</v>
      </c>
      <c r="E11" s="8" t="s">
        <v>429</v>
      </c>
      <c r="F11" s="8">
        <v>60</v>
      </c>
      <c r="G11" s="22">
        <v>1380</v>
      </c>
      <c r="H11" s="22">
        <v>660</v>
      </c>
    </row>
    <row r="12" spans="1:8" x14ac:dyDescent="0.25">
      <c r="A12" s="75">
        <v>40548</v>
      </c>
      <c r="B12" s="8" t="s">
        <v>311</v>
      </c>
      <c r="C12" s="8" t="s">
        <v>309</v>
      </c>
      <c r="D12" s="8" t="s">
        <v>312</v>
      </c>
      <c r="E12" s="8" t="s">
        <v>323</v>
      </c>
      <c r="F12" s="8">
        <v>12</v>
      </c>
      <c r="G12" s="22">
        <v>228</v>
      </c>
      <c r="H12" s="22">
        <v>96</v>
      </c>
    </row>
    <row r="13" spans="1:8" x14ac:dyDescent="0.25">
      <c r="A13" s="75">
        <v>40548</v>
      </c>
      <c r="B13" s="8" t="s">
        <v>317</v>
      </c>
      <c r="C13" s="8" t="s">
        <v>310</v>
      </c>
      <c r="D13" s="8" t="s">
        <v>136</v>
      </c>
      <c r="E13" s="8" t="s">
        <v>322</v>
      </c>
      <c r="F13" s="8">
        <v>57</v>
      </c>
      <c r="G13" s="22">
        <v>1197</v>
      </c>
      <c r="H13" s="22">
        <v>527.25</v>
      </c>
    </row>
    <row r="14" spans="1:8" x14ac:dyDescent="0.25">
      <c r="A14" s="75">
        <v>40549</v>
      </c>
      <c r="B14" s="8" t="s">
        <v>311</v>
      </c>
      <c r="C14" s="8" t="s">
        <v>307</v>
      </c>
      <c r="D14" s="8" t="s">
        <v>312</v>
      </c>
      <c r="E14" s="8" t="s">
        <v>329</v>
      </c>
      <c r="F14" s="8">
        <v>54</v>
      </c>
      <c r="G14" s="22">
        <v>1026</v>
      </c>
      <c r="H14" s="22">
        <v>432</v>
      </c>
    </row>
    <row r="15" spans="1:8" x14ac:dyDescent="0.25">
      <c r="A15" s="75">
        <v>40549</v>
      </c>
      <c r="B15" s="8" t="s">
        <v>315</v>
      </c>
      <c r="C15" s="8" t="s">
        <v>309</v>
      </c>
      <c r="D15" s="8" t="s">
        <v>3</v>
      </c>
      <c r="E15" s="8" t="s">
        <v>347</v>
      </c>
      <c r="F15" s="8">
        <v>18</v>
      </c>
      <c r="G15" s="22">
        <v>414</v>
      </c>
      <c r="H15" s="22">
        <v>198</v>
      </c>
    </row>
    <row r="16" spans="1:8" x14ac:dyDescent="0.25">
      <c r="A16" s="75">
        <v>40549</v>
      </c>
      <c r="B16" s="8" t="s">
        <v>319</v>
      </c>
      <c r="C16" s="8" t="s">
        <v>309</v>
      </c>
      <c r="D16" s="8" t="s">
        <v>3</v>
      </c>
      <c r="E16" s="8" t="s">
        <v>339</v>
      </c>
      <c r="F16" s="8">
        <v>64</v>
      </c>
      <c r="G16" s="22">
        <v>1728</v>
      </c>
      <c r="H16" s="22">
        <v>928</v>
      </c>
    </row>
    <row r="17" spans="1:8" x14ac:dyDescent="0.25">
      <c r="A17" s="75">
        <v>40549</v>
      </c>
      <c r="B17" s="8" t="s">
        <v>311</v>
      </c>
      <c r="C17" s="8" t="s">
        <v>310</v>
      </c>
      <c r="D17" s="8" t="s">
        <v>132</v>
      </c>
      <c r="E17" s="8" t="s">
        <v>333</v>
      </c>
      <c r="F17" s="8">
        <v>40</v>
      </c>
      <c r="G17" s="22">
        <v>760</v>
      </c>
      <c r="H17" s="22">
        <v>320</v>
      </c>
    </row>
    <row r="18" spans="1:8" x14ac:dyDescent="0.25">
      <c r="A18" s="75">
        <v>40550</v>
      </c>
      <c r="B18" s="8" t="s">
        <v>315</v>
      </c>
      <c r="C18" s="8" t="s">
        <v>308</v>
      </c>
      <c r="D18" s="8" t="s">
        <v>312</v>
      </c>
      <c r="E18" s="8" t="s">
        <v>428</v>
      </c>
      <c r="F18" s="8">
        <v>12</v>
      </c>
      <c r="G18" s="22">
        <v>276</v>
      </c>
      <c r="H18" s="22">
        <v>132</v>
      </c>
    </row>
    <row r="19" spans="1:8" x14ac:dyDescent="0.25">
      <c r="A19" s="75">
        <v>40550</v>
      </c>
      <c r="B19" s="8" t="s">
        <v>317</v>
      </c>
      <c r="C19" s="8" t="s">
        <v>309</v>
      </c>
      <c r="D19" s="8" t="s">
        <v>136</v>
      </c>
      <c r="E19" s="8" t="s">
        <v>326</v>
      </c>
      <c r="F19" s="8">
        <v>61</v>
      </c>
      <c r="G19" s="22">
        <v>1281</v>
      </c>
      <c r="H19" s="22">
        <v>564.25</v>
      </c>
    </row>
    <row r="20" spans="1:8" x14ac:dyDescent="0.25">
      <c r="A20" s="75">
        <v>40550</v>
      </c>
      <c r="B20" s="8" t="s">
        <v>317</v>
      </c>
      <c r="C20" s="8" t="s">
        <v>309</v>
      </c>
      <c r="D20" s="8" t="s">
        <v>136</v>
      </c>
      <c r="E20" s="8" t="s">
        <v>338</v>
      </c>
      <c r="F20" s="8">
        <v>53</v>
      </c>
      <c r="G20" s="22">
        <v>1113</v>
      </c>
      <c r="H20" s="22">
        <v>490.25</v>
      </c>
    </row>
    <row r="21" spans="1:8" x14ac:dyDescent="0.25">
      <c r="A21" s="75">
        <v>40550</v>
      </c>
      <c r="B21" s="8" t="s">
        <v>317</v>
      </c>
      <c r="C21" s="8" t="s">
        <v>308</v>
      </c>
      <c r="D21" s="8" t="s">
        <v>3</v>
      </c>
      <c r="E21" s="8" t="s">
        <v>339</v>
      </c>
      <c r="F21" s="8">
        <v>22</v>
      </c>
      <c r="G21" s="22">
        <v>462</v>
      </c>
      <c r="H21" s="22">
        <v>203.5</v>
      </c>
    </row>
    <row r="22" spans="1:8" x14ac:dyDescent="0.25">
      <c r="A22" s="75">
        <v>40550</v>
      </c>
      <c r="B22" s="8" t="s">
        <v>321</v>
      </c>
      <c r="C22" s="8" t="s">
        <v>309</v>
      </c>
      <c r="D22" s="8" t="s">
        <v>132</v>
      </c>
      <c r="E22" s="8" t="s">
        <v>326</v>
      </c>
      <c r="F22" s="8">
        <v>27</v>
      </c>
      <c r="G22" s="22">
        <v>594</v>
      </c>
      <c r="H22" s="22">
        <v>270</v>
      </c>
    </row>
    <row r="23" spans="1:8" x14ac:dyDescent="0.25">
      <c r="A23" s="75">
        <v>40551</v>
      </c>
      <c r="B23" s="8" t="s">
        <v>319</v>
      </c>
      <c r="C23" s="8" t="s">
        <v>309</v>
      </c>
      <c r="D23" s="8" t="s">
        <v>7</v>
      </c>
      <c r="E23" s="8" t="s">
        <v>335</v>
      </c>
      <c r="F23" s="8">
        <v>16</v>
      </c>
      <c r="G23" s="22">
        <v>432</v>
      </c>
      <c r="H23" s="22">
        <v>232</v>
      </c>
    </row>
    <row r="24" spans="1:8" x14ac:dyDescent="0.25">
      <c r="A24" s="75">
        <v>40552</v>
      </c>
      <c r="B24" s="8" t="s">
        <v>321</v>
      </c>
      <c r="C24" s="8" t="s">
        <v>310</v>
      </c>
      <c r="D24" s="8" t="s">
        <v>7</v>
      </c>
      <c r="E24" s="8" t="s">
        <v>332</v>
      </c>
      <c r="F24" s="8">
        <v>26</v>
      </c>
      <c r="G24" s="22">
        <v>572</v>
      </c>
      <c r="H24" s="22">
        <v>260</v>
      </c>
    </row>
    <row r="25" spans="1:8" x14ac:dyDescent="0.25">
      <c r="A25" s="75">
        <v>40552</v>
      </c>
      <c r="B25" s="8" t="s">
        <v>315</v>
      </c>
      <c r="C25" s="8" t="s">
        <v>307</v>
      </c>
      <c r="D25" s="8" t="s">
        <v>312</v>
      </c>
      <c r="E25" s="8" t="s">
        <v>332</v>
      </c>
      <c r="F25" s="8">
        <v>38</v>
      </c>
      <c r="G25" s="22">
        <v>874</v>
      </c>
      <c r="H25" s="22">
        <v>418</v>
      </c>
    </row>
    <row r="26" spans="1:8" x14ac:dyDescent="0.25">
      <c r="A26" s="75">
        <v>40552</v>
      </c>
      <c r="B26" s="8" t="s">
        <v>321</v>
      </c>
      <c r="C26" s="8" t="s">
        <v>307</v>
      </c>
      <c r="D26" s="8" t="s">
        <v>136</v>
      </c>
      <c r="E26" s="8" t="s">
        <v>325</v>
      </c>
      <c r="F26" s="8">
        <v>40</v>
      </c>
      <c r="G26" s="22">
        <v>880</v>
      </c>
      <c r="H26" s="22">
        <v>400</v>
      </c>
    </row>
    <row r="27" spans="1:8" x14ac:dyDescent="0.25">
      <c r="A27" s="75">
        <v>40552</v>
      </c>
      <c r="B27" s="8" t="s">
        <v>321</v>
      </c>
      <c r="C27" s="8" t="s">
        <v>310</v>
      </c>
      <c r="D27" s="8" t="s">
        <v>3</v>
      </c>
      <c r="E27" s="8" t="s">
        <v>333</v>
      </c>
      <c r="F27" s="8">
        <v>15</v>
      </c>
      <c r="G27" s="22">
        <v>330</v>
      </c>
      <c r="H27" s="22">
        <v>150</v>
      </c>
    </row>
    <row r="28" spans="1:8" x14ac:dyDescent="0.25">
      <c r="A28" s="75">
        <v>40552</v>
      </c>
      <c r="B28" s="8" t="s">
        <v>311</v>
      </c>
      <c r="C28" s="8" t="s">
        <v>307</v>
      </c>
      <c r="D28" s="8" t="s">
        <v>132</v>
      </c>
      <c r="E28" s="8" t="s">
        <v>339</v>
      </c>
      <c r="F28" s="8">
        <v>42</v>
      </c>
      <c r="G28" s="22">
        <v>798</v>
      </c>
      <c r="H28" s="22">
        <v>336</v>
      </c>
    </row>
    <row r="29" spans="1:8" x14ac:dyDescent="0.25">
      <c r="A29" s="75">
        <v>40553</v>
      </c>
      <c r="B29" s="8" t="s">
        <v>311</v>
      </c>
      <c r="C29" s="8" t="s">
        <v>310</v>
      </c>
      <c r="D29" s="8" t="s">
        <v>7</v>
      </c>
      <c r="E29" s="8" t="s">
        <v>342</v>
      </c>
      <c r="F29" s="8">
        <v>30</v>
      </c>
      <c r="G29" s="22">
        <v>570</v>
      </c>
      <c r="H29" s="22">
        <v>240</v>
      </c>
    </row>
    <row r="30" spans="1:8" x14ac:dyDescent="0.25">
      <c r="A30" s="75">
        <v>40553</v>
      </c>
      <c r="B30" s="8" t="s">
        <v>317</v>
      </c>
      <c r="C30" s="8" t="s">
        <v>307</v>
      </c>
      <c r="D30" s="8" t="s">
        <v>328</v>
      </c>
      <c r="E30" s="8" t="s">
        <v>342</v>
      </c>
      <c r="F30" s="8">
        <v>27</v>
      </c>
      <c r="G30" s="22">
        <v>567</v>
      </c>
      <c r="H30" s="22">
        <v>249.75</v>
      </c>
    </row>
    <row r="31" spans="1:8" x14ac:dyDescent="0.25">
      <c r="A31" s="75">
        <v>40553</v>
      </c>
      <c r="B31" s="8" t="s">
        <v>321</v>
      </c>
      <c r="C31" s="8" t="s">
        <v>308</v>
      </c>
      <c r="D31" s="8" t="s">
        <v>328</v>
      </c>
      <c r="E31" s="8" t="s">
        <v>324</v>
      </c>
      <c r="F31" s="8">
        <v>7</v>
      </c>
      <c r="G31" s="22">
        <v>154</v>
      </c>
      <c r="H31" s="22">
        <v>70</v>
      </c>
    </row>
    <row r="32" spans="1:8" x14ac:dyDescent="0.25">
      <c r="A32" s="75">
        <v>40553</v>
      </c>
      <c r="B32" s="8" t="s">
        <v>315</v>
      </c>
      <c r="C32" s="8" t="s">
        <v>307</v>
      </c>
      <c r="D32" s="8" t="s">
        <v>136</v>
      </c>
      <c r="E32" s="8" t="s">
        <v>337</v>
      </c>
      <c r="F32" s="8">
        <v>63</v>
      </c>
      <c r="G32" s="22">
        <v>1449</v>
      </c>
      <c r="H32" s="22">
        <v>693</v>
      </c>
    </row>
    <row r="33" spans="1:8" x14ac:dyDescent="0.25">
      <c r="A33" s="75">
        <v>40553</v>
      </c>
      <c r="B33" s="8" t="s">
        <v>317</v>
      </c>
      <c r="C33" s="8" t="s">
        <v>310</v>
      </c>
      <c r="D33" s="8" t="s">
        <v>3</v>
      </c>
      <c r="E33" s="8" t="s">
        <v>341</v>
      </c>
      <c r="F33" s="8">
        <v>47</v>
      </c>
      <c r="G33" s="22">
        <v>987</v>
      </c>
      <c r="H33" s="22">
        <v>434.75</v>
      </c>
    </row>
    <row r="34" spans="1:8" x14ac:dyDescent="0.25">
      <c r="A34" s="75">
        <v>40553</v>
      </c>
      <c r="B34" s="8" t="s">
        <v>319</v>
      </c>
      <c r="C34" s="8" t="s">
        <v>307</v>
      </c>
      <c r="D34" s="8" t="s">
        <v>132</v>
      </c>
      <c r="E34" s="8" t="s">
        <v>334</v>
      </c>
      <c r="F34" s="8">
        <v>17</v>
      </c>
      <c r="G34" s="22">
        <v>459</v>
      </c>
      <c r="H34" s="22">
        <v>246.5</v>
      </c>
    </row>
    <row r="35" spans="1:8" x14ac:dyDescent="0.25">
      <c r="A35" s="75">
        <v>40553</v>
      </c>
      <c r="B35" s="8" t="s">
        <v>317</v>
      </c>
      <c r="C35" s="8" t="s">
        <v>307</v>
      </c>
      <c r="D35" s="8" t="s">
        <v>132</v>
      </c>
      <c r="E35" s="8" t="s">
        <v>341</v>
      </c>
      <c r="F35" s="8">
        <v>17</v>
      </c>
      <c r="G35" s="22">
        <v>357</v>
      </c>
      <c r="H35" s="22">
        <v>157.25</v>
      </c>
    </row>
    <row r="36" spans="1:8" x14ac:dyDescent="0.25">
      <c r="A36" s="75">
        <v>40553</v>
      </c>
      <c r="B36" s="8" t="s">
        <v>311</v>
      </c>
      <c r="C36" s="8" t="s">
        <v>308</v>
      </c>
      <c r="D36" s="8" t="s">
        <v>132</v>
      </c>
      <c r="E36" s="8" t="s">
        <v>322</v>
      </c>
      <c r="F36" s="8">
        <v>8</v>
      </c>
      <c r="G36" s="22">
        <v>152</v>
      </c>
      <c r="H36" s="22">
        <v>64</v>
      </c>
    </row>
    <row r="37" spans="1:8" x14ac:dyDescent="0.25">
      <c r="A37" s="75">
        <v>40553</v>
      </c>
      <c r="B37" s="8" t="s">
        <v>319</v>
      </c>
      <c r="C37" s="8" t="s">
        <v>309</v>
      </c>
      <c r="D37" s="8" t="s">
        <v>132</v>
      </c>
      <c r="E37" s="8" t="s">
        <v>313</v>
      </c>
      <c r="F37" s="8">
        <v>65</v>
      </c>
      <c r="G37" s="22">
        <v>1755</v>
      </c>
      <c r="H37" s="22">
        <v>942.5</v>
      </c>
    </row>
    <row r="38" spans="1:8" x14ac:dyDescent="0.25">
      <c r="A38" s="75">
        <v>40554</v>
      </c>
      <c r="B38" s="8" t="s">
        <v>319</v>
      </c>
      <c r="C38" s="8" t="s">
        <v>307</v>
      </c>
      <c r="D38" s="8" t="s">
        <v>312</v>
      </c>
      <c r="E38" s="8" t="s">
        <v>336</v>
      </c>
      <c r="F38" s="8">
        <v>14</v>
      </c>
      <c r="G38" s="22">
        <v>378</v>
      </c>
      <c r="H38" s="22">
        <v>203</v>
      </c>
    </row>
    <row r="39" spans="1:8" x14ac:dyDescent="0.25">
      <c r="A39" s="75">
        <v>40554</v>
      </c>
      <c r="B39" s="8" t="s">
        <v>319</v>
      </c>
      <c r="C39" s="8" t="s">
        <v>307</v>
      </c>
      <c r="D39" s="8" t="s">
        <v>132</v>
      </c>
      <c r="E39" s="8" t="s">
        <v>344</v>
      </c>
      <c r="F39" s="8">
        <v>49</v>
      </c>
      <c r="G39" s="22">
        <v>1323</v>
      </c>
      <c r="H39" s="22">
        <v>710.5</v>
      </c>
    </row>
    <row r="40" spans="1:8" x14ac:dyDescent="0.25">
      <c r="A40" s="75">
        <v>40555</v>
      </c>
      <c r="B40" s="8" t="s">
        <v>321</v>
      </c>
      <c r="C40" s="8" t="s">
        <v>310</v>
      </c>
      <c r="D40" s="8" t="s">
        <v>7</v>
      </c>
      <c r="E40" s="8" t="s">
        <v>338</v>
      </c>
      <c r="F40" s="8">
        <v>7</v>
      </c>
      <c r="G40" s="22">
        <v>154</v>
      </c>
      <c r="H40" s="22">
        <v>70</v>
      </c>
    </row>
    <row r="41" spans="1:8" x14ac:dyDescent="0.25">
      <c r="A41" s="75">
        <v>40555</v>
      </c>
      <c r="B41" s="8" t="s">
        <v>317</v>
      </c>
      <c r="C41" s="8" t="s">
        <v>308</v>
      </c>
      <c r="D41" s="8" t="s">
        <v>328</v>
      </c>
      <c r="E41" s="8" t="s">
        <v>336</v>
      </c>
      <c r="F41" s="8">
        <v>19</v>
      </c>
      <c r="G41" s="22">
        <v>399</v>
      </c>
      <c r="H41" s="22">
        <v>175.75</v>
      </c>
    </row>
    <row r="42" spans="1:8" x14ac:dyDescent="0.25">
      <c r="A42" s="75">
        <v>40556</v>
      </c>
      <c r="B42" s="8" t="s">
        <v>321</v>
      </c>
      <c r="C42" s="8" t="s">
        <v>308</v>
      </c>
      <c r="D42" s="8" t="s">
        <v>136</v>
      </c>
      <c r="E42" s="8" t="s">
        <v>343</v>
      </c>
      <c r="F42" s="8">
        <v>57</v>
      </c>
      <c r="G42" s="22">
        <v>1254</v>
      </c>
      <c r="H42" s="22">
        <v>570</v>
      </c>
    </row>
    <row r="43" spans="1:8" x14ac:dyDescent="0.25">
      <c r="A43" s="75">
        <v>40556</v>
      </c>
      <c r="B43" s="8" t="s">
        <v>321</v>
      </c>
      <c r="C43" s="8" t="s">
        <v>308</v>
      </c>
      <c r="D43" s="8" t="s">
        <v>136</v>
      </c>
      <c r="E43" s="8" t="s">
        <v>329</v>
      </c>
      <c r="F43" s="8">
        <v>40</v>
      </c>
      <c r="G43" s="22">
        <v>880</v>
      </c>
      <c r="H43" s="22">
        <v>400</v>
      </c>
    </row>
    <row r="44" spans="1:8" x14ac:dyDescent="0.25">
      <c r="A44" s="75">
        <v>40556</v>
      </c>
      <c r="B44" s="8" t="s">
        <v>311</v>
      </c>
      <c r="C44" s="8" t="s">
        <v>308</v>
      </c>
      <c r="D44" s="8" t="s">
        <v>136</v>
      </c>
      <c r="E44" s="8" t="s">
        <v>329</v>
      </c>
      <c r="F44" s="8">
        <v>33</v>
      </c>
      <c r="G44" s="22">
        <v>627</v>
      </c>
      <c r="H44" s="22">
        <v>264</v>
      </c>
    </row>
    <row r="45" spans="1:8" x14ac:dyDescent="0.25">
      <c r="A45" s="75">
        <v>40556</v>
      </c>
      <c r="B45" s="8" t="s">
        <v>315</v>
      </c>
      <c r="C45" s="8" t="s">
        <v>310</v>
      </c>
      <c r="D45" s="8" t="s">
        <v>132</v>
      </c>
      <c r="E45" s="8" t="s">
        <v>324</v>
      </c>
      <c r="F45" s="8">
        <v>52</v>
      </c>
      <c r="G45" s="22">
        <v>1196</v>
      </c>
      <c r="H45" s="22">
        <v>572</v>
      </c>
    </row>
    <row r="46" spans="1:8" x14ac:dyDescent="0.25">
      <c r="A46" s="75">
        <v>40557</v>
      </c>
      <c r="B46" s="8" t="s">
        <v>315</v>
      </c>
      <c r="C46" s="8" t="s">
        <v>307</v>
      </c>
      <c r="D46" s="8" t="s">
        <v>312</v>
      </c>
      <c r="E46" s="8" t="s">
        <v>316</v>
      </c>
      <c r="F46" s="8">
        <v>34</v>
      </c>
      <c r="G46" s="22">
        <v>782</v>
      </c>
      <c r="H46" s="22">
        <v>374</v>
      </c>
    </row>
    <row r="47" spans="1:8" x14ac:dyDescent="0.25">
      <c r="A47" s="75">
        <v>40558</v>
      </c>
      <c r="B47" s="8" t="s">
        <v>311</v>
      </c>
      <c r="C47" s="8" t="s">
        <v>308</v>
      </c>
      <c r="D47" s="8" t="s">
        <v>7</v>
      </c>
      <c r="E47" s="8" t="s">
        <v>432</v>
      </c>
      <c r="F47" s="8">
        <v>11</v>
      </c>
      <c r="G47" s="22">
        <v>209</v>
      </c>
      <c r="H47" s="22">
        <v>88</v>
      </c>
    </row>
    <row r="48" spans="1:8" x14ac:dyDescent="0.25">
      <c r="A48" s="75">
        <v>40558</v>
      </c>
      <c r="B48" s="8" t="s">
        <v>317</v>
      </c>
      <c r="C48" s="8" t="s">
        <v>307</v>
      </c>
      <c r="D48" s="8" t="s">
        <v>328</v>
      </c>
      <c r="E48" s="8" t="s">
        <v>330</v>
      </c>
      <c r="F48" s="8">
        <v>63</v>
      </c>
      <c r="G48" s="22">
        <v>1323</v>
      </c>
      <c r="H48" s="22">
        <v>582.75</v>
      </c>
    </row>
    <row r="49" spans="1:8" x14ac:dyDescent="0.25">
      <c r="A49" s="75">
        <v>40559</v>
      </c>
      <c r="B49" s="8" t="s">
        <v>321</v>
      </c>
      <c r="C49" s="8" t="s">
        <v>308</v>
      </c>
      <c r="D49" s="8" t="s">
        <v>3</v>
      </c>
      <c r="E49" s="8" t="s">
        <v>432</v>
      </c>
      <c r="F49" s="8">
        <v>56</v>
      </c>
      <c r="G49" s="22">
        <v>1232</v>
      </c>
      <c r="H49" s="22">
        <v>560</v>
      </c>
    </row>
    <row r="50" spans="1:8" x14ac:dyDescent="0.25">
      <c r="A50" s="75">
        <v>40559</v>
      </c>
      <c r="B50" s="8" t="s">
        <v>315</v>
      </c>
      <c r="C50" s="8" t="s">
        <v>310</v>
      </c>
      <c r="D50" s="8" t="s">
        <v>132</v>
      </c>
      <c r="E50" s="8" t="s">
        <v>333</v>
      </c>
      <c r="F50" s="8">
        <v>31</v>
      </c>
      <c r="G50" s="22">
        <v>713</v>
      </c>
      <c r="H50" s="22">
        <v>341</v>
      </c>
    </row>
    <row r="51" spans="1:8" x14ac:dyDescent="0.25">
      <c r="A51" s="75">
        <v>40560</v>
      </c>
      <c r="B51" s="8" t="s">
        <v>319</v>
      </c>
      <c r="C51" s="8" t="s">
        <v>308</v>
      </c>
      <c r="D51" s="8" t="s">
        <v>7</v>
      </c>
      <c r="E51" s="8" t="s">
        <v>325</v>
      </c>
      <c r="F51" s="8">
        <v>61</v>
      </c>
      <c r="G51" s="22">
        <v>1647</v>
      </c>
      <c r="H51" s="22">
        <v>884.5</v>
      </c>
    </row>
    <row r="52" spans="1:8" x14ac:dyDescent="0.25">
      <c r="A52" s="75">
        <v>40560</v>
      </c>
      <c r="B52" s="8" t="s">
        <v>319</v>
      </c>
      <c r="C52" s="8" t="s">
        <v>309</v>
      </c>
      <c r="D52" s="8" t="s">
        <v>7</v>
      </c>
      <c r="E52" s="8" t="s">
        <v>339</v>
      </c>
      <c r="F52" s="8">
        <v>10</v>
      </c>
      <c r="G52" s="22">
        <v>270</v>
      </c>
      <c r="H52" s="22">
        <v>145</v>
      </c>
    </row>
    <row r="53" spans="1:8" x14ac:dyDescent="0.25">
      <c r="A53" s="75">
        <v>40560</v>
      </c>
      <c r="B53" s="8" t="s">
        <v>319</v>
      </c>
      <c r="C53" s="8" t="s">
        <v>307</v>
      </c>
      <c r="D53" s="8" t="s">
        <v>312</v>
      </c>
      <c r="E53" s="8" t="s">
        <v>335</v>
      </c>
      <c r="F53" s="8">
        <v>62</v>
      </c>
      <c r="G53" s="22">
        <v>1674</v>
      </c>
      <c r="H53" s="22">
        <v>899</v>
      </c>
    </row>
    <row r="54" spans="1:8" x14ac:dyDescent="0.25">
      <c r="A54" s="75">
        <v>40560</v>
      </c>
      <c r="B54" s="8" t="s">
        <v>311</v>
      </c>
      <c r="C54" s="8" t="s">
        <v>308</v>
      </c>
      <c r="D54" s="8" t="s">
        <v>312</v>
      </c>
      <c r="E54" s="8" t="s">
        <v>428</v>
      </c>
      <c r="F54" s="8">
        <v>59</v>
      </c>
      <c r="G54" s="22">
        <v>1121</v>
      </c>
      <c r="H54" s="22">
        <v>472</v>
      </c>
    </row>
    <row r="55" spans="1:8" x14ac:dyDescent="0.25">
      <c r="A55" s="75">
        <v>40560</v>
      </c>
      <c r="B55" s="8" t="s">
        <v>319</v>
      </c>
      <c r="C55" s="8" t="s">
        <v>307</v>
      </c>
      <c r="D55" s="8" t="s">
        <v>328</v>
      </c>
      <c r="E55" s="8" t="s">
        <v>331</v>
      </c>
      <c r="F55" s="8">
        <v>43</v>
      </c>
      <c r="G55" s="22">
        <v>1161</v>
      </c>
      <c r="H55" s="22">
        <v>623.5</v>
      </c>
    </row>
    <row r="56" spans="1:8" x14ac:dyDescent="0.25">
      <c r="A56" s="75">
        <v>40560</v>
      </c>
      <c r="B56" s="8" t="s">
        <v>315</v>
      </c>
      <c r="C56" s="8" t="s">
        <v>307</v>
      </c>
      <c r="D56" s="8" t="s">
        <v>3</v>
      </c>
      <c r="E56" s="8" t="s">
        <v>339</v>
      </c>
      <c r="F56" s="8">
        <v>39</v>
      </c>
      <c r="G56" s="22">
        <v>897</v>
      </c>
      <c r="H56" s="22">
        <v>429</v>
      </c>
    </row>
    <row r="57" spans="1:8" x14ac:dyDescent="0.25">
      <c r="A57" s="75">
        <v>40560</v>
      </c>
      <c r="B57" s="8" t="s">
        <v>321</v>
      </c>
      <c r="C57" s="8" t="s">
        <v>308</v>
      </c>
      <c r="D57" s="8" t="s">
        <v>132</v>
      </c>
      <c r="E57" s="8" t="s">
        <v>339</v>
      </c>
      <c r="F57" s="8">
        <v>16</v>
      </c>
      <c r="G57" s="22">
        <v>352</v>
      </c>
      <c r="H57" s="22">
        <v>160</v>
      </c>
    </row>
    <row r="58" spans="1:8" x14ac:dyDescent="0.25">
      <c r="A58" s="75">
        <v>40561</v>
      </c>
      <c r="B58" s="8" t="s">
        <v>311</v>
      </c>
      <c r="C58" s="8" t="s">
        <v>308</v>
      </c>
      <c r="D58" s="8" t="s">
        <v>7</v>
      </c>
      <c r="E58" s="8" t="s">
        <v>339</v>
      </c>
      <c r="F58" s="8">
        <v>62</v>
      </c>
      <c r="G58" s="22">
        <v>1178</v>
      </c>
      <c r="H58" s="22">
        <v>496</v>
      </c>
    </row>
    <row r="59" spans="1:8" x14ac:dyDescent="0.25">
      <c r="A59" s="75">
        <v>40561</v>
      </c>
      <c r="B59" s="8" t="s">
        <v>321</v>
      </c>
      <c r="C59" s="8" t="s">
        <v>307</v>
      </c>
      <c r="D59" s="8" t="s">
        <v>312</v>
      </c>
      <c r="E59" s="8" t="s">
        <v>345</v>
      </c>
      <c r="F59" s="8">
        <v>20</v>
      </c>
      <c r="G59" s="22">
        <v>440</v>
      </c>
      <c r="H59" s="22">
        <v>200</v>
      </c>
    </row>
    <row r="60" spans="1:8" x14ac:dyDescent="0.25">
      <c r="A60" s="75">
        <v>40561</v>
      </c>
      <c r="B60" s="8" t="s">
        <v>311</v>
      </c>
      <c r="C60" s="8" t="s">
        <v>307</v>
      </c>
      <c r="D60" s="8" t="s">
        <v>312</v>
      </c>
      <c r="E60" s="8" t="s">
        <v>337</v>
      </c>
      <c r="F60" s="8">
        <v>24</v>
      </c>
      <c r="G60" s="22">
        <v>456</v>
      </c>
      <c r="H60" s="22">
        <v>192</v>
      </c>
    </row>
    <row r="61" spans="1:8" x14ac:dyDescent="0.25">
      <c r="A61" s="75">
        <v>40561</v>
      </c>
      <c r="B61" s="8" t="s">
        <v>317</v>
      </c>
      <c r="C61" s="8" t="s">
        <v>307</v>
      </c>
      <c r="D61" s="8" t="s">
        <v>328</v>
      </c>
      <c r="E61" s="8" t="s">
        <v>314</v>
      </c>
      <c r="F61" s="8">
        <v>12</v>
      </c>
      <c r="G61" s="22">
        <v>252</v>
      </c>
      <c r="H61" s="22">
        <v>111</v>
      </c>
    </row>
    <row r="62" spans="1:8" x14ac:dyDescent="0.25">
      <c r="A62" s="75">
        <v>40561</v>
      </c>
      <c r="B62" s="8" t="s">
        <v>321</v>
      </c>
      <c r="C62" s="8" t="s">
        <v>307</v>
      </c>
      <c r="D62" s="8" t="s">
        <v>136</v>
      </c>
      <c r="E62" s="8" t="s">
        <v>334</v>
      </c>
      <c r="F62" s="8">
        <v>59</v>
      </c>
      <c r="G62" s="22">
        <v>1298</v>
      </c>
      <c r="H62" s="22">
        <v>590</v>
      </c>
    </row>
    <row r="63" spans="1:8" x14ac:dyDescent="0.25">
      <c r="A63" s="75">
        <v>40561</v>
      </c>
      <c r="B63" s="8" t="s">
        <v>311</v>
      </c>
      <c r="C63" s="8" t="s">
        <v>309</v>
      </c>
      <c r="D63" s="8" t="s">
        <v>3</v>
      </c>
      <c r="E63" s="8" t="s">
        <v>330</v>
      </c>
      <c r="F63" s="8">
        <v>8</v>
      </c>
      <c r="G63" s="22">
        <v>152</v>
      </c>
      <c r="H63" s="22">
        <v>64</v>
      </c>
    </row>
    <row r="64" spans="1:8" x14ac:dyDescent="0.25">
      <c r="A64" s="75">
        <v>40561</v>
      </c>
      <c r="B64" s="8" t="s">
        <v>319</v>
      </c>
      <c r="C64" s="8" t="s">
        <v>308</v>
      </c>
      <c r="D64" s="8" t="s">
        <v>132</v>
      </c>
      <c r="E64" s="8" t="s">
        <v>343</v>
      </c>
      <c r="F64" s="8">
        <v>17</v>
      </c>
      <c r="G64" s="22">
        <v>459</v>
      </c>
      <c r="H64" s="22">
        <v>246.5</v>
      </c>
    </row>
    <row r="65" spans="1:8" x14ac:dyDescent="0.25">
      <c r="A65" s="75">
        <v>40561</v>
      </c>
      <c r="B65" s="8" t="s">
        <v>315</v>
      </c>
      <c r="C65" s="8" t="s">
        <v>310</v>
      </c>
      <c r="D65" s="8" t="s">
        <v>132</v>
      </c>
      <c r="E65" s="8" t="s">
        <v>432</v>
      </c>
      <c r="F65" s="8">
        <v>53</v>
      </c>
      <c r="G65" s="22">
        <v>1219</v>
      </c>
      <c r="H65" s="22">
        <v>583</v>
      </c>
    </row>
    <row r="66" spans="1:8" x14ac:dyDescent="0.25">
      <c r="A66" s="75">
        <v>40562</v>
      </c>
      <c r="B66" s="8" t="s">
        <v>321</v>
      </c>
      <c r="C66" s="8" t="s">
        <v>310</v>
      </c>
      <c r="D66" s="8" t="s">
        <v>3</v>
      </c>
      <c r="E66" s="8" t="s">
        <v>326</v>
      </c>
      <c r="F66" s="8">
        <v>35</v>
      </c>
      <c r="G66" s="22">
        <v>770</v>
      </c>
      <c r="H66" s="22">
        <v>350</v>
      </c>
    </row>
    <row r="67" spans="1:8" x14ac:dyDescent="0.25">
      <c r="A67" s="75">
        <v>40563</v>
      </c>
      <c r="B67" s="8" t="s">
        <v>315</v>
      </c>
      <c r="C67" s="8" t="s">
        <v>307</v>
      </c>
      <c r="D67" s="8" t="s">
        <v>7</v>
      </c>
      <c r="E67" s="8" t="s">
        <v>323</v>
      </c>
      <c r="F67" s="8">
        <v>59</v>
      </c>
      <c r="G67" s="22">
        <v>1357</v>
      </c>
      <c r="H67" s="22">
        <v>649</v>
      </c>
    </row>
    <row r="68" spans="1:8" x14ac:dyDescent="0.25">
      <c r="A68" s="75">
        <v>40563</v>
      </c>
      <c r="B68" s="8" t="s">
        <v>321</v>
      </c>
      <c r="C68" s="8" t="s">
        <v>307</v>
      </c>
      <c r="D68" s="8" t="s">
        <v>328</v>
      </c>
      <c r="E68" s="8" t="s">
        <v>329</v>
      </c>
      <c r="F68" s="8">
        <v>10</v>
      </c>
      <c r="G68" s="22">
        <v>220</v>
      </c>
      <c r="H68" s="22">
        <v>100</v>
      </c>
    </row>
    <row r="69" spans="1:8" x14ac:dyDescent="0.25">
      <c r="A69" s="75">
        <v>40563</v>
      </c>
      <c r="B69" s="8" t="s">
        <v>311</v>
      </c>
      <c r="C69" s="8" t="s">
        <v>309</v>
      </c>
      <c r="D69" s="8" t="s">
        <v>3</v>
      </c>
      <c r="E69" s="8" t="s">
        <v>432</v>
      </c>
      <c r="F69" s="8">
        <v>58</v>
      </c>
      <c r="G69" s="22">
        <v>1102</v>
      </c>
      <c r="H69" s="22">
        <v>464</v>
      </c>
    </row>
    <row r="70" spans="1:8" x14ac:dyDescent="0.25">
      <c r="A70" s="75">
        <v>40564</v>
      </c>
      <c r="B70" s="8" t="s">
        <v>319</v>
      </c>
      <c r="C70" s="8" t="s">
        <v>307</v>
      </c>
      <c r="D70" s="8" t="s">
        <v>7</v>
      </c>
      <c r="E70" s="8" t="s">
        <v>324</v>
      </c>
      <c r="F70" s="8">
        <v>58</v>
      </c>
      <c r="G70" s="22">
        <v>1566</v>
      </c>
      <c r="H70" s="22">
        <v>841</v>
      </c>
    </row>
    <row r="71" spans="1:8" x14ac:dyDescent="0.25">
      <c r="A71" s="75">
        <v>40564</v>
      </c>
      <c r="B71" s="8" t="s">
        <v>319</v>
      </c>
      <c r="C71" s="8" t="s">
        <v>309</v>
      </c>
      <c r="D71" s="8" t="s">
        <v>328</v>
      </c>
      <c r="E71" s="8" t="s">
        <v>336</v>
      </c>
      <c r="F71" s="8">
        <v>56</v>
      </c>
      <c r="G71" s="22">
        <v>1512</v>
      </c>
      <c r="H71" s="22">
        <v>812</v>
      </c>
    </row>
    <row r="72" spans="1:8" x14ac:dyDescent="0.25">
      <c r="A72" s="75">
        <v>40564</v>
      </c>
      <c r="B72" s="8" t="s">
        <v>311</v>
      </c>
      <c r="C72" s="8" t="s">
        <v>308</v>
      </c>
      <c r="D72" s="8" t="s">
        <v>136</v>
      </c>
      <c r="E72" s="8" t="s">
        <v>334</v>
      </c>
      <c r="F72" s="8">
        <v>23</v>
      </c>
      <c r="G72" s="22">
        <v>437</v>
      </c>
      <c r="H72" s="22">
        <v>184</v>
      </c>
    </row>
    <row r="73" spans="1:8" x14ac:dyDescent="0.25">
      <c r="A73" s="75">
        <v>40564</v>
      </c>
      <c r="B73" s="8" t="s">
        <v>317</v>
      </c>
      <c r="C73" s="8" t="s">
        <v>310</v>
      </c>
      <c r="D73" s="8" t="s">
        <v>136</v>
      </c>
      <c r="E73" s="8" t="s">
        <v>428</v>
      </c>
      <c r="F73" s="8">
        <v>13</v>
      </c>
      <c r="G73" s="22">
        <v>273</v>
      </c>
      <c r="H73" s="22">
        <v>120.25</v>
      </c>
    </row>
    <row r="74" spans="1:8" x14ac:dyDescent="0.25">
      <c r="A74" s="75">
        <v>40564</v>
      </c>
      <c r="B74" s="8" t="s">
        <v>311</v>
      </c>
      <c r="C74" s="8" t="s">
        <v>308</v>
      </c>
      <c r="D74" s="8" t="s">
        <v>132</v>
      </c>
      <c r="E74" s="8" t="s">
        <v>333</v>
      </c>
      <c r="F74" s="8">
        <v>64</v>
      </c>
      <c r="G74" s="22">
        <v>1216</v>
      </c>
      <c r="H74" s="22">
        <v>512</v>
      </c>
    </row>
    <row r="75" spans="1:8" x14ac:dyDescent="0.25">
      <c r="A75" s="75">
        <v>40564</v>
      </c>
      <c r="B75" s="8" t="s">
        <v>321</v>
      </c>
      <c r="C75" s="8" t="s">
        <v>310</v>
      </c>
      <c r="D75" s="8" t="s">
        <v>132</v>
      </c>
      <c r="E75" s="8" t="s">
        <v>342</v>
      </c>
      <c r="F75" s="8">
        <v>11</v>
      </c>
      <c r="G75" s="22">
        <v>242</v>
      </c>
      <c r="H75" s="22">
        <v>110</v>
      </c>
    </row>
    <row r="76" spans="1:8" x14ac:dyDescent="0.25">
      <c r="A76" s="75">
        <v>40565</v>
      </c>
      <c r="B76" s="8" t="s">
        <v>319</v>
      </c>
      <c r="C76" s="8" t="s">
        <v>310</v>
      </c>
      <c r="D76" s="8" t="s">
        <v>312</v>
      </c>
      <c r="E76" s="8" t="s">
        <v>324</v>
      </c>
      <c r="F76" s="8">
        <v>29</v>
      </c>
      <c r="G76" s="22">
        <v>783</v>
      </c>
      <c r="H76" s="22">
        <v>420.5</v>
      </c>
    </row>
    <row r="77" spans="1:8" x14ac:dyDescent="0.25">
      <c r="A77" s="75">
        <v>40565</v>
      </c>
      <c r="B77" s="8" t="s">
        <v>321</v>
      </c>
      <c r="C77" s="8" t="s">
        <v>309</v>
      </c>
      <c r="D77" s="8" t="s">
        <v>136</v>
      </c>
      <c r="E77" s="8" t="s">
        <v>330</v>
      </c>
      <c r="F77" s="8">
        <v>53</v>
      </c>
      <c r="G77" s="22">
        <v>1166</v>
      </c>
      <c r="H77" s="22">
        <v>530</v>
      </c>
    </row>
    <row r="78" spans="1:8" x14ac:dyDescent="0.25">
      <c r="A78" s="75">
        <v>40565</v>
      </c>
      <c r="B78" s="8" t="s">
        <v>321</v>
      </c>
      <c r="C78" s="8" t="s">
        <v>309</v>
      </c>
      <c r="D78" s="8" t="s">
        <v>3</v>
      </c>
      <c r="E78" s="8" t="s">
        <v>432</v>
      </c>
      <c r="F78" s="8">
        <v>35</v>
      </c>
      <c r="G78" s="22">
        <v>770</v>
      </c>
      <c r="H78" s="22">
        <v>350</v>
      </c>
    </row>
    <row r="79" spans="1:8" x14ac:dyDescent="0.25">
      <c r="A79" s="75">
        <v>40565</v>
      </c>
      <c r="B79" s="8" t="s">
        <v>315</v>
      </c>
      <c r="C79" s="8" t="s">
        <v>310</v>
      </c>
      <c r="D79" s="8" t="s">
        <v>132</v>
      </c>
      <c r="E79" s="8" t="s">
        <v>313</v>
      </c>
      <c r="F79" s="8">
        <v>29</v>
      </c>
      <c r="G79" s="22">
        <v>667</v>
      </c>
      <c r="H79" s="22">
        <v>319</v>
      </c>
    </row>
    <row r="80" spans="1:8" x14ac:dyDescent="0.25">
      <c r="A80" s="75">
        <v>40565</v>
      </c>
      <c r="B80" s="8" t="s">
        <v>321</v>
      </c>
      <c r="C80" s="8" t="s">
        <v>309</v>
      </c>
      <c r="D80" s="8" t="s">
        <v>132</v>
      </c>
      <c r="E80" s="8" t="s">
        <v>338</v>
      </c>
      <c r="F80" s="8">
        <v>6</v>
      </c>
      <c r="G80" s="22">
        <v>132</v>
      </c>
      <c r="H80" s="22">
        <v>60</v>
      </c>
    </row>
    <row r="81" spans="1:8" x14ac:dyDescent="0.25">
      <c r="A81" s="75">
        <v>40566</v>
      </c>
      <c r="B81" s="8" t="s">
        <v>311</v>
      </c>
      <c r="C81" s="8" t="s">
        <v>310</v>
      </c>
      <c r="D81" s="8" t="s">
        <v>7</v>
      </c>
      <c r="E81" s="8" t="s">
        <v>326</v>
      </c>
      <c r="F81" s="8">
        <v>49</v>
      </c>
      <c r="G81" s="22">
        <v>931</v>
      </c>
      <c r="H81" s="22">
        <v>392</v>
      </c>
    </row>
    <row r="82" spans="1:8" x14ac:dyDescent="0.25">
      <c r="A82" s="75">
        <v>40566</v>
      </c>
      <c r="B82" s="8" t="s">
        <v>319</v>
      </c>
      <c r="C82" s="8" t="s">
        <v>307</v>
      </c>
      <c r="D82" s="8" t="s">
        <v>312</v>
      </c>
      <c r="E82" s="8" t="s">
        <v>339</v>
      </c>
      <c r="F82" s="8">
        <v>44</v>
      </c>
      <c r="G82" s="22">
        <v>1188</v>
      </c>
      <c r="H82" s="22">
        <v>638</v>
      </c>
    </row>
    <row r="83" spans="1:8" x14ac:dyDescent="0.25">
      <c r="A83" s="75">
        <v>40566</v>
      </c>
      <c r="B83" s="8" t="s">
        <v>321</v>
      </c>
      <c r="C83" s="8" t="s">
        <v>307</v>
      </c>
      <c r="D83" s="8" t="s">
        <v>328</v>
      </c>
      <c r="E83" s="8" t="s">
        <v>345</v>
      </c>
      <c r="F83" s="8">
        <v>9</v>
      </c>
      <c r="G83" s="22">
        <v>198</v>
      </c>
      <c r="H83" s="22">
        <v>90</v>
      </c>
    </row>
    <row r="84" spans="1:8" x14ac:dyDescent="0.25">
      <c r="A84" s="75">
        <v>40566</v>
      </c>
      <c r="B84" s="8" t="s">
        <v>319</v>
      </c>
      <c r="C84" s="8" t="s">
        <v>307</v>
      </c>
      <c r="D84" s="8" t="s">
        <v>136</v>
      </c>
      <c r="E84" s="8" t="s">
        <v>338</v>
      </c>
      <c r="F84" s="8">
        <v>22</v>
      </c>
      <c r="G84" s="22">
        <v>594</v>
      </c>
      <c r="H84" s="22">
        <v>319</v>
      </c>
    </row>
    <row r="85" spans="1:8" x14ac:dyDescent="0.25">
      <c r="A85" s="75">
        <v>40567</v>
      </c>
      <c r="B85" s="8" t="s">
        <v>315</v>
      </c>
      <c r="C85" s="8" t="s">
        <v>308</v>
      </c>
      <c r="D85" s="8" t="s">
        <v>312</v>
      </c>
      <c r="E85" s="8" t="s">
        <v>344</v>
      </c>
      <c r="F85" s="8">
        <v>13</v>
      </c>
      <c r="G85" s="22">
        <v>299</v>
      </c>
      <c r="H85" s="22">
        <v>143</v>
      </c>
    </row>
    <row r="86" spans="1:8" x14ac:dyDescent="0.25">
      <c r="A86" s="75">
        <v>40567</v>
      </c>
      <c r="B86" s="8" t="s">
        <v>319</v>
      </c>
      <c r="C86" s="8" t="s">
        <v>309</v>
      </c>
      <c r="D86" s="8" t="s">
        <v>328</v>
      </c>
      <c r="E86" s="8" t="s">
        <v>335</v>
      </c>
      <c r="F86" s="8">
        <v>63</v>
      </c>
      <c r="G86" s="22">
        <v>1701</v>
      </c>
      <c r="H86" s="22">
        <v>913.5</v>
      </c>
    </row>
    <row r="87" spans="1:8" x14ac:dyDescent="0.25">
      <c r="A87" s="75">
        <v>40568</v>
      </c>
      <c r="B87" s="8" t="s">
        <v>311</v>
      </c>
      <c r="C87" s="8" t="s">
        <v>308</v>
      </c>
      <c r="D87" s="8" t="s">
        <v>312</v>
      </c>
      <c r="E87" s="8" t="s">
        <v>316</v>
      </c>
      <c r="F87" s="8">
        <v>21</v>
      </c>
      <c r="G87" s="22">
        <v>399</v>
      </c>
      <c r="H87" s="22">
        <v>168</v>
      </c>
    </row>
    <row r="88" spans="1:8" x14ac:dyDescent="0.25">
      <c r="A88" s="75">
        <v>40569</v>
      </c>
      <c r="B88" s="8" t="s">
        <v>321</v>
      </c>
      <c r="C88" s="8" t="s">
        <v>307</v>
      </c>
      <c r="D88" s="8" t="s">
        <v>7</v>
      </c>
      <c r="E88" s="8" t="s">
        <v>347</v>
      </c>
      <c r="F88" s="8">
        <v>17</v>
      </c>
      <c r="G88" s="22">
        <v>374</v>
      </c>
      <c r="H88" s="22">
        <v>170</v>
      </c>
    </row>
    <row r="89" spans="1:8" x14ac:dyDescent="0.25">
      <c r="A89" s="75">
        <v>40569</v>
      </c>
      <c r="B89" s="8" t="s">
        <v>321</v>
      </c>
      <c r="C89" s="8" t="s">
        <v>308</v>
      </c>
      <c r="D89" s="8" t="s">
        <v>328</v>
      </c>
      <c r="E89" s="8" t="s">
        <v>329</v>
      </c>
      <c r="F89" s="8">
        <v>21</v>
      </c>
      <c r="G89" s="22">
        <v>462</v>
      </c>
      <c r="H89" s="22">
        <v>210</v>
      </c>
    </row>
    <row r="90" spans="1:8" x14ac:dyDescent="0.25">
      <c r="A90" s="75">
        <v>40569</v>
      </c>
      <c r="B90" s="8" t="s">
        <v>321</v>
      </c>
      <c r="C90" s="8" t="s">
        <v>309</v>
      </c>
      <c r="D90" s="8" t="s">
        <v>136</v>
      </c>
      <c r="E90" s="8" t="s">
        <v>318</v>
      </c>
      <c r="F90" s="8">
        <v>61</v>
      </c>
      <c r="G90" s="22">
        <v>5000</v>
      </c>
      <c r="H90" s="22">
        <v>610</v>
      </c>
    </row>
    <row r="91" spans="1:8" x14ac:dyDescent="0.25">
      <c r="A91" s="75">
        <v>40569</v>
      </c>
      <c r="B91" s="8" t="s">
        <v>317</v>
      </c>
      <c r="C91" s="8" t="s">
        <v>310</v>
      </c>
      <c r="D91" s="8" t="s">
        <v>3</v>
      </c>
      <c r="E91" s="8" t="s">
        <v>345</v>
      </c>
      <c r="F91" s="8">
        <v>44</v>
      </c>
      <c r="G91" s="22">
        <v>924</v>
      </c>
      <c r="H91" s="22">
        <v>407</v>
      </c>
    </row>
    <row r="92" spans="1:8" x14ac:dyDescent="0.25">
      <c r="A92" s="75">
        <v>40570</v>
      </c>
      <c r="B92" s="8" t="s">
        <v>315</v>
      </c>
      <c r="C92" s="8" t="s">
        <v>309</v>
      </c>
      <c r="D92" s="8" t="s">
        <v>328</v>
      </c>
      <c r="E92" s="8" t="s">
        <v>333</v>
      </c>
      <c r="F92" s="8">
        <v>10</v>
      </c>
      <c r="G92" s="22">
        <v>230</v>
      </c>
      <c r="H92" s="22">
        <v>110</v>
      </c>
    </row>
    <row r="93" spans="1:8" x14ac:dyDescent="0.25">
      <c r="A93" s="75">
        <v>40571</v>
      </c>
      <c r="B93" s="8" t="s">
        <v>317</v>
      </c>
      <c r="C93" s="8" t="s">
        <v>309</v>
      </c>
      <c r="D93" s="8" t="s">
        <v>7</v>
      </c>
      <c r="E93" s="8" t="s">
        <v>324</v>
      </c>
      <c r="F93" s="8">
        <v>62</v>
      </c>
      <c r="G93" s="22">
        <v>1302</v>
      </c>
      <c r="H93" s="22">
        <v>573.5</v>
      </c>
    </row>
    <row r="94" spans="1:8" x14ac:dyDescent="0.25">
      <c r="A94" s="75">
        <v>40571</v>
      </c>
      <c r="B94" s="8" t="s">
        <v>315</v>
      </c>
      <c r="C94" s="8" t="s">
        <v>310</v>
      </c>
      <c r="D94" s="8" t="s">
        <v>312</v>
      </c>
      <c r="E94" s="8" t="s">
        <v>314</v>
      </c>
      <c r="F94" s="8">
        <v>46</v>
      </c>
      <c r="G94" s="22">
        <v>1058</v>
      </c>
      <c r="H94" s="22">
        <v>506</v>
      </c>
    </row>
    <row r="95" spans="1:8" x14ac:dyDescent="0.25">
      <c r="A95" s="75">
        <v>40571</v>
      </c>
      <c r="B95" s="8" t="s">
        <v>319</v>
      </c>
      <c r="C95" s="8" t="s">
        <v>310</v>
      </c>
      <c r="D95" s="8" t="s">
        <v>312</v>
      </c>
      <c r="E95" s="8" t="s">
        <v>432</v>
      </c>
      <c r="F95" s="8">
        <v>44</v>
      </c>
      <c r="G95" s="22">
        <v>1188</v>
      </c>
      <c r="H95" s="22">
        <v>638</v>
      </c>
    </row>
    <row r="96" spans="1:8" x14ac:dyDescent="0.25">
      <c r="A96" s="75">
        <v>40571</v>
      </c>
      <c r="B96" s="8" t="s">
        <v>319</v>
      </c>
      <c r="C96" s="8" t="s">
        <v>310</v>
      </c>
      <c r="D96" s="8" t="s">
        <v>328</v>
      </c>
      <c r="E96" s="8" t="s">
        <v>313</v>
      </c>
      <c r="F96" s="8">
        <v>56</v>
      </c>
      <c r="G96" s="22">
        <v>1512</v>
      </c>
      <c r="H96" s="22">
        <v>812</v>
      </c>
    </row>
    <row r="97" spans="1:8" x14ac:dyDescent="0.25">
      <c r="A97" s="75">
        <v>40571</v>
      </c>
      <c r="B97" s="8" t="s">
        <v>321</v>
      </c>
      <c r="C97" s="8" t="s">
        <v>310</v>
      </c>
      <c r="D97" s="8" t="s">
        <v>3</v>
      </c>
      <c r="E97" s="8" t="s">
        <v>333</v>
      </c>
      <c r="F97" s="8">
        <v>25</v>
      </c>
      <c r="G97" s="22">
        <v>550</v>
      </c>
      <c r="H97" s="22">
        <v>250</v>
      </c>
    </row>
    <row r="98" spans="1:8" x14ac:dyDescent="0.25">
      <c r="A98" s="75">
        <v>40571</v>
      </c>
      <c r="B98" s="8" t="s">
        <v>317</v>
      </c>
      <c r="C98" s="8" t="s">
        <v>307</v>
      </c>
      <c r="D98" s="8" t="s">
        <v>132</v>
      </c>
      <c r="E98" s="8" t="s">
        <v>340</v>
      </c>
      <c r="F98" s="8">
        <v>36</v>
      </c>
      <c r="G98" s="22">
        <v>756</v>
      </c>
      <c r="H98" s="22">
        <v>333</v>
      </c>
    </row>
    <row r="99" spans="1:8" x14ac:dyDescent="0.25">
      <c r="A99" s="75">
        <v>40571</v>
      </c>
      <c r="B99" s="8" t="s">
        <v>319</v>
      </c>
      <c r="C99" s="8" t="s">
        <v>308</v>
      </c>
      <c r="D99" s="8" t="s">
        <v>132</v>
      </c>
      <c r="E99" s="8" t="s">
        <v>432</v>
      </c>
      <c r="F99" s="8">
        <v>42</v>
      </c>
      <c r="G99" s="22">
        <v>1134</v>
      </c>
      <c r="H99" s="22">
        <v>609</v>
      </c>
    </row>
    <row r="100" spans="1:8" x14ac:dyDescent="0.25">
      <c r="A100" s="75">
        <v>40571</v>
      </c>
      <c r="B100" s="8" t="s">
        <v>311</v>
      </c>
      <c r="C100" s="8" t="s">
        <v>310</v>
      </c>
      <c r="D100" s="8" t="s">
        <v>132</v>
      </c>
      <c r="E100" s="8" t="s">
        <v>318</v>
      </c>
      <c r="F100" s="8">
        <v>51</v>
      </c>
      <c r="G100" s="22">
        <v>969</v>
      </c>
      <c r="H100" s="22">
        <v>408</v>
      </c>
    </row>
    <row r="101" spans="1:8" x14ac:dyDescent="0.25">
      <c r="A101" s="75">
        <v>40571</v>
      </c>
      <c r="B101" s="8" t="s">
        <v>315</v>
      </c>
      <c r="C101" s="8" t="s">
        <v>309</v>
      </c>
      <c r="D101" s="8" t="s">
        <v>132</v>
      </c>
      <c r="E101" s="8" t="s">
        <v>327</v>
      </c>
      <c r="F101" s="8">
        <v>15</v>
      </c>
      <c r="G101" s="22">
        <v>345</v>
      </c>
      <c r="H101" s="22">
        <v>165</v>
      </c>
    </row>
    <row r="102" spans="1:8" x14ac:dyDescent="0.25">
      <c r="A102" s="75">
        <v>40572</v>
      </c>
      <c r="B102" s="8" t="s">
        <v>321</v>
      </c>
      <c r="C102" s="8" t="s">
        <v>307</v>
      </c>
      <c r="D102" s="8" t="s">
        <v>7</v>
      </c>
      <c r="E102" s="8" t="s">
        <v>330</v>
      </c>
      <c r="F102" s="8">
        <v>50</v>
      </c>
      <c r="G102" s="22">
        <v>1100</v>
      </c>
      <c r="H102" s="22">
        <v>500</v>
      </c>
    </row>
    <row r="103" spans="1:8" x14ac:dyDescent="0.25">
      <c r="A103" s="75">
        <v>40572</v>
      </c>
      <c r="B103" s="8" t="s">
        <v>319</v>
      </c>
      <c r="C103" s="8" t="s">
        <v>308</v>
      </c>
      <c r="D103" s="8" t="s">
        <v>328</v>
      </c>
      <c r="E103" s="8" t="s">
        <v>343</v>
      </c>
      <c r="F103" s="8">
        <v>10</v>
      </c>
      <c r="G103" s="22">
        <v>270</v>
      </c>
      <c r="H103" s="22">
        <v>145</v>
      </c>
    </row>
    <row r="104" spans="1:8" x14ac:dyDescent="0.25">
      <c r="A104" s="75">
        <v>40573</v>
      </c>
      <c r="B104" s="8" t="s">
        <v>311</v>
      </c>
      <c r="C104" s="8" t="s">
        <v>309</v>
      </c>
      <c r="D104" s="8" t="s">
        <v>328</v>
      </c>
      <c r="E104" s="8" t="s">
        <v>334</v>
      </c>
      <c r="F104" s="8">
        <v>49</v>
      </c>
      <c r="G104" s="22">
        <v>931</v>
      </c>
      <c r="H104" s="22">
        <v>392</v>
      </c>
    </row>
    <row r="105" spans="1:8" x14ac:dyDescent="0.25">
      <c r="A105" s="75">
        <v>40573</v>
      </c>
      <c r="B105" s="8" t="s">
        <v>319</v>
      </c>
      <c r="C105" s="8" t="s">
        <v>310</v>
      </c>
      <c r="D105" s="8" t="s">
        <v>3</v>
      </c>
      <c r="E105" s="8" t="s">
        <v>322</v>
      </c>
      <c r="F105" s="8">
        <v>25</v>
      </c>
      <c r="G105" s="22">
        <v>675</v>
      </c>
      <c r="H105" s="22">
        <v>362.5</v>
      </c>
    </row>
    <row r="106" spans="1:8" x14ac:dyDescent="0.25">
      <c r="A106" s="75">
        <v>40573</v>
      </c>
      <c r="B106" s="8" t="s">
        <v>311</v>
      </c>
      <c r="C106" s="8" t="s">
        <v>310</v>
      </c>
      <c r="D106" s="8" t="s">
        <v>3</v>
      </c>
      <c r="E106" s="8" t="s">
        <v>322</v>
      </c>
      <c r="F106" s="8">
        <v>23</v>
      </c>
      <c r="G106" s="22">
        <v>437</v>
      </c>
      <c r="H106" s="22">
        <v>184</v>
      </c>
    </row>
  </sheetData>
  <sortState xmlns:xlrd2="http://schemas.microsoft.com/office/spreadsheetml/2017/richdata2" ref="A2:H106">
    <sortCondition ref="A2"/>
  </sortState>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8">
    <tabColor rgb="FF0000FF"/>
  </sheetPr>
  <dimension ref="A1"/>
  <sheetViews>
    <sheetView workbookViewId="0"/>
  </sheetViews>
  <sheetFormatPr defaultRowHeight="15" x14ac:dyDescent="0.25"/>
  <cols>
    <col min="7" max="8" width="8.28515625" customWidth="1"/>
  </cols>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9">
    <tabColor rgb="FF0000FF"/>
  </sheetPr>
  <dimension ref="A1:H106"/>
  <sheetViews>
    <sheetView workbookViewId="0">
      <selection activeCell="D3" sqref="D3"/>
    </sheetView>
  </sheetViews>
  <sheetFormatPr defaultColWidth="9.140625" defaultRowHeight="15" x14ac:dyDescent="0.25"/>
  <cols>
    <col min="7" max="7" width="10.8554687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40544</v>
      </c>
      <c r="B2" s="8" t="s">
        <v>319</v>
      </c>
      <c r="C2" s="8" t="s">
        <v>307</v>
      </c>
      <c r="D2" s="8" t="s">
        <v>3</v>
      </c>
      <c r="E2" s="8" t="s">
        <v>337</v>
      </c>
      <c r="F2" s="8">
        <v>16</v>
      </c>
      <c r="G2" s="22">
        <v>432</v>
      </c>
      <c r="H2" s="22">
        <v>232</v>
      </c>
    </row>
    <row r="3" spans="1:8" x14ac:dyDescent="0.25">
      <c r="A3" s="75">
        <v>40545</v>
      </c>
      <c r="B3" s="8" t="s">
        <v>321</v>
      </c>
      <c r="C3" s="8" t="s">
        <v>310</v>
      </c>
      <c r="D3" s="8" t="s">
        <v>328</v>
      </c>
      <c r="E3" s="8" t="s">
        <v>313</v>
      </c>
      <c r="F3" s="8">
        <v>24</v>
      </c>
      <c r="G3" s="22">
        <v>528</v>
      </c>
      <c r="H3" s="22">
        <v>240</v>
      </c>
    </row>
    <row r="4" spans="1:8" x14ac:dyDescent="0.25">
      <c r="A4" s="75">
        <v>40545</v>
      </c>
      <c r="B4" s="8" t="s">
        <v>319</v>
      </c>
      <c r="C4" s="8" t="s">
        <v>309</v>
      </c>
      <c r="D4" s="8" t="s">
        <v>136</v>
      </c>
      <c r="E4" s="8" t="s">
        <v>330</v>
      </c>
      <c r="F4" s="8">
        <v>30</v>
      </c>
      <c r="G4" s="22">
        <v>810</v>
      </c>
      <c r="H4" s="22">
        <v>435</v>
      </c>
    </row>
    <row r="5" spans="1:8" x14ac:dyDescent="0.25">
      <c r="A5" s="75">
        <v>40545</v>
      </c>
      <c r="B5" s="8" t="s">
        <v>321</v>
      </c>
      <c r="C5" s="8" t="s">
        <v>309</v>
      </c>
      <c r="D5" s="8" t="s">
        <v>136</v>
      </c>
      <c r="E5" s="8" t="s">
        <v>331</v>
      </c>
      <c r="F5" s="8">
        <v>19</v>
      </c>
      <c r="G5" s="22">
        <v>418</v>
      </c>
      <c r="H5" s="22">
        <v>190</v>
      </c>
    </row>
    <row r="6" spans="1:8" x14ac:dyDescent="0.25">
      <c r="A6" s="75">
        <v>40546</v>
      </c>
      <c r="B6" s="8" t="s">
        <v>311</v>
      </c>
      <c r="C6" s="8" t="s">
        <v>307</v>
      </c>
      <c r="D6" s="8" t="s">
        <v>136</v>
      </c>
      <c r="E6" s="8" t="s">
        <v>324</v>
      </c>
      <c r="F6" s="8">
        <v>38</v>
      </c>
      <c r="G6" s="22">
        <v>722</v>
      </c>
      <c r="H6" s="22">
        <v>304</v>
      </c>
    </row>
    <row r="7" spans="1:8" x14ac:dyDescent="0.25">
      <c r="A7" s="75">
        <v>40546</v>
      </c>
      <c r="B7" s="8" t="s">
        <v>315</v>
      </c>
      <c r="C7" s="8" t="s">
        <v>308</v>
      </c>
      <c r="D7" s="8" t="s">
        <v>7</v>
      </c>
      <c r="E7" s="8" t="s">
        <v>324</v>
      </c>
      <c r="F7" s="8">
        <v>20</v>
      </c>
      <c r="G7" s="22">
        <v>460</v>
      </c>
      <c r="H7" s="22">
        <v>220</v>
      </c>
    </row>
    <row r="8" spans="1:8" x14ac:dyDescent="0.25">
      <c r="A8" s="75">
        <v>40546</v>
      </c>
      <c r="B8" s="8" t="s">
        <v>317</v>
      </c>
      <c r="C8" s="8" t="s">
        <v>310</v>
      </c>
      <c r="D8" s="8" t="s">
        <v>136</v>
      </c>
      <c r="E8" s="8" t="s">
        <v>332</v>
      </c>
      <c r="F8" s="8">
        <v>23</v>
      </c>
      <c r="G8" s="22">
        <v>483</v>
      </c>
      <c r="H8" s="22">
        <v>212.75</v>
      </c>
    </row>
    <row r="9" spans="1:8" x14ac:dyDescent="0.25">
      <c r="A9" s="75">
        <v>40546</v>
      </c>
      <c r="B9" s="8" t="s">
        <v>311</v>
      </c>
      <c r="C9" s="8" t="s">
        <v>310</v>
      </c>
      <c r="D9" s="8" t="s">
        <v>3</v>
      </c>
      <c r="E9" s="8" t="s">
        <v>339</v>
      </c>
      <c r="F9" s="8">
        <v>6</v>
      </c>
      <c r="G9" s="22">
        <v>114</v>
      </c>
      <c r="H9" s="22">
        <v>48</v>
      </c>
    </row>
    <row r="10" spans="1:8" x14ac:dyDescent="0.25">
      <c r="A10" s="75">
        <v>40547</v>
      </c>
      <c r="B10" s="8" t="s">
        <v>317</v>
      </c>
      <c r="C10" s="8" t="s">
        <v>308</v>
      </c>
      <c r="D10" s="8" t="s">
        <v>3</v>
      </c>
      <c r="E10" s="8" t="s">
        <v>344</v>
      </c>
      <c r="F10" s="8">
        <v>29</v>
      </c>
      <c r="G10" s="22">
        <v>609</v>
      </c>
      <c r="H10" s="22">
        <v>268.25</v>
      </c>
    </row>
    <row r="11" spans="1:8" x14ac:dyDescent="0.25">
      <c r="A11" s="75">
        <v>40548</v>
      </c>
      <c r="B11" s="8" t="s">
        <v>317</v>
      </c>
      <c r="C11" s="8" t="s">
        <v>310</v>
      </c>
      <c r="D11" s="8" t="s">
        <v>136</v>
      </c>
      <c r="E11" s="8" t="s">
        <v>322</v>
      </c>
      <c r="F11" s="8">
        <v>57</v>
      </c>
      <c r="G11" s="22">
        <v>1197</v>
      </c>
      <c r="H11" s="22">
        <v>527.25</v>
      </c>
    </row>
    <row r="12" spans="1:8" x14ac:dyDescent="0.25">
      <c r="A12" s="75">
        <v>40548</v>
      </c>
      <c r="B12" s="8" t="s">
        <v>311</v>
      </c>
      <c r="C12" s="8" t="s">
        <v>309</v>
      </c>
      <c r="D12" s="8" t="s">
        <v>312</v>
      </c>
      <c r="E12" s="8" t="s">
        <v>323</v>
      </c>
      <c r="F12" s="8">
        <v>12</v>
      </c>
      <c r="G12" s="22">
        <v>228</v>
      </c>
      <c r="H12" s="22">
        <v>96</v>
      </c>
    </row>
    <row r="13" spans="1:8" x14ac:dyDescent="0.25">
      <c r="A13" s="75">
        <v>40548</v>
      </c>
      <c r="B13" s="8" t="s">
        <v>315</v>
      </c>
      <c r="C13" s="8" t="s">
        <v>309</v>
      </c>
      <c r="D13" s="8" t="s">
        <v>312</v>
      </c>
      <c r="E13" s="8" t="s">
        <v>429</v>
      </c>
      <c r="F13" s="8">
        <v>60</v>
      </c>
      <c r="G13" s="22">
        <v>1380</v>
      </c>
      <c r="H13" s="22">
        <v>660</v>
      </c>
    </row>
    <row r="14" spans="1:8" x14ac:dyDescent="0.25">
      <c r="A14" s="75">
        <v>40549</v>
      </c>
      <c r="B14" s="8" t="s">
        <v>311</v>
      </c>
      <c r="C14" s="8" t="s">
        <v>307</v>
      </c>
      <c r="D14" s="8" t="s">
        <v>312</v>
      </c>
      <c r="E14" s="8" t="s">
        <v>329</v>
      </c>
      <c r="F14" s="8">
        <v>54</v>
      </c>
      <c r="G14" s="22">
        <v>1026</v>
      </c>
      <c r="H14" s="22">
        <v>432</v>
      </c>
    </row>
    <row r="15" spans="1:8" x14ac:dyDescent="0.25">
      <c r="A15" s="75">
        <v>40549</v>
      </c>
      <c r="B15" s="8" t="s">
        <v>311</v>
      </c>
      <c r="C15" s="8" t="s">
        <v>310</v>
      </c>
      <c r="D15" s="8" t="s">
        <v>132</v>
      </c>
      <c r="E15" s="8" t="s">
        <v>333</v>
      </c>
      <c r="F15" s="8">
        <v>40</v>
      </c>
      <c r="G15" s="22">
        <v>760</v>
      </c>
      <c r="H15" s="22">
        <v>320</v>
      </c>
    </row>
    <row r="16" spans="1:8" x14ac:dyDescent="0.25">
      <c r="A16" s="75">
        <v>40549</v>
      </c>
      <c r="B16" s="8" t="s">
        <v>315</v>
      </c>
      <c r="C16" s="8" t="s">
        <v>309</v>
      </c>
      <c r="D16" s="8" t="s">
        <v>3</v>
      </c>
      <c r="E16" s="8" t="s">
        <v>347</v>
      </c>
      <c r="F16" s="8">
        <v>18</v>
      </c>
      <c r="G16" s="22">
        <v>414</v>
      </c>
      <c r="H16" s="22">
        <v>198</v>
      </c>
    </row>
    <row r="17" spans="1:8" x14ac:dyDescent="0.25">
      <c r="A17" s="75">
        <v>40549</v>
      </c>
      <c r="B17" s="8" t="s">
        <v>319</v>
      </c>
      <c r="C17" s="8" t="s">
        <v>309</v>
      </c>
      <c r="D17" s="8" t="s">
        <v>3</v>
      </c>
      <c r="E17" s="8" t="s">
        <v>339</v>
      </c>
      <c r="F17" s="8">
        <v>64</v>
      </c>
      <c r="G17" s="22">
        <v>1728</v>
      </c>
      <c r="H17" s="22">
        <v>928</v>
      </c>
    </row>
    <row r="18" spans="1:8" x14ac:dyDescent="0.25">
      <c r="A18" s="75">
        <v>40550</v>
      </c>
      <c r="B18" s="8" t="s">
        <v>315</v>
      </c>
      <c r="C18" s="8" t="s">
        <v>308</v>
      </c>
      <c r="D18" s="8" t="s">
        <v>312</v>
      </c>
      <c r="E18" s="8" t="s">
        <v>428</v>
      </c>
      <c r="F18" s="8">
        <v>12</v>
      </c>
      <c r="G18" s="22">
        <v>276</v>
      </c>
      <c r="H18" s="22">
        <v>132</v>
      </c>
    </row>
    <row r="19" spans="1:8" x14ac:dyDescent="0.25">
      <c r="A19" s="75">
        <v>40550</v>
      </c>
      <c r="B19" s="8" t="s">
        <v>317</v>
      </c>
      <c r="C19" s="8" t="s">
        <v>308</v>
      </c>
      <c r="D19" s="8" t="s">
        <v>3</v>
      </c>
      <c r="E19" s="8" t="s">
        <v>339</v>
      </c>
      <c r="F19" s="8">
        <v>22</v>
      </c>
      <c r="G19" s="22">
        <v>462</v>
      </c>
      <c r="H19" s="22">
        <v>203.5</v>
      </c>
    </row>
    <row r="20" spans="1:8" x14ac:dyDescent="0.25">
      <c r="A20" s="75">
        <v>40550</v>
      </c>
      <c r="B20" s="8" t="s">
        <v>317</v>
      </c>
      <c r="C20" s="8" t="s">
        <v>309</v>
      </c>
      <c r="D20" s="8" t="s">
        <v>136</v>
      </c>
      <c r="E20" s="8" t="s">
        <v>326</v>
      </c>
      <c r="F20" s="8">
        <v>61</v>
      </c>
      <c r="G20" s="22">
        <v>1281</v>
      </c>
      <c r="H20" s="22">
        <v>564.25</v>
      </c>
    </row>
    <row r="21" spans="1:8" x14ac:dyDescent="0.25">
      <c r="A21" s="75">
        <v>40550</v>
      </c>
      <c r="B21" s="8" t="s">
        <v>317</v>
      </c>
      <c r="C21" s="8" t="s">
        <v>309</v>
      </c>
      <c r="D21" s="8" t="s">
        <v>136</v>
      </c>
      <c r="E21" s="8" t="s">
        <v>338</v>
      </c>
      <c r="F21" s="8">
        <v>53</v>
      </c>
      <c r="G21" s="22">
        <v>1113</v>
      </c>
      <c r="H21" s="22">
        <v>490.25</v>
      </c>
    </row>
    <row r="22" spans="1:8" x14ac:dyDescent="0.25">
      <c r="A22" s="75">
        <v>40550</v>
      </c>
      <c r="B22" s="8" t="s">
        <v>321</v>
      </c>
      <c r="C22" s="8" t="s">
        <v>309</v>
      </c>
      <c r="D22" s="8" t="s">
        <v>132</v>
      </c>
      <c r="E22" s="8" t="s">
        <v>326</v>
      </c>
      <c r="F22" s="8">
        <v>27</v>
      </c>
      <c r="G22" s="22">
        <v>594</v>
      </c>
      <c r="H22" s="22">
        <v>270</v>
      </c>
    </row>
    <row r="23" spans="1:8" x14ac:dyDescent="0.25">
      <c r="A23" s="75">
        <v>40551</v>
      </c>
      <c r="B23" s="8" t="s">
        <v>319</v>
      </c>
      <c r="C23" s="8" t="s">
        <v>309</v>
      </c>
      <c r="D23" s="8" t="s">
        <v>7</v>
      </c>
      <c r="E23" s="8" t="s">
        <v>335</v>
      </c>
      <c r="F23" s="8">
        <v>16</v>
      </c>
      <c r="G23" s="22">
        <v>432</v>
      </c>
      <c r="H23" s="22">
        <v>232</v>
      </c>
    </row>
    <row r="24" spans="1:8" x14ac:dyDescent="0.25">
      <c r="A24" s="75">
        <v>40552</v>
      </c>
      <c r="B24" s="8" t="s">
        <v>315</v>
      </c>
      <c r="C24" s="8" t="s">
        <v>307</v>
      </c>
      <c r="D24" s="8" t="s">
        <v>312</v>
      </c>
      <c r="E24" s="8" t="s">
        <v>332</v>
      </c>
      <c r="F24" s="8">
        <v>38</v>
      </c>
      <c r="G24" s="22">
        <v>874</v>
      </c>
      <c r="H24" s="22">
        <v>418</v>
      </c>
    </row>
    <row r="25" spans="1:8" x14ac:dyDescent="0.25">
      <c r="A25" s="75">
        <v>40552</v>
      </c>
      <c r="B25" s="8" t="s">
        <v>321</v>
      </c>
      <c r="C25" s="8" t="s">
        <v>307</v>
      </c>
      <c r="D25" s="8" t="s">
        <v>136</v>
      </c>
      <c r="E25" s="8" t="s">
        <v>325</v>
      </c>
      <c r="F25" s="8">
        <v>40</v>
      </c>
      <c r="G25" s="22">
        <v>880</v>
      </c>
      <c r="H25" s="22">
        <v>400</v>
      </c>
    </row>
    <row r="26" spans="1:8" x14ac:dyDescent="0.25">
      <c r="A26" s="75">
        <v>40552</v>
      </c>
      <c r="B26" s="8" t="s">
        <v>311</v>
      </c>
      <c r="C26" s="8" t="s">
        <v>307</v>
      </c>
      <c r="D26" s="8" t="s">
        <v>132</v>
      </c>
      <c r="E26" s="8" t="s">
        <v>339</v>
      </c>
      <c r="F26" s="8">
        <v>42</v>
      </c>
      <c r="G26" s="22">
        <v>798</v>
      </c>
      <c r="H26" s="22">
        <v>336</v>
      </c>
    </row>
    <row r="27" spans="1:8" x14ac:dyDescent="0.25">
      <c r="A27" s="75">
        <v>40552</v>
      </c>
      <c r="B27" s="8" t="s">
        <v>321</v>
      </c>
      <c r="C27" s="8" t="s">
        <v>310</v>
      </c>
      <c r="D27" s="8" t="s">
        <v>7</v>
      </c>
      <c r="E27" s="8" t="s">
        <v>332</v>
      </c>
      <c r="F27" s="8">
        <v>26</v>
      </c>
      <c r="G27" s="22">
        <v>572</v>
      </c>
      <c r="H27" s="22">
        <v>260</v>
      </c>
    </row>
    <row r="28" spans="1:8" x14ac:dyDescent="0.25">
      <c r="A28" s="75">
        <v>40552</v>
      </c>
      <c r="B28" s="8" t="s">
        <v>321</v>
      </c>
      <c r="C28" s="8" t="s">
        <v>310</v>
      </c>
      <c r="D28" s="8" t="s">
        <v>3</v>
      </c>
      <c r="E28" s="8" t="s">
        <v>333</v>
      </c>
      <c r="F28" s="8">
        <v>15</v>
      </c>
      <c r="G28" s="22">
        <v>330</v>
      </c>
      <c r="H28" s="22">
        <v>150</v>
      </c>
    </row>
    <row r="29" spans="1:8" x14ac:dyDescent="0.25">
      <c r="A29" s="75">
        <v>40553</v>
      </c>
      <c r="B29" s="8" t="s">
        <v>317</v>
      </c>
      <c r="C29" s="8" t="s">
        <v>307</v>
      </c>
      <c r="D29" s="8" t="s">
        <v>328</v>
      </c>
      <c r="E29" s="8" t="s">
        <v>342</v>
      </c>
      <c r="F29" s="8">
        <v>27</v>
      </c>
      <c r="G29" s="22">
        <v>567</v>
      </c>
      <c r="H29" s="22">
        <v>249.75</v>
      </c>
    </row>
    <row r="30" spans="1:8" x14ac:dyDescent="0.25">
      <c r="A30" s="75">
        <v>40553</v>
      </c>
      <c r="B30" s="8" t="s">
        <v>315</v>
      </c>
      <c r="C30" s="8" t="s">
        <v>307</v>
      </c>
      <c r="D30" s="8" t="s">
        <v>136</v>
      </c>
      <c r="E30" s="8" t="s">
        <v>337</v>
      </c>
      <c r="F30" s="8">
        <v>63</v>
      </c>
      <c r="G30" s="22">
        <v>1449</v>
      </c>
      <c r="H30" s="22">
        <v>693</v>
      </c>
    </row>
    <row r="31" spans="1:8" x14ac:dyDescent="0.25">
      <c r="A31" s="75">
        <v>40553</v>
      </c>
      <c r="B31" s="8" t="s">
        <v>319</v>
      </c>
      <c r="C31" s="8" t="s">
        <v>307</v>
      </c>
      <c r="D31" s="8" t="s">
        <v>132</v>
      </c>
      <c r="E31" s="8" t="s">
        <v>334</v>
      </c>
      <c r="F31" s="8">
        <v>17</v>
      </c>
      <c r="G31" s="22">
        <v>459</v>
      </c>
      <c r="H31" s="22">
        <v>246.5</v>
      </c>
    </row>
    <row r="32" spans="1:8" x14ac:dyDescent="0.25">
      <c r="A32" s="75">
        <v>40553</v>
      </c>
      <c r="B32" s="8" t="s">
        <v>317</v>
      </c>
      <c r="C32" s="8" t="s">
        <v>307</v>
      </c>
      <c r="D32" s="8" t="s">
        <v>132</v>
      </c>
      <c r="E32" s="8" t="s">
        <v>341</v>
      </c>
      <c r="F32" s="8">
        <v>17</v>
      </c>
      <c r="G32" s="22">
        <v>357</v>
      </c>
      <c r="H32" s="22">
        <v>157.25</v>
      </c>
    </row>
    <row r="33" spans="1:8" x14ac:dyDescent="0.25">
      <c r="A33" s="75">
        <v>40553</v>
      </c>
      <c r="B33" s="8" t="s">
        <v>321</v>
      </c>
      <c r="C33" s="8" t="s">
        <v>308</v>
      </c>
      <c r="D33" s="8" t="s">
        <v>328</v>
      </c>
      <c r="E33" s="8" t="s">
        <v>324</v>
      </c>
      <c r="F33" s="8">
        <v>7</v>
      </c>
      <c r="G33" s="22">
        <v>154</v>
      </c>
      <c r="H33" s="22">
        <v>70</v>
      </c>
    </row>
    <row r="34" spans="1:8" x14ac:dyDescent="0.25">
      <c r="A34" s="75">
        <v>40553</v>
      </c>
      <c r="B34" s="8" t="s">
        <v>311</v>
      </c>
      <c r="C34" s="8" t="s">
        <v>308</v>
      </c>
      <c r="D34" s="8" t="s">
        <v>132</v>
      </c>
      <c r="E34" s="8" t="s">
        <v>322</v>
      </c>
      <c r="F34" s="8">
        <v>8</v>
      </c>
      <c r="G34" s="22">
        <v>152</v>
      </c>
      <c r="H34" s="22">
        <v>64</v>
      </c>
    </row>
    <row r="35" spans="1:8" x14ac:dyDescent="0.25">
      <c r="A35" s="75">
        <v>40553</v>
      </c>
      <c r="B35" s="8" t="s">
        <v>311</v>
      </c>
      <c r="C35" s="8" t="s">
        <v>310</v>
      </c>
      <c r="D35" s="8" t="s">
        <v>7</v>
      </c>
      <c r="E35" s="8" t="s">
        <v>342</v>
      </c>
      <c r="F35" s="8">
        <v>30</v>
      </c>
      <c r="G35" s="22">
        <v>570</v>
      </c>
      <c r="H35" s="22">
        <v>240</v>
      </c>
    </row>
    <row r="36" spans="1:8" x14ac:dyDescent="0.25">
      <c r="A36" s="75">
        <v>40553</v>
      </c>
      <c r="B36" s="8" t="s">
        <v>317</v>
      </c>
      <c r="C36" s="8" t="s">
        <v>310</v>
      </c>
      <c r="D36" s="8" t="s">
        <v>3</v>
      </c>
      <c r="E36" s="8" t="s">
        <v>341</v>
      </c>
      <c r="F36" s="8">
        <v>47</v>
      </c>
      <c r="G36" s="22">
        <v>987</v>
      </c>
      <c r="H36" s="22">
        <v>434.75</v>
      </c>
    </row>
    <row r="37" spans="1:8" x14ac:dyDescent="0.25">
      <c r="A37" s="75">
        <v>40553</v>
      </c>
      <c r="B37" s="8" t="s">
        <v>319</v>
      </c>
      <c r="C37" s="8" t="s">
        <v>309</v>
      </c>
      <c r="D37" s="8" t="s">
        <v>132</v>
      </c>
      <c r="E37" s="8" t="s">
        <v>313</v>
      </c>
      <c r="F37" s="8">
        <v>65</v>
      </c>
      <c r="G37" s="22">
        <v>1755</v>
      </c>
      <c r="H37" s="22">
        <v>942.5</v>
      </c>
    </row>
    <row r="38" spans="1:8" x14ac:dyDescent="0.25">
      <c r="A38" s="75">
        <v>40554</v>
      </c>
      <c r="B38" s="8" t="s">
        <v>319</v>
      </c>
      <c r="C38" s="8" t="s">
        <v>307</v>
      </c>
      <c r="D38" s="8" t="s">
        <v>312</v>
      </c>
      <c r="E38" s="8" t="s">
        <v>336</v>
      </c>
      <c r="F38" s="8">
        <v>14</v>
      </c>
      <c r="G38" s="22">
        <v>378</v>
      </c>
      <c r="H38" s="22">
        <v>203</v>
      </c>
    </row>
    <row r="39" spans="1:8" x14ac:dyDescent="0.25">
      <c r="A39" s="75">
        <v>40554</v>
      </c>
      <c r="B39" s="8" t="s">
        <v>319</v>
      </c>
      <c r="C39" s="8" t="s">
        <v>307</v>
      </c>
      <c r="D39" s="8" t="s">
        <v>132</v>
      </c>
      <c r="E39" s="8" t="s">
        <v>344</v>
      </c>
      <c r="F39" s="8">
        <v>49</v>
      </c>
      <c r="G39" s="22">
        <v>1323</v>
      </c>
      <c r="H39" s="22">
        <v>710.5</v>
      </c>
    </row>
    <row r="40" spans="1:8" x14ac:dyDescent="0.25">
      <c r="A40" s="75">
        <v>40555</v>
      </c>
      <c r="B40" s="8" t="s">
        <v>317</v>
      </c>
      <c r="C40" s="8" t="s">
        <v>308</v>
      </c>
      <c r="D40" s="8" t="s">
        <v>328</v>
      </c>
      <c r="E40" s="8" t="s">
        <v>336</v>
      </c>
      <c r="F40" s="8">
        <v>19</v>
      </c>
      <c r="G40" s="22">
        <v>399</v>
      </c>
      <c r="H40" s="22">
        <v>175.75</v>
      </c>
    </row>
    <row r="41" spans="1:8" x14ac:dyDescent="0.25">
      <c r="A41" s="75">
        <v>40555</v>
      </c>
      <c r="B41" s="8" t="s">
        <v>321</v>
      </c>
      <c r="C41" s="8" t="s">
        <v>310</v>
      </c>
      <c r="D41" s="8" t="s">
        <v>7</v>
      </c>
      <c r="E41" s="8" t="s">
        <v>338</v>
      </c>
      <c r="F41" s="8">
        <v>7</v>
      </c>
      <c r="G41" s="22">
        <v>154</v>
      </c>
      <c r="H41" s="22">
        <v>70</v>
      </c>
    </row>
    <row r="42" spans="1:8" x14ac:dyDescent="0.25">
      <c r="A42" s="75">
        <v>40556</v>
      </c>
      <c r="B42" s="8" t="s">
        <v>321</v>
      </c>
      <c r="C42" s="8" t="s">
        <v>308</v>
      </c>
      <c r="D42" s="8" t="s">
        <v>136</v>
      </c>
      <c r="E42" s="8" t="s">
        <v>343</v>
      </c>
      <c r="F42" s="8">
        <v>57</v>
      </c>
      <c r="G42" s="22">
        <v>1254</v>
      </c>
      <c r="H42" s="22">
        <v>570</v>
      </c>
    </row>
    <row r="43" spans="1:8" x14ac:dyDescent="0.25">
      <c r="A43" s="75">
        <v>40556</v>
      </c>
      <c r="B43" s="8" t="s">
        <v>311</v>
      </c>
      <c r="C43" s="8" t="s">
        <v>308</v>
      </c>
      <c r="D43" s="8" t="s">
        <v>136</v>
      </c>
      <c r="E43" s="8" t="s">
        <v>329</v>
      </c>
      <c r="F43" s="8">
        <v>33</v>
      </c>
      <c r="G43" s="22">
        <v>627</v>
      </c>
      <c r="H43" s="22">
        <v>264</v>
      </c>
    </row>
    <row r="44" spans="1:8" x14ac:dyDescent="0.25">
      <c r="A44" s="75">
        <v>40556</v>
      </c>
      <c r="B44" s="8" t="s">
        <v>321</v>
      </c>
      <c r="C44" s="8" t="s">
        <v>308</v>
      </c>
      <c r="D44" s="8" t="s">
        <v>136</v>
      </c>
      <c r="E44" s="8" t="s">
        <v>329</v>
      </c>
      <c r="F44" s="8">
        <v>40</v>
      </c>
      <c r="G44" s="22">
        <v>880</v>
      </c>
      <c r="H44" s="22">
        <v>400</v>
      </c>
    </row>
    <row r="45" spans="1:8" x14ac:dyDescent="0.25">
      <c r="A45" s="75">
        <v>40556</v>
      </c>
      <c r="B45" s="8" t="s">
        <v>315</v>
      </c>
      <c r="C45" s="8" t="s">
        <v>310</v>
      </c>
      <c r="D45" s="8" t="s">
        <v>132</v>
      </c>
      <c r="E45" s="8" t="s">
        <v>324</v>
      </c>
      <c r="F45" s="8">
        <v>52</v>
      </c>
      <c r="G45" s="22">
        <v>1196</v>
      </c>
      <c r="H45" s="22">
        <v>572</v>
      </c>
    </row>
    <row r="46" spans="1:8" x14ac:dyDescent="0.25">
      <c r="A46" s="75">
        <v>40557</v>
      </c>
      <c r="B46" s="8" t="s">
        <v>315</v>
      </c>
      <c r="C46" s="8" t="s">
        <v>307</v>
      </c>
      <c r="D46" s="8" t="s">
        <v>312</v>
      </c>
      <c r="E46" s="8" t="s">
        <v>316</v>
      </c>
      <c r="F46" s="8">
        <v>34</v>
      </c>
      <c r="G46" s="22">
        <v>782</v>
      </c>
      <c r="H46" s="22">
        <v>374</v>
      </c>
    </row>
    <row r="47" spans="1:8" x14ac:dyDescent="0.25">
      <c r="A47" s="75">
        <v>40558</v>
      </c>
      <c r="B47" s="8" t="s">
        <v>317</v>
      </c>
      <c r="C47" s="8" t="s">
        <v>307</v>
      </c>
      <c r="D47" s="8" t="s">
        <v>328</v>
      </c>
      <c r="E47" s="8" t="s">
        <v>330</v>
      </c>
      <c r="F47" s="8">
        <v>63</v>
      </c>
      <c r="G47" s="22">
        <v>1323</v>
      </c>
      <c r="H47" s="22">
        <v>582.75</v>
      </c>
    </row>
    <row r="48" spans="1:8" x14ac:dyDescent="0.25">
      <c r="A48" s="75">
        <v>40558</v>
      </c>
      <c r="B48" s="8" t="s">
        <v>311</v>
      </c>
      <c r="C48" s="8" t="s">
        <v>308</v>
      </c>
      <c r="D48" s="8" t="s">
        <v>7</v>
      </c>
      <c r="E48" s="8" t="s">
        <v>432</v>
      </c>
      <c r="F48" s="8">
        <v>11</v>
      </c>
      <c r="G48" s="22">
        <v>209</v>
      </c>
      <c r="H48" s="22">
        <v>88</v>
      </c>
    </row>
    <row r="49" spans="1:8" x14ac:dyDescent="0.25">
      <c r="A49" s="75">
        <v>40559</v>
      </c>
      <c r="B49" s="8" t="s">
        <v>321</v>
      </c>
      <c r="C49" s="8" t="s">
        <v>308</v>
      </c>
      <c r="D49" s="8" t="s">
        <v>3</v>
      </c>
      <c r="E49" s="8" t="s">
        <v>432</v>
      </c>
      <c r="F49" s="8">
        <v>56</v>
      </c>
      <c r="G49" s="22">
        <v>1232</v>
      </c>
      <c r="H49" s="22">
        <v>560</v>
      </c>
    </row>
    <row r="50" spans="1:8" x14ac:dyDescent="0.25">
      <c r="A50" s="75">
        <v>40559</v>
      </c>
      <c r="B50" s="8" t="s">
        <v>315</v>
      </c>
      <c r="C50" s="8" t="s">
        <v>310</v>
      </c>
      <c r="D50" s="8" t="s">
        <v>132</v>
      </c>
      <c r="E50" s="8" t="s">
        <v>333</v>
      </c>
      <c r="F50" s="8">
        <v>31</v>
      </c>
      <c r="G50" s="22">
        <v>713</v>
      </c>
      <c r="H50" s="22">
        <v>341</v>
      </c>
    </row>
    <row r="51" spans="1:8" x14ac:dyDescent="0.25">
      <c r="A51" s="75">
        <v>40560</v>
      </c>
      <c r="B51" s="8" t="s">
        <v>319</v>
      </c>
      <c r="C51" s="8" t="s">
        <v>307</v>
      </c>
      <c r="D51" s="8" t="s">
        <v>312</v>
      </c>
      <c r="E51" s="8" t="s">
        <v>335</v>
      </c>
      <c r="F51" s="8">
        <v>62</v>
      </c>
      <c r="G51" s="22">
        <v>1674</v>
      </c>
      <c r="H51" s="22">
        <v>899</v>
      </c>
    </row>
    <row r="52" spans="1:8" x14ac:dyDescent="0.25">
      <c r="A52" s="75">
        <v>40560</v>
      </c>
      <c r="B52" s="8" t="s">
        <v>319</v>
      </c>
      <c r="C52" s="8" t="s">
        <v>307</v>
      </c>
      <c r="D52" s="8" t="s">
        <v>328</v>
      </c>
      <c r="E52" s="8" t="s">
        <v>331</v>
      </c>
      <c r="F52" s="8">
        <v>43</v>
      </c>
      <c r="G52" s="22">
        <v>1161</v>
      </c>
      <c r="H52" s="22">
        <v>623.5</v>
      </c>
    </row>
    <row r="53" spans="1:8" x14ac:dyDescent="0.25">
      <c r="A53" s="75">
        <v>40560</v>
      </c>
      <c r="B53" s="8" t="s">
        <v>315</v>
      </c>
      <c r="C53" s="8" t="s">
        <v>307</v>
      </c>
      <c r="D53" s="8" t="s">
        <v>3</v>
      </c>
      <c r="E53" s="8" t="s">
        <v>339</v>
      </c>
      <c r="F53" s="8">
        <v>39</v>
      </c>
      <c r="G53" s="22">
        <v>897</v>
      </c>
      <c r="H53" s="22">
        <v>429</v>
      </c>
    </row>
    <row r="54" spans="1:8" x14ac:dyDescent="0.25">
      <c r="A54" s="75">
        <v>40560</v>
      </c>
      <c r="B54" s="8" t="s">
        <v>319</v>
      </c>
      <c r="C54" s="8" t="s">
        <v>308</v>
      </c>
      <c r="D54" s="8" t="s">
        <v>7</v>
      </c>
      <c r="E54" s="8" t="s">
        <v>325</v>
      </c>
      <c r="F54" s="8">
        <v>61</v>
      </c>
      <c r="G54" s="22">
        <v>1647</v>
      </c>
      <c r="H54" s="22">
        <v>884.5</v>
      </c>
    </row>
    <row r="55" spans="1:8" x14ac:dyDescent="0.25">
      <c r="A55" s="75">
        <v>40560</v>
      </c>
      <c r="B55" s="8" t="s">
        <v>311</v>
      </c>
      <c r="C55" s="8" t="s">
        <v>308</v>
      </c>
      <c r="D55" s="8" t="s">
        <v>312</v>
      </c>
      <c r="E55" s="8" t="s">
        <v>428</v>
      </c>
      <c r="F55" s="8">
        <v>59</v>
      </c>
      <c r="G55" s="22">
        <v>1121</v>
      </c>
      <c r="H55" s="22">
        <v>472</v>
      </c>
    </row>
    <row r="56" spans="1:8" x14ac:dyDescent="0.25">
      <c r="A56" s="75">
        <v>40560</v>
      </c>
      <c r="B56" s="8" t="s">
        <v>321</v>
      </c>
      <c r="C56" s="8" t="s">
        <v>308</v>
      </c>
      <c r="D56" s="8" t="s">
        <v>132</v>
      </c>
      <c r="E56" s="8" t="s">
        <v>339</v>
      </c>
      <c r="F56" s="8">
        <v>16</v>
      </c>
      <c r="G56" s="22">
        <v>352</v>
      </c>
      <c r="H56" s="22">
        <v>160</v>
      </c>
    </row>
    <row r="57" spans="1:8" x14ac:dyDescent="0.25">
      <c r="A57" s="75">
        <v>40560</v>
      </c>
      <c r="B57" s="8" t="s">
        <v>319</v>
      </c>
      <c r="C57" s="8" t="s">
        <v>309</v>
      </c>
      <c r="D57" s="8" t="s">
        <v>7</v>
      </c>
      <c r="E57" s="8" t="s">
        <v>339</v>
      </c>
      <c r="F57" s="8">
        <v>10</v>
      </c>
      <c r="G57" s="22">
        <v>270</v>
      </c>
      <c r="H57" s="22">
        <v>145</v>
      </c>
    </row>
    <row r="58" spans="1:8" x14ac:dyDescent="0.25">
      <c r="A58" s="75">
        <v>40561</v>
      </c>
      <c r="B58" s="8" t="s">
        <v>311</v>
      </c>
      <c r="C58" s="8" t="s">
        <v>307</v>
      </c>
      <c r="D58" s="8" t="s">
        <v>312</v>
      </c>
      <c r="E58" s="8" t="s">
        <v>337</v>
      </c>
      <c r="F58" s="8">
        <v>24</v>
      </c>
      <c r="G58" s="22">
        <v>456</v>
      </c>
      <c r="H58" s="22">
        <v>192</v>
      </c>
    </row>
    <row r="59" spans="1:8" x14ac:dyDescent="0.25">
      <c r="A59" s="75">
        <v>40561</v>
      </c>
      <c r="B59" s="8" t="s">
        <v>321</v>
      </c>
      <c r="C59" s="8" t="s">
        <v>307</v>
      </c>
      <c r="D59" s="8" t="s">
        <v>312</v>
      </c>
      <c r="E59" s="8" t="s">
        <v>345</v>
      </c>
      <c r="F59" s="8">
        <v>20</v>
      </c>
      <c r="G59" s="22">
        <v>440</v>
      </c>
      <c r="H59" s="22">
        <v>200</v>
      </c>
    </row>
    <row r="60" spans="1:8" x14ac:dyDescent="0.25">
      <c r="A60" s="75">
        <v>40561</v>
      </c>
      <c r="B60" s="8" t="s">
        <v>317</v>
      </c>
      <c r="C60" s="8" t="s">
        <v>307</v>
      </c>
      <c r="D60" s="8" t="s">
        <v>328</v>
      </c>
      <c r="E60" s="8" t="s">
        <v>314</v>
      </c>
      <c r="F60" s="8">
        <v>12</v>
      </c>
      <c r="G60" s="22">
        <v>252</v>
      </c>
      <c r="H60" s="22">
        <v>111</v>
      </c>
    </row>
    <row r="61" spans="1:8" x14ac:dyDescent="0.25">
      <c r="A61" s="75">
        <v>40561</v>
      </c>
      <c r="B61" s="8" t="s">
        <v>321</v>
      </c>
      <c r="C61" s="8" t="s">
        <v>307</v>
      </c>
      <c r="D61" s="8" t="s">
        <v>136</v>
      </c>
      <c r="E61" s="8" t="s">
        <v>334</v>
      </c>
      <c r="F61" s="8">
        <v>59</v>
      </c>
      <c r="G61" s="22">
        <v>1298</v>
      </c>
      <c r="H61" s="22">
        <v>590</v>
      </c>
    </row>
    <row r="62" spans="1:8" x14ac:dyDescent="0.25">
      <c r="A62" s="75">
        <v>40561</v>
      </c>
      <c r="B62" s="8" t="s">
        <v>311</v>
      </c>
      <c r="C62" s="8" t="s">
        <v>308</v>
      </c>
      <c r="D62" s="8" t="s">
        <v>7</v>
      </c>
      <c r="E62" s="8" t="s">
        <v>339</v>
      </c>
      <c r="F62" s="8">
        <v>62</v>
      </c>
      <c r="G62" s="22">
        <v>1178</v>
      </c>
      <c r="H62" s="22">
        <v>496</v>
      </c>
    </row>
    <row r="63" spans="1:8" x14ac:dyDescent="0.25">
      <c r="A63" s="75">
        <v>40561</v>
      </c>
      <c r="B63" s="8" t="s">
        <v>319</v>
      </c>
      <c r="C63" s="8" t="s">
        <v>308</v>
      </c>
      <c r="D63" s="8" t="s">
        <v>132</v>
      </c>
      <c r="E63" s="8" t="s">
        <v>343</v>
      </c>
      <c r="F63" s="8">
        <v>17</v>
      </c>
      <c r="G63" s="22">
        <v>459</v>
      </c>
      <c r="H63" s="22">
        <v>246.5</v>
      </c>
    </row>
    <row r="64" spans="1:8" x14ac:dyDescent="0.25">
      <c r="A64" s="75">
        <v>40561</v>
      </c>
      <c r="B64" s="8" t="s">
        <v>315</v>
      </c>
      <c r="C64" s="8" t="s">
        <v>310</v>
      </c>
      <c r="D64" s="8" t="s">
        <v>132</v>
      </c>
      <c r="E64" s="8" t="s">
        <v>432</v>
      </c>
      <c r="F64" s="8">
        <v>53</v>
      </c>
      <c r="G64" s="22">
        <v>1219</v>
      </c>
      <c r="H64" s="22">
        <v>583</v>
      </c>
    </row>
    <row r="65" spans="1:8" x14ac:dyDescent="0.25">
      <c r="A65" s="75">
        <v>40561</v>
      </c>
      <c r="B65" s="8" t="s">
        <v>311</v>
      </c>
      <c r="C65" s="8" t="s">
        <v>309</v>
      </c>
      <c r="D65" s="8" t="s">
        <v>3</v>
      </c>
      <c r="E65" s="8" t="s">
        <v>330</v>
      </c>
      <c r="F65" s="8">
        <v>8</v>
      </c>
      <c r="G65" s="22">
        <v>152</v>
      </c>
      <c r="H65" s="22">
        <v>64</v>
      </c>
    </row>
    <row r="66" spans="1:8" x14ac:dyDescent="0.25">
      <c r="A66" s="75">
        <v>40562</v>
      </c>
      <c r="B66" s="8" t="s">
        <v>321</v>
      </c>
      <c r="C66" s="8" t="s">
        <v>310</v>
      </c>
      <c r="D66" s="8" t="s">
        <v>3</v>
      </c>
      <c r="E66" s="8" t="s">
        <v>326</v>
      </c>
      <c r="F66" s="8">
        <v>35</v>
      </c>
      <c r="G66" s="22">
        <v>770</v>
      </c>
      <c r="H66" s="22">
        <v>350</v>
      </c>
    </row>
    <row r="67" spans="1:8" x14ac:dyDescent="0.25">
      <c r="A67" s="75">
        <v>40563</v>
      </c>
      <c r="B67" s="8" t="s">
        <v>315</v>
      </c>
      <c r="C67" s="8" t="s">
        <v>307</v>
      </c>
      <c r="D67" s="8" t="s">
        <v>7</v>
      </c>
      <c r="E67" s="8" t="s">
        <v>323</v>
      </c>
      <c r="F67" s="8">
        <v>59</v>
      </c>
      <c r="G67" s="22">
        <v>1357</v>
      </c>
      <c r="H67" s="22">
        <v>649</v>
      </c>
    </row>
    <row r="68" spans="1:8" x14ac:dyDescent="0.25">
      <c r="A68" s="75">
        <v>40563</v>
      </c>
      <c r="B68" s="8" t="s">
        <v>321</v>
      </c>
      <c r="C68" s="8" t="s">
        <v>307</v>
      </c>
      <c r="D68" s="8" t="s">
        <v>328</v>
      </c>
      <c r="E68" s="8" t="s">
        <v>329</v>
      </c>
      <c r="F68" s="8">
        <v>10</v>
      </c>
      <c r="G68" s="22">
        <v>220</v>
      </c>
      <c r="H68" s="22">
        <v>100</v>
      </c>
    </row>
    <row r="69" spans="1:8" x14ac:dyDescent="0.25">
      <c r="A69" s="75">
        <v>40563</v>
      </c>
      <c r="B69" s="8" t="s">
        <v>311</v>
      </c>
      <c r="C69" s="8" t="s">
        <v>309</v>
      </c>
      <c r="D69" s="8" t="s">
        <v>3</v>
      </c>
      <c r="E69" s="8" t="s">
        <v>432</v>
      </c>
      <c r="F69" s="8">
        <v>58</v>
      </c>
      <c r="G69" s="22">
        <v>1102</v>
      </c>
      <c r="H69" s="22">
        <v>464</v>
      </c>
    </row>
    <row r="70" spans="1:8" x14ac:dyDescent="0.25">
      <c r="A70" s="75">
        <v>40564</v>
      </c>
      <c r="B70" s="8" t="s">
        <v>319</v>
      </c>
      <c r="C70" s="8" t="s">
        <v>307</v>
      </c>
      <c r="D70" s="8" t="s">
        <v>7</v>
      </c>
      <c r="E70" s="8" t="s">
        <v>324</v>
      </c>
      <c r="F70" s="8">
        <v>58</v>
      </c>
      <c r="G70" s="22">
        <v>1566</v>
      </c>
      <c r="H70" s="22">
        <v>841</v>
      </c>
    </row>
    <row r="71" spans="1:8" x14ac:dyDescent="0.25">
      <c r="A71" s="75">
        <v>40564</v>
      </c>
      <c r="B71" s="8" t="s">
        <v>311</v>
      </c>
      <c r="C71" s="8" t="s">
        <v>308</v>
      </c>
      <c r="D71" s="8" t="s">
        <v>136</v>
      </c>
      <c r="E71" s="8" t="s">
        <v>334</v>
      </c>
      <c r="F71" s="8">
        <v>23</v>
      </c>
      <c r="G71" s="22">
        <v>437</v>
      </c>
      <c r="H71" s="22">
        <v>184</v>
      </c>
    </row>
    <row r="72" spans="1:8" x14ac:dyDescent="0.25">
      <c r="A72" s="75">
        <v>40564</v>
      </c>
      <c r="B72" s="8" t="s">
        <v>311</v>
      </c>
      <c r="C72" s="8" t="s">
        <v>308</v>
      </c>
      <c r="D72" s="8" t="s">
        <v>132</v>
      </c>
      <c r="E72" s="8" t="s">
        <v>333</v>
      </c>
      <c r="F72" s="8">
        <v>64</v>
      </c>
      <c r="G72" s="22">
        <v>1216</v>
      </c>
      <c r="H72" s="22">
        <v>512</v>
      </c>
    </row>
    <row r="73" spans="1:8" x14ac:dyDescent="0.25">
      <c r="A73" s="75">
        <v>40564</v>
      </c>
      <c r="B73" s="8" t="s">
        <v>317</v>
      </c>
      <c r="C73" s="8" t="s">
        <v>310</v>
      </c>
      <c r="D73" s="8" t="s">
        <v>136</v>
      </c>
      <c r="E73" s="8" t="s">
        <v>428</v>
      </c>
      <c r="F73" s="8">
        <v>13</v>
      </c>
      <c r="G73" s="22">
        <v>273</v>
      </c>
      <c r="H73" s="22">
        <v>120.25</v>
      </c>
    </row>
    <row r="74" spans="1:8" x14ac:dyDescent="0.25">
      <c r="A74" s="75">
        <v>40564</v>
      </c>
      <c r="B74" s="8" t="s">
        <v>321</v>
      </c>
      <c r="C74" s="8" t="s">
        <v>310</v>
      </c>
      <c r="D74" s="8" t="s">
        <v>132</v>
      </c>
      <c r="E74" s="8" t="s">
        <v>342</v>
      </c>
      <c r="F74" s="8">
        <v>11</v>
      </c>
      <c r="G74" s="22">
        <v>242</v>
      </c>
      <c r="H74" s="22">
        <v>110</v>
      </c>
    </row>
    <row r="75" spans="1:8" x14ac:dyDescent="0.25">
      <c r="A75" s="75">
        <v>40564</v>
      </c>
      <c r="B75" s="8" t="s">
        <v>319</v>
      </c>
      <c r="C75" s="8" t="s">
        <v>309</v>
      </c>
      <c r="D75" s="8" t="s">
        <v>328</v>
      </c>
      <c r="E75" s="8" t="s">
        <v>336</v>
      </c>
      <c r="F75" s="8">
        <v>56</v>
      </c>
      <c r="G75" s="22">
        <v>1512</v>
      </c>
      <c r="H75" s="22">
        <v>812</v>
      </c>
    </row>
    <row r="76" spans="1:8" x14ac:dyDescent="0.25">
      <c r="A76" s="75">
        <v>40565</v>
      </c>
      <c r="B76" s="8" t="s">
        <v>319</v>
      </c>
      <c r="C76" s="8" t="s">
        <v>310</v>
      </c>
      <c r="D76" s="8" t="s">
        <v>312</v>
      </c>
      <c r="E76" s="8" t="s">
        <v>324</v>
      </c>
      <c r="F76" s="8">
        <v>29</v>
      </c>
      <c r="G76" s="22">
        <v>783</v>
      </c>
      <c r="H76" s="22">
        <v>420.5</v>
      </c>
    </row>
    <row r="77" spans="1:8" x14ac:dyDescent="0.25">
      <c r="A77" s="75">
        <v>40565</v>
      </c>
      <c r="B77" s="8" t="s">
        <v>315</v>
      </c>
      <c r="C77" s="8" t="s">
        <v>310</v>
      </c>
      <c r="D77" s="8" t="s">
        <v>132</v>
      </c>
      <c r="E77" s="8" t="s">
        <v>313</v>
      </c>
      <c r="F77" s="8">
        <v>29</v>
      </c>
      <c r="G77" s="22">
        <v>667</v>
      </c>
      <c r="H77" s="22">
        <v>319</v>
      </c>
    </row>
    <row r="78" spans="1:8" x14ac:dyDescent="0.25">
      <c r="A78" s="75">
        <v>40565</v>
      </c>
      <c r="B78" s="8" t="s">
        <v>321</v>
      </c>
      <c r="C78" s="8" t="s">
        <v>309</v>
      </c>
      <c r="D78" s="8" t="s">
        <v>136</v>
      </c>
      <c r="E78" s="8" t="s">
        <v>330</v>
      </c>
      <c r="F78" s="8">
        <v>53</v>
      </c>
      <c r="G78" s="22">
        <v>1166</v>
      </c>
      <c r="H78" s="22">
        <v>530</v>
      </c>
    </row>
    <row r="79" spans="1:8" x14ac:dyDescent="0.25">
      <c r="A79" s="75">
        <v>40565</v>
      </c>
      <c r="B79" s="8" t="s">
        <v>321</v>
      </c>
      <c r="C79" s="8" t="s">
        <v>309</v>
      </c>
      <c r="D79" s="8" t="s">
        <v>3</v>
      </c>
      <c r="E79" s="8" t="s">
        <v>432</v>
      </c>
      <c r="F79" s="8">
        <v>35</v>
      </c>
      <c r="G79" s="22">
        <v>770</v>
      </c>
      <c r="H79" s="22">
        <v>350</v>
      </c>
    </row>
    <row r="80" spans="1:8" x14ac:dyDescent="0.25">
      <c r="A80" s="75">
        <v>40565</v>
      </c>
      <c r="B80" s="8" t="s">
        <v>321</v>
      </c>
      <c r="C80" s="8" t="s">
        <v>309</v>
      </c>
      <c r="D80" s="8" t="s">
        <v>132</v>
      </c>
      <c r="E80" s="8" t="s">
        <v>338</v>
      </c>
      <c r="F80" s="8">
        <v>6</v>
      </c>
      <c r="G80" s="22">
        <v>132</v>
      </c>
      <c r="H80" s="22">
        <v>60</v>
      </c>
    </row>
    <row r="81" spans="1:8" x14ac:dyDescent="0.25">
      <c r="A81" s="75">
        <v>40566</v>
      </c>
      <c r="B81" s="8" t="s">
        <v>319</v>
      </c>
      <c r="C81" s="8" t="s">
        <v>307</v>
      </c>
      <c r="D81" s="8" t="s">
        <v>312</v>
      </c>
      <c r="E81" s="8" t="s">
        <v>339</v>
      </c>
      <c r="F81" s="8">
        <v>44</v>
      </c>
      <c r="G81" s="22">
        <v>1188</v>
      </c>
      <c r="H81" s="22">
        <v>638</v>
      </c>
    </row>
    <row r="82" spans="1:8" x14ac:dyDescent="0.25">
      <c r="A82" s="75">
        <v>40566</v>
      </c>
      <c r="B82" s="8" t="s">
        <v>321</v>
      </c>
      <c r="C82" s="8" t="s">
        <v>307</v>
      </c>
      <c r="D82" s="8" t="s">
        <v>328</v>
      </c>
      <c r="E82" s="8" t="s">
        <v>345</v>
      </c>
      <c r="F82" s="8">
        <v>9</v>
      </c>
      <c r="G82" s="22">
        <v>198</v>
      </c>
      <c r="H82" s="22">
        <v>90</v>
      </c>
    </row>
    <row r="83" spans="1:8" x14ac:dyDescent="0.25">
      <c r="A83" s="75">
        <v>40566</v>
      </c>
      <c r="B83" s="8" t="s">
        <v>319</v>
      </c>
      <c r="C83" s="8" t="s">
        <v>307</v>
      </c>
      <c r="D83" s="8" t="s">
        <v>136</v>
      </c>
      <c r="E83" s="8" t="s">
        <v>338</v>
      </c>
      <c r="F83" s="8">
        <v>22</v>
      </c>
      <c r="G83" s="22">
        <v>594</v>
      </c>
      <c r="H83" s="22">
        <v>319</v>
      </c>
    </row>
    <row r="84" spans="1:8" x14ac:dyDescent="0.25">
      <c r="A84" s="75">
        <v>40566</v>
      </c>
      <c r="B84" s="8" t="s">
        <v>311</v>
      </c>
      <c r="C84" s="8" t="s">
        <v>310</v>
      </c>
      <c r="D84" s="8" t="s">
        <v>7</v>
      </c>
      <c r="E84" s="8" t="s">
        <v>326</v>
      </c>
      <c r="F84" s="8">
        <v>49</v>
      </c>
      <c r="G84" s="22">
        <v>931</v>
      </c>
      <c r="H84" s="22">
        <v>392</v>
      </c>
    </row>
    <row r="85" spans="1:8" x14ac:dyDescent="0.25">
      <c r="A85" s="75">
        <v>40567</v>
      </c>
      <c r="B85" s="8" t="s">
        <v>315</v>
      </c>
      <c r="C85" s="8" t="s">
        <v>308</v>
      </c>
      <c r="D85" s="8" t="s">
        <v>312</v>
      </c>
      <c r="E85" s="8" t="s">
        <v>344</v>
      </c>
      <c r="F85" s="8">
        <v>13</v>
      </c>
      <c r="G85" s="22">
        <v>299</v>
      </c>
      <c r="H85" s="22">
        <v>143</v>
      </c>
    </row>
    <row r="86" spans="1:8" x14ac:dyDescent="0.25">
      <c r="A86" s="75">
        <v>40567</v>
      </c>
      <c r="B86" s="8" t="s">
        <v>319</v>
      </c>
      <c r="C86" s="8" t="s">
        <v>309</v>
      </c>
      <c r="D86" s="8" t="s">
        <v>328</v>
      </c>
      <c r="E86" s="8" t="s">
        <v>335</v>
      </c>
      <c r="F86" s="8">
        <v>63</v>
      </c>
      <c r="G86" s="22">
        <v>1701</v>
      </c>
      <c r="H86" s="22">
        <v>913.5</v>
      </c>
    </row>
    <row r="87" spans="1:8" x14ac:dyDescent="0.25">
      <c r="A87" s="75">
        <v>40568</v>
      </c>
      <c r="B87" s="8" t="s">
        <v>311</v>
      </c>
      <c r="C87" s="8" t="s">
        <v>308</v>
      </c>
      <c r="D87" s="8" t="s">
        <v>312</v>
      </c>
      <c r="E87" s="8" t="s">
        <v>316</v>
      </c>
      <c r="F87" s="8">
        <v>21</v>
      </c>
      <c r="G87" s="22">
        <v>399</v>
      </c>
      <c r="H87" s="22">
        <v>168</v>
      </c>
    </row>
    <row r="88" spans="1:8" x14ac:dyDescent="0.25">
      <c r="A88" s="75">
        <v>40569</v>
      </c>
      <c r="B88" s="8" t="s">
        <v>321</v>
      </c>
      <c r="C88" s="8" t="s">
        <v>307</v>
      </c>
      <c r="D88" s="8" t="s">
        <v>7</v>
      </c>
      <c r="E88" s="8" t="s">
        <v>347</v>
      </c>
      <c r="F88" s="8">
        <v>17</v>
      </c>
      <c r="G88" s="22">
        <v>374</v>
      </c>
      <c r="H88" s="22">
        <v>170</v>
      </c>
    </row>
    <row r="89" spans="1:8" x14ac:dyDescent="0.25">
      <c r="A89" s="75">
        <v>40569</v>
      </c>
      <c r="B89" s="8" t="s">
        <v>321</v>
      </c>
      <c r="C89" s="8" t="s">
        <v>308</v>
      </c>
      <c r="D89" s="8" t="s">
        <v>328</v>
      </c>
      <c r="E89" s="8" t="s">
        <v>329</v>
      </c>
      <c r="F89" s="8">
        <v>21</v>
      </c>
      <c r="G89" s="22">
        <v>462</v>
      </c>
      <c r="H89" s="22">
        <v>210</v>
      </c>
    </row>
    <row r="90" spans="1:8" x14ac:dyDescent="0.25">
      <c r="A90" s="75">
        <v>40569</v>
      </c>
      <c r="B90" s="8" t="s">
        <v>317</v>
      </c>
      <c r="C90" s="8" t="s">
        <v>310</v>
      </c>
      <c r="D90" s="8" t="s">
        <v>3</v>
      </c>
      <c r="E90" s="8" t="s">
        <v>345</v>
      </c>
      <c r="F90" s="8">
        <v>44</v>
      </c>
      <c r="G90" s="22">
        <v>924</v>
      </c>
      <c r="H90" s="22">
        <v>407</v>
      </c>
    </row>
    <row r="91" spans="1:8" x14ac:dyDescent="0.25">
      <c r="A91" s="75">
        <v>40569</v>
      </c>
      <c r="B91" s="8" t="s">
        <v>321</v>
      </c>
      <c r="C91" s="8" t="s">
        <v>309</v>
      </c>
      <c r="D91" s="8" t="s">
        <v>136</v>
      </c>
      <c r="E91" s="8" t="s">
        <v>318</v>
      </c>
      <c r="F91" s="8">
        <v>61</v>
      </c>
      <c r="G91" s="22">
        <v>5000</v>
      </c>
      <c r="H91" s="22">
        <v>610</v>
      </c>
    </row>
    <row r="92" spans="1:8" x14ac:dyDescent="0.25">
      <c r="A92" s="75">
        <v>40570</v>
      </c>
      <c r="B92" s="8" t="s">
        <v>315</v>
      </c>
      <c r="C92" s="8" t="s">
        <v>309</v>
      </c>
      <c r="D92" s="8" t="s">
        <v>328</v>
      </c>
      <c r="E92" s="8" t="s">
        <v>333</v>
      </c>
      <c r="F92" s="8">
        <v>10</v>
      </c>
      <c r="G92" s="22">
        <v>230</v>
      </c>
      <c r="H92" s="22">
        <v>110</v>
      </c>
    </row>
    <row r="93" spans="1:8" x14ac:dyDescent="0.25">
      <c r="A93" s="75">
        <v>40571</v>
      </c>
      <c r="B93" s="8" t="s">
        <v>317</v>
      </c>
      <c r="C93" s="8" t="s">
        <v>307</v>
      </c>
      <c r="D93" s="8" t="s">
        <v>132</v>
      </c>
      <c r="E93" s="8" t="s">
        <v>340</v>
      </c>
      <c r="F93" s="8">
        <v>36</v>
      </c>
      <c r="G93" s="22">
        <v>756</v>
      </c>
      <c r="H93" s="22">
        <v>333</v>
      </c>
    </row>
    <row r="94" spans="1:8" x14ac:dyDescent="0.25">
      <c r="A94" s="75">
        <v>40571</v>
      </c>
      <c r="B94" s="8" t="s">
        <v>319</v>
      </c>
      <c r="C94" s="8" t="s">
        <v>308</v>
      </c>
      <c r="D94" s="8" t="s">
        <v>132</v>
      </c>
      <c r="E94" s="8" t="s">
        <v>432</v>
      </c>
      <c r="F94" s="8">
        <v>42</v>
      </c>
      <c r="G94" s="22">
        <v>1134</v>
      </c>
      <c r="H94" s="22">
        <v>609</v>
      </c>
    </row>
    <row r="95" spans="1:8" x14ac:dyDescent="0.25">
      <c r="A95" s="75">
        <v>40571</v>
      </c>
      <c r="B95" s="8" t="s">
        <v>315</v>
      </c>
      <c r="C95" s="8" t="s">
        <v>310</v>
      </c>
      <c r="D95" s="8" t="s">
        <v>312</v>
      </c>
      <c r="E95" s="8" t="s">
        <v>314</v>
      </c>
      <c r="F95" s="8">
        <v>46</v>
      </c>
      <c r="G95" s="22">
        <v>1058</v>
      </c>
      <c r="H95" s="22">
        <v>506</v>
      </c>
    </row>
    <row r="96" spans="1:8" x14ac:dyDescent="0.25">
      <c r="A96" s="75">
        <v>40571</v>
      </c>
      <c r="B96" s="8" t="s">
        <v>319</v>
      </c>
      <c r="C96" s="8" t="s">
        <v>310</v>
      </c>
      <c r="D96" s="8" t="s">
        <v>312</v>
      </c>
      <c r="E96" s="8" t="s">
        <v>432</v>
      </c>
      <c r="F96" s="8">
        <v>44</v>
      </c>
      <c r="G96" s="22">
        <v>1188</v>
      </c>
      <c r="H96" s="22">
        <v>638</v>
      </c>
    </row>
    <row r="97" spans="1:8" x14ac:dyDescent="0.25">
      <c r="A97" s="75">
        <v>40571</v>
      </c>
      <c r="B97" s="8" t="s">
        <v>319</v>
      </c>
      <c r="C97" s="8" t="s">
        <v>310</v>
      </c>
      <c r="D97" s="8" t="s">
        <v>328</v>
      </c>
      <c r="E97" s="8" t="s">
        <v>313</v>
      </c>
      <c r="F97" s="8">
        <v>56</v>
      </c>
      <c r="G97" s="22">
        <v>1512</v>
      </c>
      <c r="H97" s="22">
        <v>812</v>
      </c>
    </row>
    <row r="98" spans="1:8" x14ac:dyDescent="0.25">
      <c r="A98" s="75">
        <v>40571</v>
      </c>
      <c r="B98" s="8" t="s">
        <v>321</v>
      </c>
      <c r="C98" s="8" t="s">
        <v>310</v>
      </c>
      <c r="D98" s="8" t="s">
        <v>3</v>
      </c>
      <c r="E98" s="8" t="s">
        <v>333</v>
      </c>
      <c r="F98" s="8">
        <v>25</v>
      </c>
      <c r="G98" s="22">
        <v>550</v>
      </c>
      <c r="H98" s="22">
        <v>250</v>
      </c>
    </row>
    <row r="99" spans="1:8" x14ac:dyDescent="0.25">
      <c r="A99" s="75">
        <v>40571</v>
      </c>
      <c r="B99" s="8" t="s">
        <v>311</v>
      </c>
      <c r="C99" s="8" t="s">
        <v>310</v>
      </c>
      <c r="D99" s="8" t="s">
        <v>132</v>
      </c>
      <c r="E99" s="8" t="s">
        <v>318</v>
      </c>
      <c r="F99" s="8">
        <v>51</v>
      </c>
      <c r="G99" s="22">
        <v>969</v>
      </c>
      <c r="H99" s="22">
        <v>408</v>
      </c>
    </row>
    <row r="100" spans="1:8" x14ac:dyDescent="0.25">
      <c r="A100" s="75">
        <v>40571</v>
      </c>
      <c r="B100" s="8" t="s">
        <v>317</v>
      </c>
      <c r="C100" s="8" t="s">
        <v>309</v>
      </c>
      <c r="D100" s="8" t="s">
        <v>7</v>
      </c>
      <c r="E100" s="8" t="s">
        <v>324</v>
      </c>
      <c r="F100" s="8">
        <v>62</v>
      </c>
      <c r="G100" s="22">
        <v>1302</v>
      </c>
      <c r="H100" s="22">
        <v>573.5</v>
      </c>
    </row>
    <row r="101" spans="1:8" x14ac:dyDescent="0.25">
      <c r="A101" s="75">
        <v>40571</v>
      </c>
      <c r="B101" s="8" t="s">
        <v>315</v>
      </c>
      <c r="C101" s="8" t="s">
        <v>309</v>
      </c>
      <c r="D101" s="8" t="s">
        <v>132</v>
      </c>
      <c r="E101" s="8" t="s">
        <v>327</v>
      </c>
      <c r="F101" s="8">
        <v>15</v>
      </c>
      <c r="G101" s="22">
        <v>345</v>
      </c>
      <c r="H101" s="22">
        <v>165</v>
      </c>
    </row>
    <row r="102" spans="1:8" x14ac:dyDescent="0.25">
      <c r="A102" s="75">
        <v>40572</v>
      </c>
      <c r="B102" s="8" t="s">
        <v>321</v>
      </c>
      <c r="C102" s="8" t="s">
        <v>307</v>
      </c>
      <c r="D102" s="8" t="s">
        <v>7</v>
      </c>
      <c r="E102" s="8" t="s">
        <v>330</v>
      </c>
      <c r="F102" s="8">
        <v>50</v>
      </c>
      <c r="G102" s="22">
        <v>1100</v>
      </c>
      <c r="H102" s="22">
        <v>500</v>
      </c>
    </row>
    <row r="103" spans="1:8" x14ac:dyDescent="0.25">
      <c r="A103" s="75">
        <v>40572</v>
      </c>
      <c r="B103" s="8" t="s">
        <v>319</v>
      </c>
      <c r="C103" s="8" t="s">
        <v>308</v>
      </c>
      <c r="D103" s="8" t="s">
        <v>328</v>
      </c>
      <c r="E103" s="8" t="s">
        <v>343</v>
      </c>
      <c r="F103" s="8">
        <v>10</v>
      </c>
      <c r="G103" s="22">
        <v>270</v>
      </c>
      <c r="H103" s="22">
        <v>145</v>
      </c>
    </row>
    <row r="104" spans="1:8" x14ac:dyDescent="0.25">
      <c r="A104" s="75">
        <v>40573</v>
      </c>
      <c r="B104" s="8" t="s">
        <v>311</v>
      </c>
      <c r="C104" s="8" t="s">
        <v>310</v>
      </c>
      <c r="D104" s="8" t="s">
        <v>3</v>
      </c>
      <c r="E104" s="8" t="s">
        <v>322</v>
      </c>
      <c r="F104" s="8">
        <v>23</v>
      </c>
      <c r="G104" s="22">
        <v>437</v>
      </c>
      <c r="H104" s="22">
        <v>184</v>
      </c>
    </row>
    <row r="105" spans="1:8" x14ac:dyDescent="0.25">
      <c r="A105" s="75">
        <v>40573</v>
      </c>
      <c r="B105" s="8" t="s">
        <v>319</v>
      </c>
      <c r="C105" s="8" t="s">
        <v>310</v>
      </c>
      <c r="D105" s="8" t="s">
        <v>3</v>
      </c>
      <c r="E105" s="8" t="s">
        <v>322</v>
      </c>
      <c r="F105" s="8">
        <v>25</v>
      </c>
      <c r="G105" s="22">
        <v>675</v>
      </c>
      <c r="H105" s="22">
        <v>362.5</v>
      </c>
    </row>
    <row r="106" spans="1:8" x14ac:dyDescent="0.25">
      <c r="A106" s="75">
        <v>40573</v>
      </c>
      <c r="B106" s="8" t="s">
        <v>311</v>
      </c>
      <c r="C106" s="8" t="s">
        <v>309</v>
      </c>
      <c r="D106" s="8" t="s">
        <v>328</v>
      </c>
      <c r="E106" s="8" t="s">
        <v>334</v>
      </c>
      <c r="F106" s="8">
        <v>49</v>
      </c>
      <c r="G106" s="22">
        <v>931</v>
      </c>
      <c r="H106" s="22">
        <v>392</v>
      </c>
    </row>
  </sheetData>
  <sortState xmlns:xlrd2="http://schemas.microsoft.com/office/spreadsheetml/2017/richdata2" ref="A2:H106">
    <sortCondition ref="A2"/>
  </sortState>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90">
    <tabColor rgb="FF0000FF"/>
  </sheetPr>
  <dimension ref="A1:I27"/>
  <sheetViews>
    <sheetView zoomScale="70" zoomScaleNormal="70" workbookViewId="0">
      <selection activeCell="F1" sqref="F1"/>
    </sheetView>
  </sheetViews>
  <sheetFormatPr defaultRowHeight="15" x14ac:dyDescent="0.25"/>
  <cols>
    <col min="1" max="1" width="15.140625" customWidth="1"/>
    <col min="2" max="2" width="14.5703125" customWidth="1"/>
    <col min="3" max="3" width="20.7109375" customWidth="1"/>
    <col min="4" max="4" width="10.85546875" customWidth="1"/>
    <col min="5" max="5" width="33.140625" bestFit="1" customWidth="1"/>
    <col min="7" max="7" width="40.7109375" customWidth="1"/>
    <col min="8" max="8" width="10.85546875" customWidth="1"/>
    <col min="9" max="9" width="33.140625" bestFit="1" customWidth="1"/>
  </cols>
  <sheetData>
    <row r="1" spans="1:9" x14ac:dyDescent="0.25">
      <c r="A1" s="119" t="s">
        <v>1015</v>
      </c>
      <c r="B1" s="119"/>
      <c r="C1" s="119"/>
      <c r="D1" s="119"/>
      <c r="E1" s="119"/>
    </row>
    <row r="2" spans="1:9" ht="45" x14ac:dyDescent="0.25">
      <c r="A2" s="223" t="s">
        <v>1017</v>
      </c>
      <c r="B2" s="223" t="s">
        <v>1018</v>
      </c>
      <c r="C2" s="223" t="s">
        <v>1019</v>
      </c>
      <c r="D2" s="224" t="s">
        <v>1020</v>
      </c>
      <c r="E2" s="224" t="s">
        <v>1021</v>
      </c>
    </row>
    <row r="3" spans="1:9" x14ac:dyDescent="0.25">
      <c r="A3" s="8">
        <v>1</v>
      </c>
      <c r="B3" s="8">
        <v>101</v>
      </c>
      <c r="C3" s="8" t="s">
        <v>120</v>
      </c>
      <c r="D3" s="8" t="s">
        <v>803</v>
      </c>
      <c r="E3" s="8" t="s">
        <v>1023</v>
      </c>
    </row>
    <row r="4" spans="1:9" x14ac:dyDescent="0.25">
      <c r="A4" s="8">
        <v>2</v>
      </c>
      <c r="B4" s="8">
        <v>102</v>
      </c>
      <c r="C4" s="8" t="s">
        <v>1024</v>
      </c>
      <c r="D4" s="8" t="s">
        <v>805</v>
      </c>
      <c r="E4" s="8" t="s">
        <v>1025</v>
      </c>
    </row>
    <row r="5" spans="1:9" x14ac:dyDescent="0.25">
      <c r="A5" s="8">
        <v>3</v>
      </c>
      <c r="B5" s="8">
        <v>103</v>
      </c>
      <c r="C5" s="8" t="s">
        <v>820</v>
      </c>
      <c r="D5" s="8" t="s">
        <v>421</v>
      </c>
      <c r="E5" s="8" t="s">
        <v>1026</v>
      </c>
    </row>
    <row r="6" spans="1:9" x14ac:dyDescent="0.25">
      <c r="A6" s="8">
        <v>4</v>
      </c>
      <c r="B6" s="8">
        <v>104</v>
      </c>
      <c r="C6" s="8" t="s">
        <v>667</v>
      </c>
      <c r="D6" s="8" t="s">
        <v>416</v>
      </c>
      <c r="E6" s="8" t="s">
        <v>1027</v>
      </c>
    </row>
    <row r="7" spans="1:9" x14ac:dyDescent="0.25">
      <c r="A7" s="8">
        <v>5</v>
      </c>
      <c r="B7" s="8">
        <v>105</v>
      </c>
      <c r="C7" s="8" t="s">
        <v>1028</v>
      </c>
      <c r="D7" s="8" t="s">
        <v>419</v>
      </c>
      <c r="E7" s="8" t="s">
        <v>1029</v>
      </c>
    </row>
    <row r="8" spans="1:9" x14ac:dyDescent="0.25">
      <c r="A8" s="8">
        <v>6</v>
      </c>
      <c r="B8" s="8">
        <v>106</v>
      </c>
      <c r="C8" s="8" t="s">
        <v>302</v>
      </c>
      <c r="D8" s="8" t="s">
        <v>1030</v>
      </c>
      <c r="E8" s="8" t="s">
        <v>1031</v>
      </c>
    </row>
    <row r="9" spans="1:9" x14ac:dyDescent="0.25">
      <c r="A9" s="8">
        <v>7</v>
      </c>
      <c r="B9" s="8">
        <v>107</v>
      </c>
      <c r="C9" s="8" t="s">
        <v>1032</v>
      </c>
      <c r="D9" s="8" t="s">
        <v>1033</v>
      </c>
      <c r="E9" s="8" t="s">
        <v>1034</v>
      </c>
    </row>
    <row r="10" spans="1:9" x14ac:dyDescent="0.25">
      <c r="A10" s="8">
        <v>8</v>
      </c>
      <c r="B10" s="8">
        <v>108</v>
      </c>
      <c r="C10" s="8" t="s">
        <v>1035</v>
      </c>
      <c r="D10" s="8" t="s">
        <v>1036</v>
      </c>
      <c r="E10" s="8" t="s">
        <v>1037</v>
      </c>
    </row>
    <row r="11" spans="1:9" x14ac:dyDescent="0.25">
      <c r="A11" s="8">
        <v>9</v>
      </c>
      <c r="B11" s="8">
        <v>109</v>
      </c>
      <c r="C11" s="8" t="s">
        <v>1038</v>
      </c>
      <c r="D11" s="8" t="s">
        <v>804</v>
      </c>
      <c r="E11" s="8" t="s">
        <v>1039</v>
      </c>
    </row>
    <row r="12" spans="1:9" x14ac:dyDescent="0.25">
      <c r="A12" s="8">
        <v>10</v>
      </c>
      <c r="B12" s="8">
        <v>110</v>
      </c>
      <c r="C12" s="8" t="s">
        <v>1040</v>
      </c>
      <c r="D12" s="8" t="s">
        <v>1041</v>
      </c>
      <c r="E12" s="8" t="s">
        <v>1042</v>
      </c>
    </row>
    <row r="13" spans="1:9" x14ac:dyDescent="0.25">
      <c r="A13" s="8">
        <v>11</v>
      </c>
      <c r="B13" s="8">
        <v>111</v>
      </c>
      <c r="C13" s="8" t="s">
        <v>1043</v>
      </c>
      <c r="D13" s="8" t="s">
        <v>1044</v>
      </c>
      <c r="E13" s="8" t="s">
        <v>1045</v>
      </c>
    </row>
    <row r="15" spans="1:9" x14ac:dyDescent="0.25">
      <c r="G15" s="119" t="s">
        <v>1016</v>
      </c>
      <c r="H15" s="119"/>
      <c r="I15" s="119"/>
    </row>
    <row r="16" spans="1:9" ht="30" x14ac:dyDescent="0.25">
      <c r="G16" s="223" t="s">
        <v>1022</v>
      </c>
      <c r="H16" s="224" t="s">
        <v>1020</v>
      </c>
      <c r="I16" s="224" t="s">
        <v>1021</v>
      </c>
    </row>
    <row r="17" spans="7:9" x14ac:dyDescent="0.25">
      <c r="G17" s="8" t="s">
        <v>120</v>
      </c>
      <c r="H17" s="8" t="s">
        <v>803</v>
      </c>
      <c r="I17" s="8" t="s">
        <v>1023</v>
      </c>
    </row>
    <row r="18" spans="7:9" x14ac:dyDescent="0.25">
      <c r="G18" s="8" t="s">
        <v>1024</v>
      </c>
      <c r="H18" s="8" t="s">
        <v>805</v>
      </c>
      <c r="I18" s="8" t="s">
        <v>1025</v>
      </c>
    </row>
    <row r="19" spans="7:9" x14ac:dyDescent="0.25">
      <c r="G19" s="8" t="s">
        <v>820</v>
      </c>
      <c r="H19" s="8" t="s">
        <v>421</v>
      </c>
      <c r="I19" s="8" t="s">
        <v>1026</v>
      </c>
    </row>
    <row r="20" spans="7:9" x14ac:dyDescent="0.25">
      <c r="G20" s="8" t="s">
        <v>667</v>
      </c>
      <c r="H20" s="8" t="s">
        <v>416</v>
      </c>
      <c r="I20" s="8" t="s">
        <v>1027</v>
      </c>
    </row>
    <row r="21" spans="7:9" x14ac:dyDescent="0.25">
      <c r="G21" s="8" t="s">
        <v>1028</v>
      </c>
      <c r="H21" s="8" t="s">
        <v>419</v>
      </c>
      <c r="I21" s="8" t="s">
        <v>1029</v>
      </c>
    </row>
    <row r="22" spans="7:9" x14ac:dyDescent="0.25">
      <c r="G22" s="8" t="s">
        <v>302</v>
      </c>
      <c r="H22" s="8" t="s">
        <v>1030</v>
      </c>
      <c r="I22" s="8" t="s">
        <v>1031</v>
      </c>
    </row>
    <row r="23" spans="7:9" x14ac:dyDescent="0.25">
      <c r="G23" s="8" t="s">
        <v>1032</v>
      </c>
      <c r="H23" s="8" t="s">
        <v>1033</v>
      </c>
      <c r="I23" s="8" t="s">
        <v>1034</v>
      </c>
    </row>
    <row r="24" spans="7:9" x14ac:dyDescent="0.25">
      <c r="G24" s="8" t="s">
        <v>1035</v>
      </c>
      <c r="H24" s="8" t="s">
        <v>1036</v>
      </c>
      <c r="I24" s="8" t="s">
        <v>1037</v>
      </c>
    </row>
    <row r="25" spans="7:9" x14ac:dyDescent="0.25">
      <c r="G25" s="8" t="s">
        <v>1038</v>
      </c>
      <c r="H25" s="8" t="s">
        <v>804</v>
      </c>
      <c r="I25" s="8" t="s">
        <v>1039</v>
      </c>
    </row>
    <row r="26" spans="7:9" x14ac:dyDescent="0.25">
      <c r="G26" s="8" t="s">
        <v>1040</v>
      </c>
      <c r="H26" s="8" t="s">
        <v>1041</v>
      </c>
      <c r="I26" s="8" t="s">
        <v>1042</v>
      </c>
    </row>
    <row r="27" spans="7:9" x14ac:dyDescent="0.25">
      <c r="G27" s="8" t="s">
        <v>1043</v>
      </c>
      <c r="H27" s="8" t="s">
        <v>1044</v>
      </c>
      <c r="I27" s="8" t="s">
        <v>1045</v>
      </c>
    </row>
  </sheetData>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2">
    <tabColor rgb="FF0000FF"/>
  </sheetPr>
  <dimension ref="A1:H106"/>
  <sheetViews>
    <sheetView workbookViewId="0"/>
  </sheetViews>
  <sheetFormatPr defaultRowHeight="15" x14ac:dyDescent="0.25"/>
  <cols>
    <col min="7" max="7" width="10.8554687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40544</v>
      </c>
      <c r="B2" s="8" t="s">
        <v>319</v>
      </c>
      <c r="C2" s="8" t="s">
        <v>307</v>
      </c>
      <c r="D2" s="8" t="s">
        <v>3</v>
      </c>
      <c r="E2" s="8" t="s">
        <v>337</v>
      </c>
      <c r="F2" s="8">
        <v>16</v>
      </c>
      <c r="G2" s="22">
        <v>432</v>
      </c>
      <c r="H2" s="22">
        <v>232</v>
      </c>
    </row>
    <row r="3" spans="1:8" x14ac:dyDescent="0.25">
      <c r="A3" s="75">
        <v>40545</v>
      </c>
      <c r="B3" s="8" t="s">
        <v>321</v>
      </c>
      <c r="C3" s="8" t="s">
        <v>310</v>
      </c>
      <c r="D3" s="8" t="s">
        <v>328</v>
      </c>
      <c r="E3" s="8" t="s">
        <v>313</v>
      </c>
      <c r="F3" s="8">
        <v>24</v>
      </c>
      <c r="G3" s="22">
        <v>528</v>
      </c>
      <c r="H3" s="22">
        <v>240</v>
      </c>
    </row>
    <row r="4" spans="1:8" x14ac:dyDescent="0.25">
      <c r="A4" s="75">
        <v>40545</v>
      </c>
      <c r="B4" s="8" t="s">
        <v>319</v>
      </c>
      <c r="C4" s="8" t="s">
        <v>309</v>
      </c>
      <c r="D4" s="8" t="s">
        <v>136</v>
      </c>
      <c r="E4" s="8" t="s">
        <v>330</v>
      </c>
      <c r="F4" s="8">
        <v>30</v>
      </c>
      <c r="G4" s="22">
        <v>810</v>
      </c>
      <c r="H4" s="22">
        <v>435</v>
      </c>
    </row>
    <row r="5" spans="1:8" x14ac:dyDescent="0.25">
      <c r="A5" s="75">
        <v>40545</v>
      </c>
      <c r="B5" s="8" t="s">
        <v>321</v>
      </c>
      <c r="C5" s="8" t="s">
        <v>309</v>
      </c>
      <c r="D5" s="8" t="s">
        <v>136</v>
      </c>
      <c r="E5" s="8" t="s">
        <v>331</v>
      </c>
      <c r="F5" s="8">
        <v>19</v>
      </c>
      <c r="G5" s="22">
        <v>418</v>
      </c>
      <c r="H5" s="22">
        <v>190</v>
      </c>
    </row>
    <row r="6" spans="1:8" x14ac:dyDescent="0.25">
      <c r="A6" s="75">
        <v>40546</v>
      </c>
      <c r="B6" s="8" t="s">
        <v>311</v>
      </c>
      <c r="C6" s="8" t="s">
        <v>307</v>
      </c>
      <c r="D6" s="8" t="s">
        <v>136</v>
      </c>
      <c r="E6" s="8" t="s">
        <v>324</v>
      </c>
      <c r="F6" s="8">
        <v>38</v>
      </c>
      <c r="G6" s="22">
        <v>722</v>
      </c>
      <c r="H6" s="22">
        <v>304</v>
      </c>
    </row>
    <row r="7" spans="1:8" x14ac:dyDescent="0.25">
      <c r="A7" s="75">
        <v>40546</v>
      </c>
      <c r="B7" s="8" t="s">
        <v>315</v>
      </c>
      <c r="C7" s="8" t="s">
        <v>308</v>
      </c>
      <c r="D7" s="8" t="s">
        <v>7</v>
      </c>
      <c r="E7" s="8" t="s">
        <v>324</v>
      </c>
      <c r="F7" s="8">
        <v>20</v>
      </c>
      <c r="G7" s="22">
        <v>460</v>
      </c>
      <c r="H7" s="22">
        <v>220</v>
      </c>
    </row>
    <row r="8" spans="1:8" x14ac:dyDescent="0.25">
      <c r="A8" s="75">
        <v>40546</v>
      </c>
      <c r="B8" s="8" t="s">
        <v>317</v>
      </c>
      <c r="C8" s="8" t="s">
        <v>310</v>
      </c>
      <c r="D8" s="8" t="s">
        <v>136</v>
      </c>
      <c r="E8" s="8" t="s">
        <v>332</v>
      </c>
      <c r="F8" s="8">
        <v>23</v>
      </c>
      <c r="G8" s="22">
        <v>483</v>
      </c>
      <c r="H8" s="22">
        <v>212.75</v>
      </c>
    </row>
    <row r="9" spans="1:8" x14ac:dyDescent="0.25">
      <c r="A9" s="75">
        <v>40546</v>
      </c>
      <c r="B9" s="8" t="s">
        <v>311</v>
      </c>
      <c r="C9" s="8" t="s">
        <v>310</v>
      </c>
      <c r="D9" s="8" t="s">
        <v>3</v>
      </c>
      <c r="E9" s="8" t="s">
        <v>339</v>
      </c>
      <c r="F9" s="8">
        <v>6</v>
      </c>
      <c r="G9" s="22">
        <v>114</v>
      </c>
      <c r="H9" s="22">
        <v>48</v>
      </c>
    </row>
    <row r="10" spans="1:8" x14ac:dyDescent="0.25">
      <c r="A10" s="75">
        <v>40547</v>
      </c>
      <c r="B10" s="8" t="s">
        <v>317</v>
      </c>
      <c r="C10" s="8" t="s">
        <v>308</v>
      </c>
      <c r="D10" s="8" t="s">
        <v>3</v>
      </c>
      <c r="E10" s="8" t="s">
        <v>344</v>
      </c>
      <c r="F10" s="8">
        <v>29</v>
      </c>
      <c r="G10" s="22">
        <v>609</v>
      </c>
      <c r="H10" s="22">
        <v>268.25</v>
      </c>
    </row>
    <row r="11" spans="1:8" x14ac:dyDescent="0.25">
      <c r="A11" s="75">
        <v>40548</v>
      </c>
      <c r="B11" s="8" t="s">
        <v>317</v>
      </c>
      <c r="C11" s="8" t="s">
        <v>310</v>
      </c>
      <c r="D11" s="8" t="s">
        <v>136</v>
      </c>
      <c r="E11" s="8" t="s">
        <v>322</v>
      </c>
      <c r="F11" s="8">
        <v>57</v>
      </c>
      <c r="G11" s="22">
        <v>1197</v>
      </c>
      <c r="H11" s="22">
        <v>527.25</v>
      </c>
    </row>
    <row r="12" spans="1:8" x14ac:dyDescent="0.25">
      <c r="A12" s="75">
        <v>40548</v>
      </c>
      <c r="B12" s="8" t="s">
        <v>311</v>
      </c>
      <c r="C12" s="8" t="s">
        <v>309</v>
      </c>
      <c r="D12" s="8" t="s">
        <v>312</v>
      </c>
      <c r="E12" s="8" t="s">
        <v>323</v>
      </c>
      <c r="F12" s="8">
        <v>12</v>
      </c>
      <c r="G12" s="22">
        <v>228</v>
      </c>
      <c r="H12" s="22">
        <v>96</v>
      </c>
    </row>
    <row r="13" spans="1:8" x14ac:dyDescent="0.25">
      <c r="A13" s="75">
        <v>40548</v>
      </c>
      <c r="B13" s="8" t="s">
        <v>315</v>
      </c>
      <c r="C13" s="8" t="s">
        <v>309</v>
      </c>
      <c r="D13" s="8" t="s">
        <v>312</v>
      </c>
      <c r="E13" s="8" t="s">
        <v>429</v>
      </c>
      <c r="F13" s="8">
        <v>60</v>
      </c>
      <c r="G13" s="22">
        <v>1380</v>
      </c>
      <c r="H13" s="22">
        <v>660</v>
      </c>
    </row>
    <row r="14" spans="1:8" x14ac:dyDescent="0.25">
      <c r="A14" s="75">
        <v>40549</v>
      </c>
      <c r="B14" s="8" t="s">
        <v>311</v>
      </c>
      <c r="C14" s="8" t="s">
        <v>307</v>
      </c>
      <c r="D14" s="8" t="s">
        <v>312</v>
      </c>
      <c r="E14" s="8" t="s">
        <v>329</v>
      </c>
      <c r="F14" s="8">
        <v>54</v>
      </c>
      <c r="G14" s="22">
        <v>1026</v>
      </c>
      <c r="H14" s="22">
        <v>432</v>
      </c>
    </row>
    <row r="15" spans="1:8" x14ac:dyDescent="0.25">
      <c r="A15" s="75">
        <v>40549</v>
      </c>
      <c r="B15" s="8" t="s">
        <v>311</v>
      </c>
      <c r="C15" s="8" t="s">
        <v>310</v>
      </c>
      <c r="D15" s="8" t="s">
        <v>132</v>
      </c>
      <c r="E15" s="8" t="s">
        <v>333</v>
      </c>
      <c r="F15" s="8">
        <v>40</v>
      </c>
      <c r="G15" s="22">
        <v>760</v>
      </c>
      <c r="H15" s="22">
        <v>320</v>
      </c>
    </row>
    <row r="16" spans="1:8" x14ac:dyDescent="0.25">
      <c r="A16" s="75">
        <v>40549</v>
      </c>
      <c r="B16" s="8" t="s">
        <v>315</v>
      </c>
      <c r="C16" s="8" t="s">
        <v>309</v>
      </c>
      <c r="D16" s="8" t="s">
        <v>3</v>
      </c>
      <c r="E16" s="8" t="s">
        <v>347</v>
      </c>
      <c r="F16" s="8">
        <v>18</v>
      </c>
      <c r="G16" s="22">
        <v>414</v>
      </c>
      <c r="H16" s="22">
        <v>198</v>
      </c>
    </row>
    <row r="17" spans="1:8" x14ac:dyDescent="0.25">
      <c r="A17" s="75">
        <v>40549</v>
      </c>
      <c r="B17" s="8" t="s">
        <v>319</v>
      </c>
      <c r="C17" s="8" t="s">
        <v>309</v>
      </c>
      <c r="D17" s="8" t="s">
        <v>3</v>
      </c>
      <c r="E17" s="8" t="s">
        <v>339</v>
      </c>
      <c r="F17" s="8">
        <v>64</v>
      </c>
      <c r="G17" s="22">
        <v>1728</v>
      </c>
      <c r="H17" s="22">
        <v>928</v>
      </c>
    </row>
    <row r="18" spans="1:8" x14ac:dyDescent="0.25">
      <c r="A18" s="75">
        <v>40550</v>
      </c>
      <c r="B18" s="8" t="s">
        <v>315</v>
      </c>
      <c r="C18" s="8" t="s">
        <v>308</v>
      </c>
      <c r="D18" s="8" t="s">
        <v>312</v>
      </c>
      <c r="E18" s="8" t="s">
        <v>428</v>
      </c>
      <c r="F18" s="8">
        <v>12</v>
      </c>
      <c r="G18" s="22">
        <v>276</v>
      </c>
      <c r="H18" s="22">
        <v>132</v>
      </c>
    </row>
    <row r="19" spans="1:8" x14ac:dyDescent="0.25">
      <c r="A19" s="75">
        <v>40550</v>
      </c>
      <c r="B19" s="8" t="s">
        <v>317</v>
      </c>
      <c r="C19" s="8" t="s">
        <v>308</v>
      </c>
      <c r="D19" s="8" t="s">
        <v>3</v>
      </c>
      <c r="E19" s="8" t="s">
        <v>339</v>
      </c>
      <c r="F19" s="8">
        <v>22</v>
      </c>
      <c r="G19" s="22">
        <v>462</v>
      </c>
      <c r="H19" s="22">
        <v>203.5</v>
      </c>
    </row>
    <row r="20" spans="1:8" x14ac:dyDescent="0.25">
      <c r="A20" s="75">
        <v>40550</v>
      </c>
      <c r="B20" s="8" t="s">
        <v>317</v>
      </c>
      <c r="C20" s="8" t="s">
        <v>309</v>
      </c>
      <c r="D20" s="8" t="s">
        <v>136</v>
      </c>
      <c r="E20" s="8" t="s">
        <v>326</v>
      </c>
      <c r="F20" s="8">
        <v>61</v>
      </c>
      <c r="G20" s="22">
        <v>1281</v>
      </c>
      <c r="H20" s="22">
        <v>564.25</v>
      </c>
    </row>
    <row r="21" spans="1:8" x14ac:dyDescent="0.25">
      <c r="A21" s="75">
        <v>40550</v>
      </c>
      <c r="B21" s="8" t="s">
        <v>317</v>
      </c>
      <c r="C21" s="8" t="s">
        <v>309</v>
      </c>
      <c r="D21" s="8" t="s">
        <v>136</v>
      </c>
      <c r="E21" s="8" t="s">
        <v>338</v>
      </c>
      <c r="F21" s="8">
        <v>53</v>
      </c>
      <c r="G21" s="22">
        <v>1113</v>
      </c>
      <c r="H21" s="22">
        <v>490.25</v>
      </c>
    </row>
    <row r="22" spans="1:8" x14ac:dyDescent="0.25">
      <c r="A22" s="75">
        <v>40550</v>
      </c>
      <c r="B22" s="8" t="s">
        <v>321</v>
      </c>
      <c r="C22" s="8" t="s">
        <v>309</v>
      </c>
      <c r="D22" s="8" t="s">
        <v>132</v>
      </c>
      <c r="E22" s="8" t="s">
        <v>326</v>
      </c>
      <c r="F22" s="8">
        <v>27</v>
      </c>
      <c r="G22" s="22">
        <v>594</v>
      </c>
      <c r="H22" s="22">
        <v>270</v>
      </c>
    </row>
    <row r="23" spans="1:8" x14ac:dyDescent="0.25">
      <c r="A23" s="75">
        <v>40551</v>
      </c>
      <c r="B23" s="8" t="s">
        <v>319</v>
      </c>
      <c r="C23" s="8" t="s">
        <v>309</v>
      </c>
      <c r="D23" s="8" t="s">
        <v>7</v>
      </c>
      <c r="E23" s="8" t="s">
        <v>335</v>
      </c>
      <c r="F23" s="8">
        <v>16</v>
      </c>
      <c r="G23" s="22">
        <v>432</v>
      </c>
      <c r="H23" s="22">
        <v>232</v>
      </c>
    </row>
    <row r="24" spans="1:8" x14ac:dyDescent="0.25">
      <c r="A24" s="75">
        <v>40552</v>
      </c>
      <c r="B24" s="8" t="s">
        <v>315</v>
      </c>
      <c r="C24" s="8" t="s">
        <v>307</v>
      </c>
      <c r="D24" s="8" t="s">
        <v>312</v>
      </c>
      <c r="E24" s="8" t="s">
        <v>332</v>
      </c>
      <c r="F24" s="8">
        <v>38</v>
      </c>
      <c r="G24" s="22">
        <v>874</v>
      </c>
      <c r="H24" s="22">
        <v>418</v>
      </c>
    </row>
    <row r="25" spans="1:8" x14ac:dyDescent="0.25">
      <c r="A25" s="75">
        <v>40552</v>
      </c>
      <c r="B25" s="8" t="s">
        <v>321</v>
      </c>
      <c r="C25" s="8" t="s">
        <v>307</v>
      </c>
      <c r="D25" s="8" t="s">
        <v>136</v>
      </c>
      <c r="E25" s="8" t="s">
        <v>325</v>
      </c>
      <c r="F25" s="8">
        <v>40</v>
      </c>
      <c r="G25" s="22">
        <v>880</v>
      </c>
      <c r="H25" s="22">
        <v>400</v>
      </c>
    </row>
    <row r="26" spans="1:8" x14ac:dyDescent="0.25">
      <c r="A26" s="75">
        <v>40552</v>
      </c>
      <c r="B26" s="8" t="s">
        <v>311</v>
      </c>
      <c r="C26" s="8" t="s">
        <v>307</v>
      </c>
      <c r="D26" s="8" t="s">
        <v>132</v>
      </c>
      <c r="E26" s="8" t="s">
        <v>339</v>
      </c>
      <c r="F26" s="8">
        <v>42</v>
      </c>
      <c r="G26" s="22">
        <v>798</v>
      </c>
      <c r="H26" s="22">
        <v>336</v>
      </c>
    </row>
    <row r="27" spans="1:8" x14ac:dyDescent="0.25">
      <c r="A27" s="75">
        <v>40552</v>
      </c>
      <c r="B27" s="8" t="s">
        <v>321</v>
      </c>
      <c r="C27" s="8" t="s">
        <v>310</v>
      </c>
      <c r="D27" s="8" t="s">
        <v>7</v>
      </c>
      <c r="E27" s="8" t="s">
        <v>332</v>
      </c>
      <c r="F27" s="8">
        <v>26</v>
      </c>
      <c r="G27" s="22">
        <v>572</v>
      </c>
      <c r="H27" s="22">
        <v>260</v>
      </c>
    </row>
    <row r="28" spans="1:8" x14ac:dyDescent="0.25">
      <c r="A28" s="75">
        <v>40552</v>
      </c>
      <c r="B28" s="8" t="s">
        <v>321</v>
      </c>
      <c r="C28" s="8" t="s">
        <v>310</v>
      </c>
      <c r="D28" s="8" t="s">
        <v>3</v>
      </c>
      <c r="E28" s="8" t="s">
        <v>333</v>
      </c>
      <c r="F28" s="8">
        <v>15</v>
      </c>
      <c r="G28" s="22">
        <v>330</v>
      </c>
      <c r="H28" s="22">
        <v>150</v>
      </c>
    </row>
    <row r="29" spans="1:8" x14ac:dyDescent="0.25">
      <c r="A29" s="75">
        <v>40553</v>
      </c>
      <c r="B29" s="8" t="s">
        <v>317</v>
      </c>
      <c r="C29" s="8" t="s">
        <v>307</v>
      </c>
      <c r="D29" s="8" t="s">
        <v>328</v>
      </c>
      <c r="E29" s="8" t="s">
        <v>342</v>
      </c>
      <c r="F29" s="8">
        <v>27</v>
      </c>
      <c r="G29" s="22">
        <v>567</v>
      </c>
      <c r="H29" s="22">
        <v>249.75</v>
      </c>
    </row>
    <row r="30" spans="1:8" x14ac:dyDescent="0.25">
      <c r="A30" s="75">
        <v>40553</v>
      </c>
      <c r="B30" s="8" t="s">
        <v>315</v>
      </c>
      <c r="C30" s="8" t="s">
        <v>307</v>
      </c>
      <c r="D30" s="8" t="s">
        <v>136</v>
      </c>
      <c r="E30" s="8" t="s">
        <v>337</v>
      </c>
      <c r="F30" s="8">
        <v>63</v>
      </c>
      <c r="G30" s="22">
        <v>1449</v>
      </c>
      <c r="H30" s="22">
        <v>693</v>
      </c>
    </row>
    <row r="31" spans="1:8" x14ac:dyDescent="0.25">
      <c r="A31" s="75">
        <v>40553</v>
      </c>
      <c r="B31" s="8" t="s">
        <v>319</v>
      </c>
      <c r="C31" s="8" t="s">
        <v>307</v>
      </c>
      <c r="D31" s="8" t="s">
        <v>132</v>
      </c>
      <c r="E31" s="8" t="s">
        <v>334</v>
      </c>
      <c r="F31" s="8">
        <v>17</v>
      </c>
      <c r="G31" s="22">
        <v>459</v>
      </c>
      <c r="H31" s="22">
        <v>246.5</v>
      </c>
    </row>
    <row r="32" spans="1:8" x14ac:dyDescent="0.25">
      <c r="A32" s="75">
        <v>40553</v>
      </c>
      <c r="B32" s="8" t="s">
        <v>317</v>
      </c>
      <c r="C32" s="8" t="s">
        <v>307</v>
      </c>
      <c r="D32" s="8" t="s">
        <v>132</v>
      </c>
      <c r="E32" s="8" t="s">
        <v>341</v>
      </c>
      <c r="F32" s="8">
        <v>17</v>
      </c>
      <c r="G32" s="22">
        <v>357</v>
      </c>
      <c r="H32" s="22">
        <v>157.25</v>
      </c>
    </row>
    <row r="33" spans="1:8" x14ac:dyDescent="0.25">
      <c r="A33" s="75">
        <v>40553</v>
      </c>
      <c r="B33" s="8" t="s">
        <v>321</v>
      </c>
      <c r="C33" s="8" t="s">
        <v>308</v>
      </c>
      <c r="D33" s="8" t="s">
        <v>328</v>
      </c>
      <c r="E33" s="8" t="s">
        <v>324</v>
      </c>
      <c r="F33" s="8">
        <v>7</v>
      </c>
      <c r="G33" s="22">
        <v>154</v>
      </c>
      <c r="H33" s="22">
        <v>70</v>
      </c>
    </row>
    <row r="34" spans="1:8" x14ac:dyDescent="0.25">
      <c r="A34" s="75">
        <v>40553</v>
      </c>
      <c r="B34" s="8" t="s">
        <v>311</v>
      </c>
      <c r="C34" s="8" t="s">
        <v>308</v>
      </c>
      <c r="D34" s="8" t="s">
        <v>132</v>
      </c>
      <c r="E34" s="8" t="s">
        <v>322</v>
      </c>
      <c r="F34" s="8">
        <v>8</v>
      </c>
      <c r="G34" s="22">
        <v>152</v>
      </c>
      <c r="H34" s="22">
        <v>64</v>
      </c>
    </row>
    <row r="35" spans="1:8" x14ac:dyDescent="0.25">
      <c r="A35" s="75">
        <v>40553</v>
      </c>
      <c r="B35" s="8" t="s">
        <v>311</v>
      </c>
      <c r="C35" s="8" t="s">
        <v>310</v>
      </c>
      <c r="D35" s="8" t="s">
        <v>7</v>
      </c>
      <c r="E35" s="8" t="s">
        <v>342</v>
      </c>
      <c r="F35" s="8">
        <v>30</v>
      </c>
      <c r="G35" s="22">
        <v>570</v>
      </c>
      <c r="H35" s="22">
        <v>240</v>
      </c>
    </row>
    <row r="36" spans="1:8" x14ac:dyDescent="0.25">
      <c r="A36" s="75">
        <v>40553</v>
      </c>
      <c r="B36" s="8" t="s">
        <v>317</v>
      </c>
      <c r="C36" s="8" t="s">
        <v>310</v>
      </c>
      <c r="D36" s="8" t="s">
        <v>3</v>
      </c>
      <c r="E36" s="8" t="s">
        <v>341</v>
      </c>
      <c r="F36" s="8">
        <v>47</v>
      </c>
      <c r="G36" s="22">
        <v>987</v>
      </c>
      <c r="H36" s="22">
        <v>434.75</v>
      </c>
    </row>
    <row r="37" spans="1:8" x14ac:dyDescent="0.25">
      <c r="A37" s="75">
        <v>40553</v>
      </c>
      <c r="B37" s="8" t="s">
        <v>319</v>
      </c>
      <c r="C37" s="8" t="s">
        <v>309</v>
      </c>
      <c r="D37" s="8" t="s">
        <v>132</v>
      </c>
      <c r="E37" s="8" t="s">
        <v>313</v>
      </c>
      <c r="F37" s="8">
        <v>65</v>
      </c>
      <c r="G37" s="22">
        <v>1755</v>
      </c>
      <c r="H37" s="22">
        <v>942.5</v>
      </c>
    </row>
    <row r="38" spans="1:8" x14ac:dyDescent="0.25">
      <c r="A38" s="75">
        <v>40554</v>
      </c>
      <c r="B38" s="8" t="s">
        <v>319</v>
      </c>
      <c r="C38" s="8" t="s">
        <v>307</v>
      </c>
      <c r="D38" s="8" t="s">
        <v>312</v>
      </c>
      <c r="E38" s="8" t="s">
        <v>336</v>
      </c>
      <c r="F38" s="8">
        <v>14</v>
      </c>
      <c r="G38" s="22">
        <v>378</v>
      </c>
      <c r="H38" s="22">
        <v>203</v>
      </c>
    </row>
    <row r="39" spans="1:8" x14ac:dyDescent="0.25">
      <c r="A39" s="75">
        <v>40554</v>
      </c>
      <c r="B39" s="8" t="s">
        <v>319</v>
      </c>
      <c r="C39" s="8" t="s">
        <v>307</v>
      </c>
      <c r="D39" s="8" t="s">
        <v>132</v>
      </c>
      <c r="E39" s="8" t="s">
        <v>344</v>
      </c>
      <c r="F39" s="8">
        <v>49</v>
      </c>
      <c r="G39" s="22">
        <v>1323</v>
      </c>
      <c r="H39" s="22">
        <v>710.5</v>
      </c>
    </row>
    <row r="40" spans="1:8" x14ac:dyDescent="0.25">
      <c r="A40" s="75">
        <v>40555</v>
      </c>
      <c r="B40" s="8" t="s">
        <v>317</v>
      </c>
      <c r="C40" s="8" t="s">
        <v>308</v>
      </c>
      <c r="D40" s="8" t="s">
        <v>328</v>
      </c>
      <c r="E40" s="8" t="s">
        <v>336</v>
      </c>
      <c r="F40" s="8">
        <v>19</v>
      </c>
      <c r="G40" s="22">
        <v>399</v>
      </c>
      <c r="H40" s="22">
        <v>175.75</v>
      </c>
    </row>
    <row r="41" spans="1:8" x14ac:dyDescent="0.25">
      <c r="A41" s="75">
        <v>40555</v>
      </c>
      <c r="B41" s="8" t="s">
        <v>321</v>
      </c>
      <c r="C41" s="8" t="s">
        <v>310</v>
      </c>
      <c r="D41" s="8" t="s">
        <v>7</v>
      </c>
      <c r="E41" s="8" t="s">
        <v>338</v>
      </c>
      <c r="F41" s="8">
        <v>7</v>
      </c>
      <c r="G41" s="22">
        <v>154</v>
      </c>
      <c r="H41" s="22">
        <v>70</v>
      </c>
    </row>
    <row r="42" spans="1:8" x14ac:dyDescent="0.25">
      <c r="A42" s="75">
        <v>40556</v>
      </c>
      <c r="B42" s="8" t="s">
        <v>321</v>
      </c>
      <c r="C42" s="8" t="s">
        <v>308</v>
      </c>
      <c r="D42" s="8" t="s">
        <v>136</v>
      </c>
      <c r="E42" s="8" t="s">
        <v>343</v>
      </c>
      <c r="F42" s="8">
        <v>57</v>
      </c>
      <c r="G42" s="22">
        <v>1254</v>
      </c>
      <c r="H42" s="22">
        <v>570</v>
      </c>
    </row>
    <row r="43" spans="1:8" x14ac:dyDescent="0.25">
      <c r="A43" s="75">
        <v>40556</v>
      </c>
      <c r="B43" s="8" t="s">
        <v>311</v>
      </c>
      <c r="C43" s="8" t="s">
        <v>308</v>
      </c>
      <c r="D43" s="8" t="s">
        <v>136</v>
      </c>
      <c r="E43" s="8" t="s">
        <v>329</v>
      </c>
      <c r="F43" s="8">
        <v>33</v>
      </c>
      <c r="G43" s="22">
        <v>627</v>
      </c>
      <c r="H43" s="22">
        <v>264</v>
      </c>
    </row>
    <row r="44" spans="1:8" x14ac:dyDescent="0.25">
      <c r="A44" s="75">
        <v>40556</v>
      </c>
      <c r="B44" s="8" t="s">
        <v>321</v>
      </c>
      <c r="C44" s="8" t="s">
        <v>308</v>
      </c>
      <c r="D44" s="8" t="s">
        <v>136</v>
      </c>
      <c r="E44" s="8" t="s">
        <v>329</v>
      </c>
      <c r="F44" s="8">
        <v>40</v>
      </c>
      <c r="G44" s="22">
        <v>880</v>
      </c>
      <c r="H44" s="22">
        <v>400</v>
      </c>
    </row>
    <row r="45" spans="1:8" x14ac:dyDescent="0.25">
      <c r="A45" s="75">
        <v>40556</v>
      </c>
      <c r="B45" s="8" t="s">
        <v>315</v>
      </c>
      <c r="C45" s="8" t="s">
        <v>310</v>
      </c>
      <c r="D45" s="8" t="s">
        <v>132</v>
      </c>
      <c r="E45" s="8" t="s">
        <v>324</v>
      </c>
      <c r="F45" s="8">
        <v>52</v>
      </c>
      <c r="G45" s="22">
        <v>1196</v>
      </c>
      <c r="H45" s="22">
        <v>572</v>
      </c>
    </row>
    <row r="46" spans="1:8" x14ac:dyDescent="0.25">
      <c r="A46" s="75">
        <v>40557</v>
      </c>
      <c r="B46" s="8" t="s">
        <v>315</v>
      </c>
      <c r="C46" s="8" t="s">
        <v>307</v>
      </c>
      <c r="D46" s="8" t="s">
        <v>312</v>
      </c>
      <c r="E46" s="8" t="s">
        <v>316</v>
      </c>
      <c r="F46" s="8">
        <v>34</v>
      </c>
      <c r="G46" s="22">
        <v>782</v>
      </c>
      <c r="H46" s="22">
        <v>374</v>
      </c>
    </row>
    <row r="47" spans="1:8" x14ac:dyDescent="0.25">
      <c r="A47" s="75">
        <v>40558</v>
      </c>
      <c r="B47" s="8" t="s">
        <v>317</v>
      </c>
      <c r="C47" s="8" t="s">
        <v>307</v>
      </c>
      <c r="D47" s="8" t="s">
        <v>328</v>
      </c>
      <c r="E47" s="8" t="s">
        <v>330</v>
      </c>
      <c r="F47" s="8">
        <v>63</v>
      </c>
      <c r="G47" s="22">
        <v>1323</v>
      </c>
      <c r="H47" s="22">
        <v>582.75</v>
      </c>
    </row>
    <row r="48" spans="1:8" x14ac:dyDescent="0.25">
      <c r="A48" s="75">
        <v>40558</v>
      </c>
      <c r="B48" s="8" t="s">
        <v>311</v>
      </c>
      <c r="C48" s="8" t="s">
        <v>308</v>
      </c>
      <c r="D48" s="8" t="s">
        <v>7</v>
      </c>
      <c r="E48" s="8" t="s">
        <v>432</v>
      </c>
      <c r="F48" s="8">
        <v>11</v>
      </c>
      <c r="G48" s="22">
        <v>209</v>
      </c>
      <c r="H48" s="22">
        <v>88</v>
      </c>
    </row>
    <row r="49" spans="1:8" x14ac:dyDescent="0.25">
      <c r="A49" s="75">
        <v>40559</v>
      </c>
      <c r="B49" s="8" t="s">
        <v>321</v>
      </c>
      <c r="C49" s="8" t="s">
        <v>308</v>
      </c>
      <c r="D49" s="8" t="s">
        <v>3</v>
      </c>
      <c r="E49" s="8" t="s">
        <v>432</v>
      </c>
      <c r="F49" s="8">
        <v>56</v>
      </c>
      <c r="G49" s="22">
        <v>1232</v>
      </c>
      <c r="H49" s="22">
        <v>560</v>
      </c>
    </row>
    <row r="50" spans="1:8" x14ac:dyDescent="0.25">
      <c r="A50" s="75">
        <v>40559</v>
      </c>
      <c r="B50" s="8" t="s">
        <v>315</v>
      </c>
      <c r="C50" s="8" t="s">
        <v>310</v>
      </c>
      <c r="D50" s="8" t="s">
        <v>132</v>
      </c>
      <c r="E50" s="8" t="s">
        <v>333</v>
      </c>
      <c r="F50" s="8">
        <v>31</v>
      </c>
      <c r="G50" s="22">
        <v>713</v>
      </c>
      <c r="H50" s="22">
        <v>341</v>
      </c>
    </row>
    <row r="51" spans="1:8" x14ac:dyDescent="0.25">
      <c r="A51" s="75">
        <v>40560</v>
      </c>
      <c r="B51" s="8" t="s">
        <v>319</v>
      </c>
      <c r="C51" s="8" t="s">
        <v>307</v>
      </c>
      <c r="D51" s="8" t="s">
        <v>312</v>
      </c>
      <c r="E51" s="8" t="s">
        <v>335</v>
      </c>
      <c r="F51" s="8">
        <v>62</v>
      </c>
      <c r="G51" s="22">
        <v>1674</v>
      </c>
      <c r="H51" s="22">
        <v>899</v>
      </c>
    </row>
    <row r="52" spans="1:8" x14ac:dyDescent="0.25">
      <c r="A52" s="75">
        <v>40560</v>
      </c>
      <c r="B52" s="8" t="s">
        <v>319</v>
      </c>
      <c r="C52" s="8" t="s">
        <v>307</v>
      </c>
      <c r="D52" s="8" t="s">
        <v>328</v>
      </c>
      <c r="E52" s="8" t="s">
        <v>331</v>
      </c>
      <c r="F52" s="8">
        <v>43</v>
      </c>
      <c r="G52" s="22">
        <v>1161</v>
      </c>
      <c r="H52" s="22">
        <v>623.5</v>
      </c>
    </row>
    <row r="53" spans="1:8" x14ac:dyDescent="0.25">
      <c r="A53" s="75">
        <v>40560</v>
      </c>
      <c r="B53" s="8" t="s">
        <v>315</v>
      </c>
      <c r="C53" s="8" t="s">
        <v>307</v>
      </c>
      <c r="D53" s="8" t="s">
        <v>3</v>
      </c>
      <c r="E53" s="8" t="s">
        <v>339</v>
      </c>
      <c r="F53" s="8">
        <v>39</v>
      </c>
      <c r="G53" s="22">
        <v>897</v>
      </c>
      <c r="H53" s="22">
        <v>429</v>
      </c>
    </row>
    <row r="54" spans="1:8" x14ac:dyDescent="0.25">
      <c r="A54" s="75">
        <v>40560</v>
      </c>
      <c r="B54" s="8" t="s">
        <v>319</v>
      </c>
      <c r="C54" s="8" t="s">
        <v>308</v>
      </c>
      <c r="D54" s="8" t="s">
        <v>7</v>
      </c>
      <c r="E54" s="8" t="s">
        <v>325</v>
      </c>
      <c r="F54" s="8">
        <v>61</v>
      </c>
      <c r="G54" s="22">
        <v>1647</v>
      </c>
      <c r="H54" s="22">
        <v>884.5</v>
      </c>
    </row>
    <row r="55" spans="1:8" x14ac:dyDescent="0.25">
      <c r="A55" s="75">
        <v>40560</v>
      </c>
      <c r="B55" s="8" t="s">
        <v>311</v>
      </c>
      <c r="C55" s="8" t="s">
        <v>308</v>
      </c>
      <c r="D55" s="8" t="s">
        <v>312</v>
      </c>
      <c r="E55" s="8" t="s">
        <v>428</v>
      </c>
      <c r="F55" s="8">
        <v>59</v>
      </c>
      <c r="G55" s="22">
        <v>1121</v>
      </c>
      <c r="H55" s="22">
        <v>472</v>
      </c>
    </row>
    <row r="56" spans="1:8" x14ac:dyDescent="0.25">
      <c r="A56" s="75">
        <v>40560</v>
      </c>
      <c r="B56" s="8" t="s">
        <v>321</v>
      </c>
      <c r="C56" s="8" t="s">
        <v>308</v>
      </c>
      <c r="D56" s="8" t="s">
        <v>132</v>
      </c>
      <c r="E56" s="8" t="s">
        <v>339</v>
      </c>
      <c r="F56" s="8">
        <v>16</v>
      </c>
      <c r="G56" s="22">
        <v>352</v>
      </c>
      <c r="H56" s="22">
        <v>160</v>
      </c>
    </row>
    <row r="57" spans="1:8" x14ac:dyDescent="0.25">
      <c r="A57" s="75">
        <v>40560</v>
      </c>
      <c r="B57" s="8" t="s">
        <v>319</v>
      </c>
      <c r="C57" s="8" t="s">
        <v>309</v>
      </c>
      <c r="D57" s="8" t="s">
        <v>7</v>
      </c>
      <c r="E57" s="8" t="s">
        <v>339</v>
      </c>
      <c r="F57" s="8">
        <v>10</v>
      </c>
      <c r="G57" s="22">
        <v>270</v>
      </c>
      <c r="H57" s="22">
        <v>145</v>
      </c>
    </row>
    <row r="58" spans="1:8" x14ac:dyDescent="0.25">
      <c r="A58" s="75">
        <v>40561</v>
      </c>
      <c r="B58" s="8" t="s">
        <v>311</v>
      </c>
      <c r="C58" s="8" t="s">
        <v>307</v>
      </c>
      <c r="D58" s="8" t="s">
        <v>312</v>
      </c>
      <c r="E58" s="8" t="s">
        <v>337</v>
      </c>
      <c r="F58" s="8">
        <v>24</v>
      </c>
      <c r="G58" s="22">
        <v>456</v>
      </c>
      <c r="H58" s="22">
        <v>192</v>
      </c>
    </row>
    <row r="59" spans="1:8" x14ac:dyDescent="0.25">
      <c r="A59" s="75">
        <v>40561</v>
      </c>
      <c r="B59" s="8" t="s">
        <v>321</v>
      </c>
      <c r="C59" s="8" t="s">
        <v>307</v>
      </c>
      <c r="D59" s="8" t="s">
        <v>312</v>
      </c>
      <c r="E59" s="8" t="s">
        <v>345</v>
      </c>
      <c r="F59" s="8">
        <v>20</v>
      </c>
      <c r="G59" s="22">
        <v>440</v>
      </c>
      <c r="H59" s="22">
        <v>200</v>
      </c>
    </row>
    <row r="60" spans="1:8" x14ac:dyDescent="0.25">
      <c r="A60" s="75">
        <v>40561</v>
      </c>
      <c r="B60" s="8" t="s">
        <v>317</v>
      </c>
      <c r="C60" s="8" t="s">
        <v>307</v>
      </c>
      <c r="D60" s="8" t="s">
        <v>328</v>
      </c>
      <c r="E60" s="8" t="s">
        <v>314</v>
      </c>
      <c r="F60" s="8">
        <v>12</v>
      </c>
      <c r="G60" s="22">
        <v>252</v>
      </c>
      <c r="H60" s="22">
        <v>111</v>
      </c>
    </row>
    <row r="61" spans="1:8" x14ac:dyDescent="0.25">
      <c r="A61" s="75">
        <v>40561</v>
      </c>
      <c r="B61" s="8" t="s">
        <v>321</v>
      </c>
      <c r="C61" s="8" t="s">
        <v>307</v>
      </c>
      <c r="D61" s="8" t="s">
        <v>136</v>
      </c>
      <c r="E61" s="8" t="s">
        <v>334</v>
      </c>
      <c r="F61" s="8">
        <v>59</v>
      </c>
      <c r="G61" s="22">
        <v>1298</v>
      </c>
      <c r="H61" s="22">
        <v>590</v>
      </c>
    </row>
    <row r="62" spans="1:8" x14ac:dyDescent="0.25">
      <c r="A62" s="75">
        <v>40561</v>
      </c>
      <c r="B62" s="8" t="s">
        <v>311</v>
      </c>
      <c r="C62" s="8" t="s">
        <v>308</v>
      </c>
      <c r="D62" s="8" t="s">
        <v>7</v>
      </c>
      <c r="E62" s="8" t="s">
        <v>339</v>
      </c>
      <c r="F62" s="8">
        <v>62</v>
      </c>
      <c r="G62" s="22">
        <v>1178</v>
      </c>
      <c r="H62" s="22">
        <v>496</v>
      </c>
    </row>
    <row r="63" spans="1:8" x14ac:dyDescent="0.25">
      <c r="A63" s="75">
        <v>40561</v>
      </c>
      <c r="B63" s="8" t="s">
        <v>319</v>
      </c>
      <c r="C63" s="8" t="s">
        <v>308</v>
      </c>
      <c r="D63" s="8" t="s">
        <v>132</v>
      </c>
      <c r="E63" s="8" t="s">
        <v>343</v>
      </c>
      <c r="F63" s="8">
        <v>17</v>
      </c>
      <c r="G63" s="22">
        <v>459</v>
      </c>
      <c r="H63" s="22">
        <v>246.5</v>
      </c>
    </row>
    <row r="64" spans="1:8" x14ac:dyDescent="0.25">
      <c r="A64" s="75">
        <v>40561</v>
      </c>
      <c r="B64" s="8" t="s">
        <v>315</v>
      </c>
      <c r="C64" s="8" t="s">
        <v>310</v>
      </c>
      <c r="D64" s="8" t="s">
        <v>132</v>
      </c>
      <c r="E64" s="8" t="s">
        <v>432</v>
      </c>
      <c r="F64" s="8">
        <v>53</v>
      </c>
      <c r="G64" s="22">
        <v>1219</v>
      </c>
      <c r="H64" s="22">
        <v>583</v>
      </c>
    </row>
    <row r="65" spans="1:8" x14ac:dyDescent="0.25">
      <c r="A65" s="75">
        <v>40561</v>
      </c>
      <c r="B65" s="8" t="s">
        <v>311</v>
      </c>
      <c r="C65" s="8" t="s">
        <v>309</v>
      </c>
      <c r="D65" s="8" t="s">
        <v>3</v>
      </c>
      <c r="E65" s="8" t="s">
        <v>330</v>
      </c>
      <c r="F65" s="8">
        <v>8</v>
      </c>
      <c r="G65" s="22">
        <v>152</v>
      </c>
      <c r="H65" s="22">
        <v>64</v>
      </c>
    </row>
    <row r="66" spans="1:8" x14ac:dyDescent="0.25">
      <c r="A66" s="75">
        <v>40562</v>
      </c>
      <c r="B66" s="8" t="s">
        <v>321</v>
      </c>
      <c r="C66" s="8" t="s">
        <v>310</v>
      </c>
      <c r="D66" s="8" t="s">
        <v>3</v>
      </c>
      <c r="E66" s="8" t="s">
        <v>326</v>
      </c>
      <c r="F66" s="8">
        <v>35</v>
      </c>
      <c r="G66" s="22">
        <v>770</v>
      </c>
      <c r="H66" s="22">
        <v>350</v>
      </c>
    </row>
    <row r="67" spans="1:8" x14ac:dyDescent="0.25">
      <c r="A67" s="75">
        <v>40563</v>
      </c>
      <c r="B67" s="8" t="s">
        <v>315</v>
      </c>
      <c r="C67" s="8" t="s">
        <v>307</v>
      </c>
      <c r="D67" s="8" t="s">
        <v>7</v>
      </c>
      <c r="E67" s="8" t="s">
        <v>323</v>
      </c>
      <c r="F67" s="8">
        <v>59</v>
      </c>
      <c r="G67" s="22">
        <v>1357</v>
      </c>
      <c r="H67" s="22">
        <v>649</v>
      </c>
    </row>
    <row r="68" spans="1:8" x14ac:dyDescent="0.25">
      <c r="A68" s="75">
        <v>40563</v>
      </c>
      <c r="B68" s="8" t="s">
        <v>321</v>
      </c>
      <c r="C68" s="8" t="s">
        <v>307</v>
      </c>
      <c r="D68" s="8" t="s">
        <v>328</v>
      </c>
      <c r="E68" s="8" t="s">
        <v>329</v>
      </c>
      <c r="F68" s="8">
        <v>10</v>
      </c>
      <c r="G68" s="22">
        <v>220</v>
      </c>
      <c r="H68" s="22">
        <v>100</v>
      </c>
    </row>
    <row r="69" spans="1:8" x14ac:dyDescent="0.25">
      <c r="A69" s="75">
        <v>40563</v>
      </c>
      <c r="B69" s="8" t="s">
        <v>311</v>
      </c>
      <c r="C69" s="8" t="s">
        <v>309</v>
      </c>
      <c r="D69" s="8" t="s">
        <v>3</v>
      </c>
      <c r="E69" s="8" t="s">
        <v>432</v>
      </c>
      <c r="F69" s="8">
        <v>58</v>
      </c>
      <c r="G69" s="22">
        <v>1102</v>
      </c>
      <c r="H69" s="22">
        <v>464</v>
      </c>
    </row>
    <row r="70" spans="1:8" x14ac:dyDescent="0.25">
      <c r="A70" s="75">
        <v>40564</v>
      </c>
      <c r="B70" s="8" t="s">
        <v>319</v>
      </c>
      <c r="C70" s="8" t="s">
        <v>307</v>
      </c>
      <c r="D70" s="8" t="s">
        <v>7</v>
      </c>
      <c r="E70" s="8" t="s">
        <v>324</v>
      </c>
      <c r="F70" s="8">
        <v>58</v>
      </c>
      <c r="G70" s="22">
        <v>1566</v>
      </c>
      <c r="H70" s="22">
        <v>841</v>
      </c>
    </row>
    <row r="71" spans="1:8" x14ac:dyDescent="0.25">
      <c r="A71" s="75">
        <v>40564</v>
      </c>
      <c r="B71" s="8" t="s">
        <v>311</v>
      </c>
      <c r="C71" s="8" t="s">
        <v>308</v>
      </c>
      <c r="D71" s="8" t="s">
        <v>136</v>
      </c>
      <c r="E71" s="8" t="s">
        <v>334</v>
      </c>
      <c r="F71" s="8">
        <v>23</v>
      </c>
      <c r="G71" s="22">
        <v>437</v>
      </c>
      <c r="H71" s="22">
        <v>184</v>
      </c>
    </row>
    <row r="72" spans="1:8" x14ac:dyDescent="0.25">
      <c r="A72" s="75">
        <v>40564</v>
      </c>
      <c r="B72" s="8" t="s">
        <v>311</v>
      </c>
      <c r="C72" s="8" t="s">
        <v>308</v>
      </c>
      <c r="D72" s="8" t="s">
        <v>132</v>
      </c>
      <c r="E72" s="8" t="s">
        <v>333</v>
      </c>
      <c r="F72" s="8">
        <v>64</v>
      </c>
      <c r="G72" s="22">
        <v>1216</v>
      </c>
      <c r="H72" s="22">
        <v>512</v>
      </c>
    </row>
    <row r="73" spans="1:8" x14ac:dyDescent="0.25">
      <c r="A73" s="75">
        <v>40564</v>
      </c>
      <c r="B73" s="8" t="s">
        <v>317</v>
      </c>
      <c r="C73" s="8" t="s">
        <v>310</v>
      </c>
      <c r="D73" s="8" t="s">
        <v>136</v>
      </c>
      <c r="E73" s="8" t="s">
        <v>428</v>
      </c>
      <c r="F73" s="8">
        <v>13</v>
      </c>
      <c r="G73" s="22">
        <v>273</v>
      </c>
      <c r="H73" s="22">
        <v>120.25</v>
      </c>
    </row>
    <row r="74" spans="1:8" x14ac:dyDescent="0.25">
      <c r="A74" s="75">
        <v>40564</v>
      </c>
      <c r="B74" s="8" t="s">
        <v>321</v>
      </c>
      <c r="C74" s="8" t="s">
        <v>310</v>
      </c>
      <c r="D74" s="8" t="s">
        <v>132</v>
      </c>
      <c r="E74" s="8" t="s">
        <v>342</v>
      </c>
      <c r="F74" s="8">
        <v>11</v>
      </c>
      <c r="G74" s="22">
        <v>242</v>
      </c>
      <c r="H74" s="22">
        <v>110</v>
      </c>
    </row>
    <row r="75" spans="1:8" x14ac:dyDescent="0.25">
      <c r="A75" s="75">
        <v>40564</v>
      </c>
      <c r="B75" s="8" t="s">
        <v>319</v>
      </c>
      <c r="C75" s="8" t="s">
        <v>309</v>
      </c>
      <c r="D75" s="8" t="s">
        <v>328</v>
      </c>
      <c r="E75" s="8" t="s">
        <v>336</v>
      </c>
      <c r="F75" s="8">
        <v>56</v>
      </c>
      <c r="G75" s="22">
        <v>1512</v>
      </c>
      <c r="H75" s="22">
        <v>812</v>
      </c>
    </row>
    <row r="76" spans="1:8" x14ac:dyDescent="0.25">
      <c r="A76" s="75">
        <v>40565</v>
      </c>
      <c r="B76" s="8" t="s">
        <v>319</v>
      </c>
      <c r="C76" s="8" t="s">
        <v>310</v>
      </c>
      <c r="D76" s="8" t="s">
        <v>312</v>
      </c>
      <c r="E76" s="8" t="s">
        <v>324</v>
      </c>
      <c r="F76" s="8">
        <v>29</v>
      </c>
      <c r="G76" s="22">
        <v>783</v>
      </c>
      <c r="H76" s="22">
        <v>420.5</v>
      </c>
    </row>
    <row r="77" spans="1:8" x14ac:dyDescent="0.25">
      <c r="A77" s="75">
        <v>40565</v>
      </c>
      <c r="B77" s="8" t="s">
        <v>315</v>
      </c>
      <c r="C77" s="8" t="s">
        <v>310</v>
      </c>
      <c r="D77" s="8" t="s">
        <v>132</v>
      </c>
      <c r="E77" s="8" t="s">
        <v>313</v>
      </c>
      <c r="F77" s="8">
        <v>29</v>
      </c>
      <c r="G77" s="22">
        <v>667</v>
      </c>
      <c r="H77" s="22">
        <v>319</v>
      </c>
    </row>
    <row r="78" spans="1:8" x14ac:dyDescent="0.25">
      <c r="A78" s="75">
        <v>40565</v>
      </c>
      <c r="B78" s="8" t="s">
        <v>321</v>
      </c>
      <c r="C78" s="8" t="s">
        <v>309</v>
      </c>
      <c r="D78" s="8" t="s">
        <v>136</v>
      </c>
      <c r="E78" s="8" t="s">
        <v>330</v>
      </c>
      <c r="F78" s="8">
        <v>53</v>
      </c>
      <c r="G78" s="22">
        <v>1166</v>
      </c>
      <c r="H78" s="22">
        <v>530</v>
      </c>
    </row>
    <row r="79" spans="1:8" x14ac:dyDescent="0.25">
      <c r="A79" s="75">
        <v>40565</v>
      </c>
      <c r="B79" s="8" t="s">
        <v>321</v>
      </c>
      <c r="C79" s="8" t="s">
        <v>309</v>
      </c>
      <c r="D79" s="8" t="s">
        <v>3</v>
      </c>
      <c r="E79" s="8" t="s">
        <v>432</v>
      </c>
      <c r="F79" s="8">
        <v>35</v>
      </c>
      <c r="G79" s="22">
        <v>770</v>
      </c>
      <c r="H79" s="22">
        <v>350</v>
      </c>
    </row>
    <row r="80" spans="1:8" x14ac:dyDescent="0.25">
      <c r="A80" s="75">
        <v>40565</v>
      </c>
      <c r="B80" s="8" t="s">
        <v>321</v>
      </c>
      <c r="C80" s="8" t="s">
        <v>309</v>
      </c>
      <c r="D80" s="8" t="s">
        <v>132</v>
      </c>
      <c r="E80" s="8" t="s">
        <v>338</v>
      </c>
      <c r="F80" s="8">
        <v>6</v>
      </c>
      <c r="G80" s="22">
        <v>132</v>
      </c>
      <c r="H80" s="22">
        <v>60</v>
      </c>
    </row>
    <row r="81" spans="1:8" x14ac:dyDescent="0.25">
      <c r="A81" s="75">
        <v>40566</v>
      </c>
      <c r="B81" s="8" t="s">
        <v>319</v>
      </c>
      <c r="C81" s="8" t="s">
        <v>307</v>
      </c>
      <c r="D81" s="8" t="s">
        <v>312</v>
      </c>
      <c r="E81" s="8" t="s">
        <v>339</v>
      </c>
      <c r="F81" s="8">
        <v>44</v>
      </c>
      <c r="G81" s="22">
        <v>1188</v>
      </c>
      <c r="H81" s="22">
        <v>638</v>
      </c>
    </row>
    <row r="82" spans="1:8" x14ac:dyDescent="0.25">
      <c r="A82" s="75">
        <v>40566</v>
      </c>
      <c r="B82" s="8" t="s">
        <v>321</v>
      </c>
      <c r="C82" s="8" t="s">
        <v>307</v>
      </c>
      <c r="D82" s="8" t="s">
        <v>328</v>
      </c>
      <c r="E82" s="8" t="s">
        <v>345</v>
      </c>
      <c r="F82" s="8">
        <v>9</v>
      </c>
      <c r="G82" s="22">
        <v>198</v>
      </c>
      <c r="H82" s="22">
        <v>90</v>
      </c>
    </row>
    <row r="83" spans="1:8" x14ac:dyDescent="0.25">
      <c r="A83" s="75">
        <v>40566</v>
      </c>
      <c r="B83" s="8" t="s">
        <v>319</v>
      </c>
      <c r="C83" s="8" t="s">
        <v>307</v>
      </c>
      <c r="D83" s="8" t="s">
        <v>136</v>
      </c>
      <c r="E83" s="8" t="s">
        <v>338</v>
      </c>
      <c r="F83" s="8">
        <v>22</v>
      </c>
      <c r="G83" s="22">
        <v>594</v>
      </c>
      <c r="H83" s="22">
        <v>319</v>
      </c>
    </row>
    <row r="84" spans="1:8" x14ac:dyDescent="0.25">
      <c r="A84" s="75">
        <v>40566</v>
      </c>
      <c r="B84" s="8" t="s">
        <v>311</v>
      </c>
      <c r="C84" s="8" t="s">
        <v>310</v>
      </c>
      <c r="D84" s="8" t="s">
        <v>7</v>
      </c>
      <c r="E84" s="8" t="s">
        <v>326</v>
      </c>
      <c r="F84" s="8">
        <v>49</v>
      </c>
      <c r="G84" s="22">
        <v>931</v>
      </c>
      <c r="H84" s="22">
        <v>392</v>
      </c>
    </row>
    <row r="85" spans="1:8" x14ac:dyDescent="0.25">
      <c r="A85" s="75">
        <v>40567</v>
      </c>
      <c r="B85" s="8" t="s">
        <v>315</v>
      </c>
      <c r="C85" s="8" t="s">
        <v>308</v>
      </c>
      <c r="D85" s="8" t="s">
        <v>312</v>
      </c>
      <c r="E85" s="8" t="s">
        <v>344</v>
      </c>
      <c r="F85" s="8">
        <v>13</v>
      </c>
      <c r="G85" s="22">
        <v>299</v>
      </c>
      <c r="H85" s="22">
        <v>143</v>
      </c>
    </row>
    <row r="86" spans="1:8" x14ac:dyDescent="0.25">
      <c r="A86" s="75">
        <v>40567</v>
      </c>
      <c r="B86" s="8" t="s">
        <v>319</v>
      </c>
      <c r="C86" s="8" t="s">
        <v>309</v>
      </c>
      <c r="D86" s="8" t="s">
        <v>328</v>
      </c>
      <c r="E86" s="8" t="s">
        <v>335</v>
      </c>
      <c r="F86" s="8">
        <v>63</v>
      </c>
      <c r="G86" s="22">
        <v>1701</v>
      </c>
      <c r="H86" s="22">
        <v>913.5</v>
      </c>
    </row>
    <row r="87" spans="1:8" x14ac:dyDescent="0.25">
      <c r="A87" s="75">
        <v>40568</v>
      </c>
      <c r="B87" s="8" t="s">
        <v>311</v>
      </c>
      <c r="C87" s="8" t="s">
        <v>308</v>
      </c>
      <c r="D87" s="8" t="s">
        <v>312</v>
      </c>
      <c r="E87" s="8" t="s">
        <v>316</v>
      </c>
      <c r="F87" s="8">
        <v>21</v>
      </c>
      <c r="G87" s="22">
        <v>399</v>
      </c>
      <c r="H87" s="22">
        <v>168</v>
      </c>
    </row>
    <row r="88" spans="1:8" x14ac:dyDescent="0.25">
      <c r="A88" s="75">
        <v>40569</v>
      </c>
      <c r="B88" s="8" t="s">
        <v>321</v>
      </c>
      <c r="C88" s="8" t="s">
        <v>307</v>
      </c>
      <c r="D88" s="8" t="s">
        <v>7</v>
      </c>
      <c r="E88" s="8" t="s">
        <v>347</v>
      </c>
      <c r="F88" s="8">
        <v>17</v>
      </c>
      <c r="G88" s="22">
        <v>374</v>
      </c>
      <c r="H88" s="22">
        <v>170</v>
      </c>
    </row>
    <row r="89" spans="1:8" x14ac:dyDescent="0.25">
      <c r="A89" s="75">
        <v>40569</v>
      </c>
      <c r="B89" s="8" t="s">
        <v>321</v>
      </c>
      <c r="C89" s="8" t="s">
        <v>308</v>
      </c>
      <c r="D89" s="8" t="s">
        <v>328</v>
      </c>
      <c r="E89" s="8" t="s">
        <v>329</v>
      </c>
      <c r="F89" s="8">
        <v>21</v>
      </c>
      <c r="G89" s="22">
        <v>462</v>
      </c>
      <c r="H89" s="22">
        <v>210</v>
      </c>
    </row>
    <row r="90" spans="1:8" x14ac:dyDescent="0.25">
      <c r="A90" s="75">
        <v>40569</v>
      </c>
      <c r="B90" s="8" t="s">
        <v>317</v>
      </c>
      <c r="C90" s="8" t="s">
        <v>310</v>
      </c>
      <c r="D90" s="8" t="s">
        <v>3</v>
      </c>
      <c r="E90" s="8" t="s">
        <v>345</v>
      </c>
      <c r="F90" s="8">
        <v>44</v>
      </c>
      <c r="G90" s="22">
        <v>924</v>
      </c>
      <c r="H90" s="22">
        <v>407</v>
      </c>
    </row>
    <row r="91" spans="1:8" x14ac:dyDescent="0.25">
      <c r="A91" s="75">
        <v>40569</v>
      </c>
      <c r="B91" s="8" t="s">
        <v>321</v>
      </c>
      <c r="C91" s="8" t="s">
        <v>309</v>
      </c>
      <c r="D91" s="8" t="s">
        <v>136</v>
      </c>
      <c r="E91" s="8" t="s">
        <v>318</v>
      </c>
      <c r="F91" s="8">
        <v>61</v>
      </c>
      <c r="G91" s="22">
        <v>5000</v>
      </c>
      <c r="H91" s="22">
        <v>610</v>
      </c>
    </row>
    <row r="92" spans="1:8" x14ac:dyDescent="0.25">
      <c r="A92" s="75">
        <v>40570</v>
      </c>
      <c r="B92" s="8" t="s">
        <v>315</v>
      </c>
      <c r="C92" s="8" t="s">
        <v>309</v>
      </c>
      <c r="D92" s="8" t="s">
        <v>328</v>
      </c>
      <c r="E92" s="8" t="s">
        <v>333</v>
      </c>
      <c r="F92" s="8">
        <v>10</v>
      </c>
      <c r="G92" s="22">
        <v>230</v>
      </c>
      <c r="H92" s="22">
        <v>110</v>
      </c>
    </row>
    <row r="93" spans="1:8" x14ac:dyDescent="0.25">
      <c r="A93" s="75">
        <v>40571</v>
      </c>
      <c r="B93" s="8" t="s">
        <v>317</v>
      </c>
      <c r="C93" s="8" t="s">
        <v>307</v>
      </c>
      <c r="D93" s="8" t="s">
        <v>132</v>
      </c>
      <c r="E93" s="8" t="s">
        <v>340</v>
      </c>
      <c r="F93" s="8">
        <v>36</v>
      </c>
      <c r="G93" s="22">
        <v>756</v>
      </c>
      <c r="H93" s="22">
        <v>333</v>
      </c>
    </row>
    <row r="94" spans="1:8" x14ac:dyDescent="0.25">
      <c r="A94" s="75">
        <v>40571</v>
      </c>
      <c r="B94" s="8" t="s">
        <v>319</v>
      </c>
      <c r="C94" s="8" t="s">
        <v>308</v>
      </c>
      <c r="D94" s="8" t="s">
        <v>132</v>
      </c>
      <c r="E94" s="8" t="s">
        <v>432</v>
      </c>
      <c r="F94" s="8">
        <v>42</v>
      </c>
      <c r="G94" s="22">
        <v>1134</v>
      </c>
      <c r="H94" s="22">
        <v>609</v>
      </c>
    </row>
    <row r="95" spans="1:8" x14ac:dyDescent="0.25">
      <c r="A95" s="75">
        <v>40571</v>
      </c>
      <c r="B95" s="8" t="s">
        <v>315</v>
      </c>
      <c r="C95" s="8" t="s">
        <v>310</v>
      </c>
      <c r="D95" s="8" t="s">
        <v>312</v>
      </c>
      <c r="E95" s="8" t="s">
        <v>314</v>
      </c>
      <c r="F95" s="8">
        <v>46</v>
      </c>
      <c r="G95" s="22">
        <v>1058</v>
      </c>
      <c r="H95" s="22">
        <v>506</v>
      </c>
    </row>
    <row r="96" spans="1:8" x14ac:dyDescent="0.25">
      <c r="A96" s="75">
        <v>40571</v>
      </c>
      <c r="B96" s="8" t="s">
        <v>319</v>
      </c>
      <c r="C96" s="8" t="s">
        <v>310</v>
      </c>
      <c r="D96" s="8" t="s">
        <v>312</v>
      </c>
      <c r="E96" s="8" t="s">
        <v>432</v>
      </c>
      <c r="F96" s="8">
        <v>44</v>
      </c>
      <c r="G96" s="22">
        <v>1188</v>
      </c>
      <c r="H96" s="22">
        <v>638</v>
      </c>
    </row>
    <row r="97" spans="1:8" x14ac:dyDescent="0.25">
      <c r="A97" s="75">
        <v>40571</v>
      </c>
      <c r="B97" s="8" t="s">
        <v>319</v>
      </c>
      <c r="C97" s="8" t="s">
        <v>310</v>
      </c>
      <c r="D97" s="8" t="s">
        <v>328</v>
      </c>
      <c r="E97" s="8" t="s">
        <v>313</v>
      </c>
      <c r="F97" s="8">
        <v>56</v>
      </c>
      <c r="G97" s="22">
        <v>1512</v>
      </c>
      <c r="H97" s="22">
        <v>812</v>
      </c>
    </row>
    <row r="98" spans="1:8" x14ac:dyDescent="0.25">
      <c r="A98" s="75">
        <v>40571</v>
      </c>
      <c r="B98" s="8" t="s">
        <v>321</v>
      </c>
      <c r="C98" s="8" t="s">
        <v>310</v>
      </c>
      <c r="D98" s="8" t="s">
        <v>3</v>
      </c>
      <c r="E98" s="8" t="s">
        <v>333</v>
      </c>
      <c r="F98" s="8">
        <v>25</v>
      </c>
      <c r="G98" s="22">
        <v>550</v>
      </c>
      <c r="H98" s="22">
        <v>250</v>
      </c>
    </row>
    <row r="99" spans="1:8" x14ac:dyDescent="0.25">
      <c r="A99" s="75">
        <v>40571</v>
      </c>
      <c r="B99" s="8" t="s">
        <v>311</v>
      </c>
      <c r="C99" s="8" t="s">
        <v>310</v>
      </c>
      <c r="D99" s="8" t="s">
        <v>132</v>
      </c>
      <c r="E99" s="8" t="s">
        <v>318</v>
      </c>
      <c r="F99" s="8">
        <v>51</v>
      </c>
      <c r="G99" s="22">
        <v>969</v>
      </c>
      <c r="H99" s="22">
        <v>408</v>
      </c>
    </row>
    <row r="100" spans="1:8" x14ac:dyDescent="0.25">
      <c r="A100" s="75">
        <v>40571</v>
      </c>
      <c r="B100" s="8" t="s">
        <v>317</v>
      </c>
      <c r="C100" s="8" t="s">
        <v>309</v>
      </c>
      <c r="D100" s="8" t="s">
        <v>7</v>
      </c>
      <c r="E100" s="8" t="s">
        <v>324</v>
      </c>
      <c r="F100" s="8">
        <v>62</v>
      </c>
      <c r="G100" s="22">
        <v>1302</v>
      </c>
      <c r="H100" s="22">
        <v>573.5</v>
      </c>
    </row>
    <row r="101" spans="1:8" x14ac:dyDescent="0.25">
      <c r="A101" s="75">
        <v>40571</v>
      </c>
      <c r="B101" s="8" t="s">
        <v>315</v>
      </c>
      <c r="C101" s="8" t="s">
        <v>309</v>
      </c>
      <c r="D101" s="8" t="s">
        <v>132</v>
      </c>
      <c r="E101" s="8" t="s">
        <v>327</v>
      </c>
      <c r="F101" s="8">
        <v>15</v>
      </c>
      <c r="G101" s="22">
        <v>345</v>
      </c>
      <c r="H101" s="22">
        <v>165</v>
      </c>
    </row>
    <row r="102" spans="1:8" x14ac:dyDescent="0.25">
      <c r="A102" s="75">
        <v>40572</v>
      </c>
      <c r="B102" s="8" t="s">
        <v>321</v>
      </c>
      <c r="C102" s="8" t="s">
        <v>307</v>
      </c>
      <c r="D102" s="8" t="s">
        <v>7</v>
      </c>
      <c r="E102" s="8" t="s">
        <v>330</v>
      </c>
      <c r="F102" s="8">
        <v>50</v>
      </c>
      <c r="G102" s="22">
        <v>1100</v>
      </c>
      <c r="H102" s="22">
        <v>500</v>
      </c>
    </row>
    <row r="103" spans="1:8" x14ac:dyDescent="0.25">
      <c r="A103" s="75">
        <v>40572</v>
      </c>
      <c r="B103" s="8" t="s">
        <v>319</v>
      </c>
      <c r="C103" s="8" t="s">
        <v>308</v>
      </c>
      <c r="D103" s="8" t="s">
        <v>328</v>
      </c>
      <c r="E103" s="8" t="s">
        <v>343</v>
      </c>
      <c r="F103" s="8">
        <v>10</v>
      </c>
      <c r="G103" s="22">
        <v>270</v>
      </c>
      <c r="H103" s="22">
        <v>145</v>
      </c>
    </row>
    <row r="104" spans="1:8" x14ac:dyDescent="0.25">
      <c r="A104" s="75">
        <v>40573</v>
      </c>
      <c r="B104" s="8" t="s">
        <v>311</v>
      </c>
      <c r="C104" s="8" t="s">
        <v>310</v>
      </c>
      <c r="D104" s="8" t="s">
        <v>3</v>
      </c>
      <c r="E104" s="8" t="s">
        <v>322</v>
      </c>
      <c r="F104" s="8">
        <v>23</v>
      </c>
      <c r="G104" s="22">
        <v>437</v>
      </c>
      <c r="H104" s="22">
        <v>184</v>
      </c>
    </row>
    <row r="105" spans="1:8" x14ac:dyDescent="0.25">
      <c r="A105" s="75">
        <v>40573</v>
      </c>
      <c r="B105" s="8" t="s">
        <v>319</v>
      </c>
      <c r="C105" s="8" t="s">
        <v>310</v>
      </c>
      <c r="D105" s="8" t="s">
        <v>3</v>
      </c>
      <c r="E105" s="8" t="s">
        <v>322</v>
      </c>
      <c r="F105" s="8">
        <v>25</v>
      </c>
      <c r="G105" s="22">
        <v>675</v>
      </c>
      <c r="H105" s="22">
        <v>362.5</v>
      </c>
    </row>
    <row r="106" spans="1:8" x14ac:dyDescent="0.25">
      <c r="A106" s="75">
        <v>40573</v>
      </c>
      <c r="B106" s="8" t="s">
        <v>311</v>
      </c>
      <c r="C106" s="8" t="s">
        <v>309</v>
      </c>
      <c r="D106" s="8" t="s">
        <v>328</v>
      </c>
      <c r="E106" s="8" t="s">
        <v>334</v>
      </c>
      <c r="F106" s="8">
        <v>49</v>
      </c>
      <c r="G106" s="22">
        <v>931</v>
      </c>
      <c r="H106" s="22">
        <v>392</v>
      </c>
    </row>
  </sheetData>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93">
    <tabColor rgb="FF0000FF"/>
  </sheetPr>
  <dimension ref="A1:F8"/>
  <sheetViews>
    <sheetView workbookViewId="0">
      <selection activeCell="B2" sqref="B2"/>
    </sheetView>
  </sheetViews>
  <sheetFormatPr defaultRowHeight="15" x14ac:dyDescent="0.25"/>
  <cols>
    <col min="1" max="1" width="11.140625" bestFit="1" customWidth="1"/>
    <col min="2" max="6" width="11.85546875" bestFit="1" customWidth="1"/>
  </cols>
  <sheetData>
    <row r="1" spans="1:6" x14ac:dyDescent="0.25">
      <c r="A1" s="8"/>
      <c r="B1" s="14" t="s">
        <v>307</v>
      </c>
      <c r="C1" s="14" t="s">
        <v>308</v>
      </c>
      <c r="D1" s="14" t="s">
        <v>310</v>
      </c>
      <c r="E1" s="14" t="s">
        <v>309</v>
      </c>
      <c r="F1" s="14" t="s">
        <v>1014</v>
      </c>
    </row>
    <row r="2" spans="1:6" x14ac:dyDescent="0.25">
      <c r="A2" s="337" t="s">
        <v>66</v>
      </c>
      <c r="B2" s="76">
        <f>SUMPRODUCT(--(TEXT('PTData (2)'!$A$2:$A$1227,"mmm")=$A2),--('PTData (2)'!$C$2:$C$1227=B$1),'PTData (2)'!$G$2:$G$1227)</f>
        <v>0</v>
      </c>
      <c r="C2" s="76">
        <f>SUMPRODUCT(--(TEXT('PTData (2)'!$A$2:$A$1227,"mmm")=$A2),--('PTData (2)'!$C$2:$C$1227=C$1),'PTData (2)'!$G$2:$G$1227)</f>
        <v>0</v>
      </c>
      <c r="D2" s="76">
        <f>SUMPRODUCT(--(TEXT('PTData (2)'!$A$2:$A$1227,"mmm")=$A2),--('PTData (2)'!$C$2:$C$1227=D$1),'PTData (2)'!$G$2:$G$1227)</f>
        <v>0</v>
      </c>
      <c r="E2" s="76">
        <f>SUMPRODUCT(--(TEXT('PTData (2)'!$A$2:$A$1227,"mmm")=$A2),--('PTData (2)'!$C$2:$C$1227=E$1),'PTData (2)'!$G$2:$G$1227)</f>
        <v>0</v>
      </c>
      <c r="F2" s="226">
        <f t="shared" ref="F2:F7" si="0">SUM(B2:E2)</f>
        <v>0</v>
      </c>
    </row>
    <row r="3" spans="1:6" x14ac:dyDescent="0.25">
      <c r="A3" s="14" t="s">
        <v>67</v>
      </c>
      <c r="B3" s="76">
        <f>SUMPRODUCT(--(TEXT('PTData (2)'!$A$2:$A$1227,"mmm")=$A3),--('PTData (2)'!$C$2:$C$1227=B$1),'PTData (2)'!$G$2:$G$1227)</f>
        <v>37044</v>
      </c>
      <c r="C3" s="76">
        <f>SUMPRODUCT(--(TEXT('PTData (2)'!$A$2:$A$1227,"mmm")=$A3),--('PTData (2)'!$C$2:$C$1227=C$1),'PTData (2)'!$G$2:$G$1227)</f>
        <v>39134</v>
      </c>
      <c r="D3" s="76">
        <f>SUMPRODUCT(--(TEXT('PTData (2)'!$A$2:$A$1227,"mmm")=$A3),--('PTData (2)'!$C$2:$C$1227=D$1),'PTData (2)'!$G$2:$G$1227)</f>
        <v>31851</v>
      </c>
      <c r="E3" s="76">
        <f>SUMPRODUCT(--(TEXT('PTData (2)'!$A$2:$A$1227,"mmm")=$A3),--('PTData (2)'!$C$2:$C$1227=E$1),'PTData (2)'!$G$2:$G$1227)</f>
        <v>34005</v>
      </c>
      <c r="F3" s="226">
        <f t="shared" si="0"/>
        <v>142034</v>
      </c>
    </row>
    <row r="4" spans="1:6" x14ac:dyDescent="0.25">
      <c r="A4" s="14" t="s">
        <v>68</v>
      </c>
      <c r="B4" s="76">
        <f>SUMPRODUCT(--(TEXT('PTData (2)'!$A$2:$A$1227,"mmm")=$A4),--('PTData (2)'!$C$2:$C$1227=B$1),'PTData (2)'!$G$2:$G$1227)</f>
        <v>35064</v>
      </c>
      <c r="C4" s="76">
        <f>SUMPRODUCT(--(TEXT('PTData (2)'!$A$2:$A$1227,"mmm")=$A4),--('PTData (2)'!$C$2:$C$1227=C$1),'PTData (2)'!$G$2:$G$1227)</f>
        <v>38162</v>
      </c>
      <c r="D4" s="76">
        <f>SUMPRODUCT(--(TEXT('PTData (2)'!$A$2:$A$1227,"mmm")=$A4),--('PTData (2)'!$C$2:$C$1227=D$1),'PTData (2)'!$G$2:$G$1227)</f>
        <v>41283</v>
      </c>
      <c r="E4" s="76">
        <f>SUMPRODUCT(--(TEXT('PTData (2)'!$A$2:$A$1227,"mmm")=$A4),--('PTData (2)'!$C$2:$C$1227=E$1),'PTData (2)'!$G$2:$G$1227)</f>
        <v>37155</v>
      </c>
      <c r="F4" s="226">
        <f t="shared" si="0"/>
        <v>151664</v>
      </c>
    </row>
    <row r="5" spans="1:6" x14ac:dyDescent="0.25">
      <c r="A5" s="14" t="s">
        <v>69</v>
      </c>
      <c r="B5" s="76">
        <f>SUMPRODUCT(--(TEXT('PTData (2)'!$A$2:$A$1227,"mmm")=$A5),--('PTData (2)'!$C$2:$C$1227=B$1),'PTData (2)'!$G$2:$G$1227)</f>
        <v>0</v>
      </c>
      <c r="C5" s="76">
        <f>SUMPRODUCT(--(TEXT('PTData (2)'!$A$2:$A$1227,"mmm")=$A5),--('PTData (2)'!$C$2:$C$1227=C$1),'PTData (2)'!$G$2:$G$1227)</f>
        <v>0</v>
      </c>
      <c r="D5" s="76">
        <f>SUMPRODUCT(--(TEXT('PTData (2)'!$A$2:$A$1227,"mmm")=$A5),--('PTData (2)'!$C$2:$C$1227=D$1),'PTData (2)'!$G$2:$G$1227)</f>
        <v>0</v>
      </c>
      <c r="E5" s="76">
        <f>SUMPRODUCT(--(TEXT('PTData (2)'!$A$2:$A$1227,"mmm")=$A5),--('PTData (2)'!$C$2:$C$1227=E$1),'PTData (2)'!$G$2:$G$1227)</f>
        <v>0</v>
      </c>
      <c r="F5" s="226">
        <f t="shared" si="0"/>
        <v>0</v>
      </c>
    </row>
    <row r="6" spans="1:6" x14ac:dyDescent="0.25">
      <c r="A6" s="14" t="s">
        <v>70</v>
      </c>
      <c r="B6" s="76">
        <f>SUMPRODUCT(--(TEXT('PTData (2)'!$A$2:$A$1227,"mmm")=$A6),--('PTData (2)'!$C$2:$C$1227=B$1),'PTData (2)'!$G$2:$G$1227)</f>
        <v>35750</v>
      </c>
      <c r="C6" s="76">
        <f>SUMPRODUCT(--(TEXT('PTData (2)'!$A$2:$A$1227,"mmm")=$A6),--('PTData (2)'!$C$2:$C$1227=C$1),'PTData (2)'!$G$2:$G$1227)</f>
        <v>39905</v>
      </c>
      <c r="D6" s="76">
        <f>SUMPRODUCT(--(TEXT('PTData (2)'!$A$2:$A$1227,"mmm")=$A6),--('PTData (2)'!$C$2:$C$1227=D$1),'PTData (2)'!$G$2:$G$1227)</f>
        <v>47170</v>
      </c>
      <c r="E6" s="76">
        <f>SUMPRODUCT(--(TEXT('PTData (2)'!$A$2:$A$1227,"mmm")=$A6),--('PTData (2)'!$C$2:$C$1227=E$1),'PTData (2)'!$G$2:$G$1227)</f>
        <v>45793</v>
      </c>
      <c r="F6" s="226">
        <f t="shared" si="0"/>
        <v>168618</v>
      </c>
    </row>
    <row r="7" spans="1:6" x14ac:dyDescent="0.25">
      <c r="A7" s="14" t="s">
        <v>71</v>
      </c>
      <c r="B7" s="76">
        <f>SUMPRODUCT(--(TEXT('PTData (2)'!$A$2:$A$1227,"mmm")=$A7),--('PTData (2)'!$C$2:$C$1227=B$1),'PTData (2)'!$G$2:$G$1227)</f>
        <v>37706</v>
      </c>
      <c r="C7" s="76">
        <f>SUMPRODUCT(--(TEXT('PTData (2)'!$A$2:$A$1227,"mmm")=$A7),--('PTData (2)'!$C$2:$C$1227=C$1),'PTData (2)'!$G$2:$G$1227)</f>
        <v>45037</v>
      </c>
      <c r="D7" s="76">
        <f>SUMPRODUCT(--(TEXT('PTData (2)'!$A$2:$A$1227,"mmm")=$A7),--('PTData (2)'!$C$2:$C$1227=D$1),'PTData (2)'!$G$2:$G$1227)</f>
        <v>46967</v>
      </c>
      <c r="E7" s="76">
        <f>SUMPRODUCT(--(TEXT('PTData (2)'!$A$2:$A$1227,"mmm")=$A7),--('PTData (2)'!$C$2:$C$1227=E$1),'PTData (2)'!$G$2:$G$1227)</f>
        <v>39288</v>
      </c>
      <c r="F7" s="226">
        <f t="shared" si="0"/>
        <v>168998</v>
      </c>
    </row>
    <row r="8" spans="1:6" x14ac:dyDescent="0.25">
      <c r="A8" s="14" t="s">
        <v>1014</v>
      </c>
      <c r="B8" s="226">
        <f t="shared" ref="B8:F8" si="1">SUM(B2:B7)</f>
        <v>145564</v>
      </c>
      <c r="C8" s="226">
        <f t="shared" si="1"/>
        <v>162238</v>
      </c>
      <c r="D8" s="226">
        <f t="shared" si="1"/>
        <v>167271</v>
      </c>
      <c r="E8" s="226">
        <f t="shared" si="1"/>
        <v>156241</v>
      </c>
      <c r="F8" s="226">
        <f t="shared" si="1"/>
        <v>631314</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5">
    <tabColor rgb="FF0000FF"/>
  </sheetPr>
  <dimension ref="A1:H1227"/>
  <sheetViews>
    <sheetView workbookViewId="0">
      <selection activeCell="C8" sqref="C8"/>
    </sheetView>
  </sheetViews>
  <sheetFormatPr defaultColWidth="9.140625" defaultRowHeight="15" x14ac:dyDescent="0.25"/>
  <cols>
    <col min="7" max="7" width="10.8554687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40566</v>
      </c>
      <c r="B2" s="8" t="s">
        <v>319</v>
      </c>
      <c r="C2" s="8" t="s">
        <v>309</v>
      </c>
      <c r="D2" s="8" t="s">
        <v>3</v>
      </c>
      <c r="E2" s="8" t="s">
        <v>334</v>
      </c>
      <c r="F2" s="8">
        <v>23</v>
      </c>
      <c r="G2" s="22">
        <v>621</v>
      </c>
      <c r="H2" s="22">
        <v>333.5</v>
      </c>
    </row>
    <row r="3" spans="1:8" x14ac:dyDescent="0.25">
      <c r="A3" s="75">
        <v>40561</v>
      </c>
      <c r="B3" s="8" t="s">
        <v>311</v>
      </c>
      <c r="C3" s="8" t="s">
        <v>309</v>
      </c>
      <c r="D3" s="8" t="s">
        <v>136</v>
      </c>
      <c r="E3" s="8" t="s">
        <v>322</v>
      </c>
      <c r="F3" s="8">
        <v>65</v>
      </c>
      <c r="G3" s="22">
        <v>1235</v>
      </c>
      <c r="H3" s="22">
        <v>520</v>
      </c>
    </row>
    <row r="4" spans="1:8" x14ac:dyDescent="0.25">
      <c r="A4" s="75">
        <v>40713</v>
      </c>
      <c r="B4" s="8" t="s">
        <v>317</v>
      </c>
      <c r="C4" s="8" t="s">
        <v>309</v>
      </c>
      <c r="D4" s="8" t="s">
        <v>136</v>
      </c>
      <c r="E4" s="8" t="s">
        <v>324</v>
      </c>
      <c r="F4" s="8">
        <v>47</v>
      </c>
      <c r="G4" s="22">
        <v>987</v>
      </c>
      <c r="H4" s="22">
        <v>434.75</v>
      </c>
    </row>
    <row r="5" spans="1:8" x14ac:dyDescent="0.25">
      <c r="A5" s="75">
        <v>40707</v>
      </c>
      <c r="B5" s="8" t="s">
        <v>319</v>
      </c>
      <c r="C5" s="8" t="s">
        <v>308</v>
      </c>
      <c r="D5" s="8" t="s">
        <v>132</v>
      </c>
      <c r="E5" s="8" t="s">
        <v>343</v>
      </c>
      <c r="F5" s="8">
        <v>24</v>
      </c>
      <c r="G5" s="22">
        <v>648</v>
      </c>
      <c r="H5" s="22">
        <v>348</v>
      </c>
    </row>
    <row r="6" spans="1:8" x14ac:dyDescent="0.25">
      <c r="A6" s="75">
        <v>40639</v>
      </c>
      <c r="B6" s="8" t="s">
        <v>311</v>
      </c>
      <c r="C6" s="8" t="s">
        <v>310</v>
      </c>
      <c r="D6" s="8" t="s">
        <v>136</v>
      </c>
      <c r="E6" s="8" t="s">
        <v>316</v>
      </c>
      <c r="F6" s="8">
        <v>58</v>
      </c>
      <c r="G6" s="22">
        <v>1102</v>
      </c>
      <c r="H6" s="22">
        <v>464</v>
      </c>
    </row>
    <row r="7" spans="1:8" x14ac:dyDescent="0.25">
      <c r="A7" s="75">
        <v>40604</v>
      </c>
      <c r="B7" s="8" t="s">
        <v>319</v>
      </c>
      <c r="C7" s="8" t="s">
        <v>309</v>
      </c>
      <c r="D7" s="8" t="s">
        <v>312</v>
      </c>
      <c r="E7" s="8" t="s">
        <v>323</v>
      </c>
      <c r="F7" s="8">
        <v>22</v>
      </c>
      <c r="G7" s="22">
        <v>594</v>
      </c>
      <c r="H7" s="22">
        <v>319</v>
      </c>
    </row>
    <row r="8" spans="1:8" x14ac:dyDescent="0.25">
      <c r="A8" s="75">
        <v>40626</v>
      </c>
      <c r="B8" s="8" t="s">
        <v>319</v>
      </c>
      <c r="C8" s="8" t="s">
        <v>307</v>
      </c>
      <c r="D8" s="8" t="s">
        <v>132</v>
      </c>
      <c r="E8" s="8" t="s">
        <v>316</v>
      </c>
      <c r="F8" s="8">
        <v>8</v>
      </c>
      <c r="G8" s="22">
        <v>216</v>
      </c>
      <c r="H8" s="22">
        <v>116</v>
      </c>
    </row>
    <row r="9" spans="1:8" x14ac:dyDescent="0.25">
      <c r="A9" s="75">
        <v>40601</v>
      </c>
      <c r="B9" s="8" t="s">
        <v>311</v>
      </c>
      <c r="C9" s="8" t="s">
        <v>310</v>
      </c>
      <c r="D9" s="8" t="s">
        <v>132</v>
      </c>
      <c r="E9" s="8" t="s">
        <v>323</v>
      </c>
      <c r="F9" s="8">
        <v>29</v>
      </c>
      <c r="G9" s="22">
        <v>551</v>
      </c>
      <c r="H9" s="22">
        <v>232</v>
      </c>
    </row>
    <row r="10" spans="1:8" x14ac:dyDescent="0.25">
      <c r="A10" s="75">
        <v>40713</v>
      </c>
      <c r="B10" s="8" t="s">
        <v>315</v>
      </c>
      <c r="C10" s="8" t="s">
        <v>309</v>
      </c>
      <c r="D10" s="8" t="s">
        <v>7</v>
      </c>
      <c r="E10" s="8" t="s">
        <v>340</v>
      </c>
      <c r="F10" s="8">
        <v>55</v>
      </c>
      <c r="G10" s="22">
        <v>1265</v>
      </c>
      <c r="H10" s="22">
        <v>605</v>
      </c>
    </row>
    <row r="11" spans="1:8" x14ac:dyDescent="0.25">
      <c r="A11" s="75">
        <v>40680</v>
      </c>
      <c r="B11" s="8" t="s">
        <v>315</v>
      </c>
      <c r="C11" s="8" t="s">
        <v>308</v>
      </c>
      <c r="D11" s="8" t="s">
        <v>312</v>
      </c>
      <c r="E11" s="8" t="s">
        <v>340</v>
      </c>
      <c r="F11" s="8">
        <v>39</v>
      </c>
      <c r="G11" s="22">
        <v>897</v>
      </c>
      <c r="H11" s="22">
        <v>429</v>
      </c>
    </row>
    <row r="12" spans="1:8" x14ac:dyDescent="0.25">
      <c r="A12" s="75">
        <v>40644</v>
      </c>
      <c r="B12" s="8" t="s">
        <v>311</v>
      </c>
      <c r="C12" s="8" t="s">
        <v>308</v>
      </c>
      <c r="D12" s="8" t="s">
        <v>136</v>
      </c>
      <c r="E12" s="8" t="s">
        <v>345</v>
      </c>
      <c r="F12" s="8">
        <v>49</v>
      </c>
      <c r="G12" s="22">
        <v>931</v>
      </c>
      <c r="H12" s="22">
        <v>392</v>
      </c>
    </row>
    <row r="13" spans="1:8" x14ac:dyDescent="0.25">
      <c r="A13" s="75">
        <v>40589</v>
      </c>
      <c r="B13" s="8" t="s">
        <v>315</v>
      </c>
      <c r="C13" s="8" t="s">
        <v>308</v>
      </c>
      <c r="D13" s="8" t="s">
        <v>136</v>
      </c>
      <c r="E13" s="8" t="s">
        <v>313</v>
      </c>
      <c r="F13" s="8">
        <v>63</v>
      </c>
      <c r="G13" s="22">
        <v>1449</v>
      </c>
      <c r="H13" s="22">
        <v>693</v>
      </c>
    </row>
    <row r="14" spans="1:8" x14ac:dyDescent="0.25">
      <c r="A14" s="75">
        <v>40594</v>
      </c>
      <c r="B14" s="8" t="s">
        <v>319</v>
      </c>
      <c r="C14" s="8" t="s">
        <v>310</v>
      </c>
      <c r="D14" s="8" t="s">
        <v>132</v>
      </c>
      <c r="E14" s="8" t="s">
        <v>429</v>
      </c>
      <c r="F14" s="8">
        <v>19</v>
      </c>
      <c r="G14" s="22">
        <v>513</v>
      </c>
      <c r="H14" s="22">
        <v>275.5</v>
      </c>
    </row>
    <row r="15" spans="1:8" x14ac:dyDescent="0.25">
      <c r="A15" s="75">
        <v>40552</v>
      </c>
      <c r="B15" s="8" t="s">
        <v>319</v>
      </c>
      <c r="C15" s="8" t="s">
        <v>308</v>
      </c>
      <c r="D15" s="8" t="s">
        <v>7</v>
      </c>
      <c r="E15" s="8" t="s">
        <v>327</v>
      </c>
      <c r="F15" s="8">
        <v>40</v>
      </c>
      <c r="G15" s="22">
        <v>1080</v>
      </c>
      <c r="H15" s="22">
        <v>580</v>
      </c>
    </row>
    <row r="16" spans="1:8" x14ac:dyDescent="0.25">
      <c r="A16" s="75">
        <v>40637</v>
      </c>
      <c r="B16" s="8" t="s">
        <v>319</v>
      </c>
      <c r="C16" s="8" t="s">
        <v>307</v>
      </c>
      <c r="D16" s="8" t="s">
        <v>132</v>
      </c>
      <c r="E16" s="8" t="s">
        <v>432</v>
      </c>
      <c r="F16" s="8">
        <v>60</v>
      </c>
      <c r="G16" s="22">
        <v>1620</v>
      </c>
      <c r="H16" s="22">
        <v>870</v>
      </c>
    </row>
    <row r="17" spans="1:8" x14ac:dyDescent="0.25">
      <c r="A17" s="75">
        <v>40650</v>
      </c>
      <c r="B17" s="8" t="s">
        <v>317</v>
      </c>
      <c r="C17" s="8" t="s">
        <v>310</v>
      </c>
      <c r="D17" s="8" t="s">
        <v>7</v>
      </c>
      <c r="E17" s="8" t="s">
        <v>338</v>
      </c>
      <c r="F17" s="8">
        <v>24</v>
      </c>
      <c r="G17" s="22">
        <v>504</v>
      </c>
      <c r="H17" s="22">
        <v>222</v>
      </c>
    </row>
    <row r="18" spans="1:8" x14ac:dyDescent="0.25">
      <c r="A18" s="75">
        <v>40565</v>
      </c>
      <c r="B18" s="8" t="s">
        <v>321</v>
      </c>
      <c r="C18" s="8" t="s">
        <v>309</v>
      </c>
      <c r="D18" s="8" t="s">
        <v>136</v>
      </c>
      <c r="E18" s="8" t="s">
        <v>344</v>
      </c>
      <c r="F18" s="8">
        <v>10</v>
      </c>
      <c r="G18" s="22">
        <v>220</v>
      </c>
      <c r="H18" s="22">
        <v>100</v>
      </c>
    </row>
    <row r="19" spans="1:8" x14ac:dyDescent="0.25">
      <c r="A19" s="75">
        <v>40583</v>
      </c>
      <c r="B19" s="8" t="s">
        <v>311</v>
      </c>
      <c r="C19" s="8" t="s">
        <v>307</v>
      </c>
      <c r="D19" s="8" t="s">
        <v>132</v>
      </c>
      <c r="E19" s="8" t="s">
        <v>346</v>
      </c>
      <c r="F19" s="8">
        <v>26</v>
      </c>
      <c r="G19" s="22">
        <v>494</v>
      </c>
      <c r="H19" s="22">
        <v>208</v>
      </c>
    </row>
    <row r="20" spans="1:8" x14ac:dyDescent="0.25">
      <c r="A20" s="75">
        <v>40678</v>
      </c>
      <c r="B20" s="8" t="s">
        <v>311</v>
      </c>
      <c r="C20" s="8" t="s">
        <v>309</v>
      </c>
      <c r="D20" s="8" t="s">
        <v>136</v>
      </c>
      <c r="E20" s="8" t="s">
        <v>320</v>
      </c>
      <c r="F20" s="8">
        <v>65</v>
      </c>
      <c r="G20" s="22">
        <v>1235</v>
      </c>
      <c r="H20" s="22">
        <v>520</v>
      </c>
    </row>
    <row r="21" spans="1:8" x14ac:dyDescent="0.25">
      <c r="A21" s="75">
        <v>40682</v>
      </c>
      <c r="B21" s="8" t="s">
        <v>315</v>
      </c>
      <c r="C21" s="8" t="s">
        <v>308</v>
      </c>
      <c r="D21" s="8" t="s">
        <v>3</v>
      </c>
      <c r="E21" s="8" t="s">
        <v>322</v>
      </c>
      <c r="F21" s="8">
        <v>43</v>
      </c>
      <c r="G21" s="22">
        <v>989</v>
      </c>
      <c r="H21" s="22">
        <v>473</v>
      </c>
    </row>
    <row r="22" spans="1:8" x14ac:dyDescent="0.25">
      <c r="A22" s="75">
        <v>40670</v>
      </c>
      <c r="B22" s="8" t="s">
        <v>311</v>
      </c>
      <c r="C22" s="8" t="s">
        <v>310</v>
      </c>
      <c r="D22" s="8" t="s">
        <v>328</v>
      </c>
      <c r="E22" s="8" t="s">
        <v>337</v>
      </c>
      <c r="F22" s="8">
        <v>20</v>
      </c>
      <c r="G22" s="22">
        <v>380</v>
      </c>
      <c r="H22" s="22">
        <v>160</v>
      </c>
    </row>
    <row r="23" spans="1:8" x14ac:dyDescent="0.25">
      <c r="A23" s="75">
        <v>40653</v>
      </c>
      <c r="B23" s="8" t="s">
        <v>321</v>
      </c>
      <c r="C23" s="8" t="s">
        <v>309</v>
      </c>
      <c r="D23" s="8" t="s">
        <v>328</v>
      </c>
      <c r="E23" s="8" t="s">
        <v>320</v>
      </c>
      <c r="F23" s="8">
        <v>39</v>
      </c>
      <c r="G23" s="22">
        <v>858</v>
      </c>
      <c r="H23" s="22">
        <v>390</v>
      </c>
    </row>
    <row r="24" spans="1:8" x14ac:dyDescent="0.25">
      <c r="A24" s="75">
        <v>40642</v>
      </c>
      <c r="B24" s="8" t="s">
        <v>317</v>
      </c>
      <c r="C24" s="8" t="s">
        <v>308</v>
      </c>
      <c r="D24" s="8" t="s">
        <v>328</v>
      </c>
      <c r="E24" s="8" t="s">
        <v>323</v>
      </c>
      <c r="F24" s="8">
        <v>33</v>
      </c>
      <c r="G24" s="22">
        <v>693</v>
      </c>
      <c r="H24" s="22">
        <v>305.25</v>
      </c>
    </row>
    <row r="25" spans="1:8" x14ac:dyDescent="0.25">
      <c r="A25" s="75">
        <v>40668</v>
      </c>
      <c r="B25" s="8" t="s">
        <v>311</v>
      </c>
      <c r="C25" s="8" t="s">
        <v>307</v>
      </c>
      <c r="D25" s="8" t="s">
        <v>7</v>
      </c>
      <c r="E25" s="8" t="s">
        <v>335</v>
      </c>
      <c r="F25" s="8">
        <v>6</v>
      </c>
      <c r="G25" s="22">
        <v>114</v>
      </c>
      <c r="H25" s="22">
        <v>48</v>
      </c>
    </row>
    <row r="26" spans="1:8" x14ac:dyDescent="0.25">
      <c r="A26" s="75">
        <v>40668</v>
      </c>
      <c r="B26" s="8" t="s">
        <v>315</v>
      </c>
      <c r="C26" s="8" t="s">
        <v>307</v>
      </c>
      <c r="D26" s="8" t="s">
        <v>7</v>
      </c>
      <c r="E26" s="8" t="s">
        <v>347</v>
      </c>
      <c r="F26" s="8">
        <v>33</v>
      </c>
      <c r="G26" s="22">
        <v>759</v>
      </c>
      <c r="H26" s="22">
        <v>363</v>
      </c>
    </row>
    <row r="27" spans="1:8" x14ac:dyDescent="0.25">
      <c r="A27" s="75">
        <v>40616</v>
      </c>
      <c r="B27" s="8" t="s">
        <v>321</v>
      </c>
      <c r="C27" s="8" t="s">
        <v>308</v>
      </c>
      <c r="D27" s="8" t="s">
        <v>136</v>
      </c>
      <c r="E27" s="8" t="s">
        <v>322</v>
      </c>
      <c r="F27" s="8">
        <v>34</v>
      </c>
      <c r="G27" s="22">
        <v>748</v>
      </c>
      <c r="H27" s="22">
        <v>340</v>
      </c>
    </row>
    <row r="28" spans="1:8" x14ac:dyDescent="0.25">
      <c r="A28" s="75">
        <v>40554</v>
      </c>
      <c r="B28" s="8" t="s">
        <v>321</v>
      </c>
      <c r="C28" s="8" t="s">
        <v>308</v>
      </c>
      <c r="D28" s="8" t="s">
        <v>132</v>
      </c>
      <c r="E28" s="8" t="s">
        <v>347</v>
      </c>
      <c r="F28" s="8">
        <v>23</v>
      </c>
      <c r="G28" s="22">
        <v>506</v>
      </c>
      <c r="H28" s="22">
        <v>230</v>
      </c>
    </row>
    <row r="29" spans="1:8" x14ac:dyDescent="0.25">
      <c r="A29" s="75">
        <v>40676</v>
      </c>
      <c r="B29" s="8" t="s">
        <v>315</v>
      </c>
      <c r="C29" s="8" t="s">
        <v>308</v>
      </c>
      <c r="D29" s="8" t="s">
        <v>328</v>
      </c>
      <c r="E29" s="8" t="s">
        <v>333</v>
      </c>
      <c r="F29" s="8">
        <v>6</v>
      </c>
      <c r="G29" s="22">
        <v>138</v>
      </c>
      <c r="H29" s="22">
        <v>66</v>
      </c>
    </row>
    <row r="30" spans="1:8" x14ac:dyDescent="0.25">
      <c r="A30" s="75">
        <v>40656</v>
      </c>
      <c r="B30" s="8" t="s">
        <v>317</v>
      </c>
      <c r="C30" s="8" t="s">
        <v>310</v>
      </c>
      <c r="D30" s="8" t="s">
        <v>132</v>
      </c>
      <c r="E30" s="8" t="s">
        <v>324</v>
      </c>
      <c r="F30" s="8">
        <v>15</v>
      </c>
      <c r="G30" s="22">
        <v>315</v>
      </c>
      <c r="H30" s="22">
        <v>138.75</v>
      </c>
    </row>
    <row r="31" spans="1:8" x14ac:dyDescent="0.25">
      <c r="A31" s="75">
        <v>40624</v>
      </c>
      <c r="B31" s="8" t="s">
        <v>315</v>
      </c>
      <c r="C31" s="8" t="s">
        <v>310</v>
      </c>
      <c r="D31" s="8" t="s">
        <v>136</v>
      </c>
      <c r="E31" s="8" t="s">
        <v>429</v>
      </c>
      <c r="F31" s="8">
        <v>27</v>
      </c>
      <c r="G31" s="22">
        <v>621</v>
      </c>
      <c r="H31" s="22">
        <v>297</v>
      </c>
    </row>
    <row r="32" spans="1:8" x14ac:dyDescent="0.25">
      <c r="A32" s="75">
        <v>40561</v>
      </c>
      <c r="B32" s="8" t="s">
        <v>317</v>
      </c>
      <c r="C32" s="8" t="s">
        <v>310</v>
      </c>
      <c r="D32" s="8" t="s">
        <v>136</v>
      </c>
      <c r="E32" s="8" t="s">
        <v>345</v>
      </c>
      <c r="F32" s="8">
        <v>36</v>
      </c>
      <c r="G32" s="22">
        <v>756</v>
      </c>
      <c r="H32" s="22">
        <v>333</v>
      </c>
    </row>
    <row r="33" spans="1:8" x14ac:dyDescent="0.25">
      <c r="A33" s="75">
        <v>40718</v>
      </c>
      <c r="B33" s="8" t="s">
        <v>321</v>
      </c>
      <c r="C33" s="8" t="s">
        <v>308</v>
      </c>
      <c r="D33" s="8" t="s">
        <v>328</v>
      </c>
      <c r="E33" s="8" t="s">
        <v>331</v>
      </c>
      <c r="F33" s="8">
        <v>64</v>
      </c>
      <c r="G33" s="22">
        <v>1408</v>
      </c>
      <c r="H33" s="22">
        <v>640</v>
      </c>
    </row>
    <row r="34" spans="1:8" x14ac:dyDescent="0.25">
      <c r="A34" s="75">
        <v>40581</v>
      </c>
      <c r="B34" s="8" t="s">
        <v>317</v>
      </c>
      <c r="C34" s="8" t="s">
        <v>308</v>
      </c>
      <c r="D34" s="8" t="s">
        <v>328</v>
      </c>
      <c r="E34" s="8" t="s">
        <v>316</v>
      </c>
      <c r="F34" s="8">
        <v>44</v>
      </c>
      <c r="G34" s="22">
        <v>924</v>
      </c>
      <c r="H34" s="22">
        <v>407</v>
      </c>
    </row>
    <row r="35" spans="1:8" x14ac:dyDescent="0.25">
      <c r="A35" s="75">
        <v>40621</v>
      </c>
      <c r="B35" s="8" t="s">
        <v>315</v>
      </c>
      <c r="C35" s="8" t="s">
        <v>310</v>
      </c>
      <c r="D35" s="8" t="s">
        <v>136</v>
      </c>
      <c r="E35" s="8" t="s">
        <v>322</v>
      </c>
      <c r="F35" s="8">
        <v>54</v>
      </c>
      <c r="G35" s="22">
        <v>1242</v>
      </c>
      <c r="H35" s="22">
        <v>594</v>
      </c>
    </row>
    <row r="36" spans="1:8" x14ac:dyDescent="0.25">
      <c r="A36" s="75">
        <v>40697</v>
      </c>
      <c r="B36" s="8" t="s">
        <v>319</v>
      </c>
      <c r="C36" s="8" t="s">
        <v>308</v>
      </c>
      <c r="D36" s="8" t="s">
        <v>132</v>
      </c>
      <c r="E36" s="8" t="s">
        <v>335</v>
      </c>
      <c r="F36" s="8">
        <v>21</v>
      </c>
      <c r="G36" s="22">
        <v>567</v>
      </c>
      <c r="H36" s="22">
        <v>304.5</v>
      </c>
    </row>
    <row r="37" spans="1:8" x14ac:dyDescent="0.25">
      <c r="A37" s="75">
        <v>40628</v>
      </c>
      <c r="B37" s="8" t="s">
        <v>317</v>
      </c>
      <c r="C37" s="8" t="s">
        <v>307</v>
      </c>
      <c r="D37" s="8" t="s">
        <v>312</v>
      </c>
      <c r="E37" s="8" t="s">
        <v>345</v>
      </c>
      <c r="F37" s="8">
        <v>40</v>
      </c>
      <c r="G37" s="22">
        <v>840</v>
      </c>
      <c r="H37" s="22">
        <v>370</v>
      </c>
    </row>
    <row r="38" spans="1:8" x14ac:dyDescent="0.25">
      <c r="A38" s="75">
        <v>40659</v>
      </c>
      <c r="B38" s="8" t="s">
        <v>315</v>
      </c>
      <c r="C38" s="8" t="s">
        <v>310</v>
      </c>
      <c r="D38" s="8" t="s">
        <v>132</v>
      </c>
      <c r="E38" s="8" t="s">
        <v>330</v>
      </c>
      <c r="F38" s="8">
        <v>22</v>
      </c>
      <c r="G38" s="22">
        <v>506</v>
      </c>
      <c r="H38" s="22">
        <v>242</v>
      </c>
    </row>
    <row r="39" spans="1:8" x14ac:dyDescent="0.25">
      <c r="A39" s="75">
        <v>40659</v>
      </c>
      <c r="B39" s="8" t="s">
        <v>317</v>
      </c>
      <c r="C39" s="8" t="s">
        <v>308</v>
      </c>
      <c r="D39" s="8" t="s">
        <v>328</v>
      </c>
      <c r="E39" s="8" t="s">
        <v>314</v>
      </c>
      <c r="F39" s="8">
        <v>51</v>
      </c>
      <c r="G39" s="22">
        <v>1071</v>
      </c>
      <c r="H39" s="22">
        <v>471.75</v>
      </c>
    </row>
    <row r="40" spans="1:8" x14ac:dyDescent="0.25">
      <c r="A40" s="75">
        <v>40578</v>
      </c>
      <c r="B40" s="8" t="s">
        <v>319</v>
      </c>
      <c r="C40" s="8" t="s">
        <v>309</v>
      </c>
      <c r="D40" s="8" t="s">
        <v>3</v>
      </c>
      <c r="E40" s="8" t="s">
        <v>345</v>
      </c>
      <c r="F40" s="8">
        <v>25</v>
      </c>
      <c r="G40" s="22">
        <v>675</v>
      </c>
      <c r="H40" s="22">
        <v>362.5</v>
      </c>
    </row>
    <row r="41" spans="1:8" x14ac:dyDescent="0.25">
      <c r="A41" s="75">
        <v>40699</v>
      </c>
      <c r="B41" s="8" t="s">
        <v>311</v>
      </c>
      <c r="C41" s="8" t="s">
        <v>307</v>
      </c>
      <c r="D41" s="8" t="s">
        <v>328</v>
      </c>
      <c r="E41" s="8" t="s">
        <v>335</v>
      </c>
      <c r="F41" s="8">
        <v>63</v>
      </c>
      <c r="G41" s="22">
        <v>1197</v>
      </c>
      <c r="H41" s="22">
        <v>504</v>
      </c>
    </row>
    <row r="42" spans="1:8" x14ac:dyDescent="0.25">
      <c r="A42" s="75">
        <v>40562</v>
      </c>
      <c r="B42" s="8" t="s">
        <v>321</v>
      </c>
      <c r="C42" s="8" t="s">
        <v>307</v>
      </c>
      <c r="D42" s="8" t="s">
        <v>136</v>
      </c>
      <c r="E42" s="8" t="s">
        <v>429</v>
      </c>
      <c r="F42" s="8">
        <v>40</v>
      </c>
      <c r="G42" s="22">
        <v>880</v>
      </c>
      <c r="H42" s="22">
        <v>400</v>
      </c>
    </row>
    <row r="43" spans="1:8" x14ac:dyDescent="0.25">
      <c r="A43" s="75">
        <v>40683</v>
      </c>
      <c r="B43" s="8" t="s">
        <v>321</v>
      </c>
      <c r="C43" s="8" t="s">
        <v>309</v>
      </c>
      <c r="D43" s="8" t="s">
        <v>132</v>
      </c>
      <c r="E43" s="8" t="s">
        <v>340</v>
      </c>
      <c r="F43" s="8">
        <v>47</v>
      </c>
      <c r="G43" s="22">
        <v>1034</v>
      </c>
      <c r="H43" s="22">
        <v>470</v>
      </c>
    </row>
    <row r="44" spans="1:8" x14ac:dyDescent="0.25">
      <c r="A44" s="75">
        <v>40722</v>
      </c>
      <c r="B44" s="8" t="s">
        <v>317</v>
      </c>
      <c r="C44" s="8" t="s">
        <v>307</v>
      </c>
      <c r="D44" s="8" t="s">
        <v>132</v>
      </c>
      <c r="E44" s="8" t="s">
        <v>313</v>
      </c>
      <c r="F44" s="8">
        <v>12</v>
      </c>
      <c r="G44" s="22">
        <v>252</v>
      </c>
      <c r="H44" s="22">
        <v>111</v>
      </c>
    </row>
    <row r="45" spans="1:8" x14ac:dyDescent="0.25">
      <c r="A45" s="75">
        <v>40696</v>
      </c>
      <c r="B45" s="8" t="s">
        <v>311</v>
      </c>
      <c r="C45" s="8" t="s">
        <v>308</v>
      </c>
      <c r="D45" s="8" t="s">
        <v>7</v>
      </c>
      <c r="E45" s="8" t="s">
        <v>338</v>
      </c>
      <c r="F45" s="8">
        <v>24</v>
      </c>
      <c r="G45" s="22">
        <v>456</v>
      </c>
      <c r="H45" s="22">
        <v>192</v>
      </c>
    </row>
    <row r="46" spans="1:8" x14ac:dyDescent="0.25">
      <c r="A46" s="75">
        <v>40544</v>
      </c>
      <c r="B46" s="8" t="s">
        <v>319</v>
      </c>
      <c r="C46" s="8" t="s">
        <v>309</v>
      </c>
      <c r="D46" s="8" t="s">
        <v>3</v>
      </c>
      <c r="E46" s="8" t="s">
        <v>325</v>
      </c>
      <c r="F46" s="8">
        <v>33</v>
      </c>
      <c r="G46" s="22">
        <v>891</v>
      </c>
      <c r="H46" s="22">
        <v>478.5</v>
      </c>
    </row>
    <row r="47" spans="1:8" x14ac:dyDescent="0.25">
      <c r="A47" s="75">
        <v>40593</v>
      </c>
      <c r="B47" s="8" t="s">
        <v>321</v>
      </c>
      <c r="C47" s="8" t="s">
        <v>310</v>
      </c>
      <c r="D47" s="8" t="s">
        <v>328</v>
      </c>
      <c r="E47" s="8" t="s">
        <v>325</v>
      </c>
      <c r="F47" s="8">
        <v>39</v>
      </c>
      <c r="G47" s="22">
        <v>858</v>
      </c>
      <c r="H47" s="22">
        <v>390</v>
      </c>
    </row>
    <row r="48" spans="1:8" x14ac:dyDescent="0.25">
      <c r="A48" s="75">
        <v>40546</v>
      </c>
      <c r="B48" s="8" t="s">
        <v>311</v>
      </c>
      <c r="C48" s="8" t="s">
        <v>308</v>
      </c>
      <c r="D48" s="8" t="s">
        <v>132</v>
      </c>
      <c r="E48" s="8" t="s">
        <v>327</v>
      </c>
      <c r="F48" s="8">
        <v>51</v>
      </c>
      <c r="G48" s="22">
        <v>969</v>
      </c>
      <c r="H48" s="22">
        <v>408</v>
      </c>
    </row>
    <row r="49" spans="1:8" x14ac:dyDescent="0.25">
      <c r="A49" s="75">
        <v>40565</v>
      </c>
      <c r="B49" s="8" t="s">
        <v>315</v>
      </c>
      <c r="C49" s="8" t="s">
        <v>308</v>
      </c>
      <c r="D49" s="8" t="s">
        <v>312</v>
      </c>
      <c r="E49" s="8" t="s">
        <v>345</v>
      </c>
      <c r="F49" s="8">
        <v>29</v>
      </c>
      <c r="G49" s="22">
        <v>667</v>
      </c>
      <c r="H49" s="22">
        <v>319</v>
      </c>
    </row>
    <row r="50" spans="1:8" x14ac:dyDescent="0.25">
      <c r="A50" s="75">
        <v>40719</v>
      </c>
      <c r="B50" s="8" t="s">
        <v>321</v>
      </c>
      <c r="C50" s="8" t="s">
        <v>310</v>
      </c>
      <c r="D50" s="8" t="s">
        <v>312</v>
      </c>
      <c r="E50" s="8" t="s">
        <v>320</v>
      </c>
      <c r="F50" s="8">
        <v>33</v>
      </c>
      <c r="G50" s="22">
        <v>726</v>
      </c>
      <c r="H50" s="22">
        <v>330</v>
      </c>
    </row>
    <row r="51" spans="1:8" x14ac:dyDescent="0.25">
      <c r="A51" s="75">
        <v>40699</v>
      </c>
      <c r="B51" s="8" t="s">
        <v>315</v>
      </c>
      <c r="C51" s="8" t="s">
        <v>310</v>
      </c>
      <c r="D51" s="8" t="s">
        <v>132</v>
      </c>
      <c r="E51" s="8" t="s">
        <v>331</v>
      </c>
      <c r="F51" s="8">
        <v>30</v>
      </c>
      <c r="G51" s="22">
        <v>690</v>
      </c>
      <c r="H51" s="22">
        <v>330</v>
      </c>
    </row>
    <row r="52" spans="1:8" x14ac:dyDescent="0.25">
      <c r="A52" s="75">
        <v>40571</v>
      </c>
      <c r="B52" s="8" t="s">
        <v>311</v>
      </c>
      <c r="C52" s="8" t="s">
        <v>310</v>
      </c>
      <c r="D52" s="8" t="s">
        <v>328</v>
      </c>
      <c r="E52" s="8" t="s">
        <v>335</v>
      </c>
      <c r="F52" s="8">
        <v>59</v>
      </c>
      <c r="G52" s="22">
        <v>1121</v>
      </c>
      <c r="H52" s="22">
        <v>472</v>
      </c>
    </row>
    <row r="53" spans="1:8" x14ac:dyDescent="0.25">
      <c r="A53" s="75">
        <v>40590</v>
      </c>
      <c r="B53" s="8" t="s">
        <v>319</v>
      </c>
      <c r="C53" s="8" t="s">
        <v>307</v>
      </c>
      <c r="D53" s="8" t="s">
        <v>312</v>
      </c>
      <c r="E53" s="8" t="s">
        <v>346</v>
      </c>
      <c r="F53" s="8">
        <v>26</v>
      </c>
      <c r="G53" s="22">
        <v>702</v>
      </c>
      <c r="H53" s="22">
        <v>377</v>
      </c>
    </row>
    <row r="54" spans="1:8" x14ac:dyDescent="0.25">
      <c r="A54" s="75">
        <v>40666</v>
      </c>
      <c r="B54" s="8" t="s">
        <v>319</v>
      </c>
      <c r="C54" s="8" t="s">
        <v>309</v>
      </c>
      <c r="D54" s="8" t="s">
        <v>136</v>
      </c>
      <c r="E54" s="8" t="s">
        <v>429</v>
      </c>
      <c r="F54" s="8">
        <v>11</v>
      </c>
      <c r="G54" s="22">
        <v>297</v>
      </c>
      <c r="H54" s="22">
        <v>159.5</v>
      </c>
    </row>
    <row r="55" spans="1:8" x14ac:dyDescent="0.25">
      <c r="A55" s="75">
        <v>40682</v>
      </c>
      <c r="B55" s="8" t="s">
        <v>311</v>
      </c>
      <c r="C55" s="8" t="s">
        <v>309</v>
      </c>
      <c r="D55" s="8" t="s">
        <v>328</v>
      </c>
      <c r="E55" s="8" t="s">
        <v>348</v>
      </c>
      <c r="F55" s="8">
        <v>13</v>
      </c>
      <c r="G55" s="22">
        <v>247</v>
      </c>
      <c r="H55" s="22">
        <v>104</v>
      </c>
    </row>
    <row r="56" spans="1:8" x14ac:dyDescent="0.25">
      <c r="A56" s="75">
        <v>40671</v>
      </c>
      <c r="B56" s="8" t="s">
        <v>317</v>
      </c>
      <c r="C56" s="8" t="s">
        <v>308</v>
      </c>
      <c r="D56" s="8" t="s">
        <v>312</v>
      </c>
      <c r="E56" s="8" t="s">
        <v>316</v>
      </c>
      <c r="F56" s="8">
        <v>58</v>
      </c>
      <c r="G56" s="22">
        <v>1218</v>
      </c>
      <c r="H56" s="22">
        <v>536.5</v>
      </c>
    </row>
    <row r="57" spans="1:8" x14ac:dyDescent="0.25">
      <c r="A57" s="75">
        <v>40670</v>
      </c>
      <c r="B57" s="8" t="s">
        <v>321</v>
      </c>
      <c r="C57" s="8" t="s">
        <v>310</v>
      </c>
      <c r="D57" s="8" t="s">
        <v>312</v>
      </c>
      <c r="E57" s="8" t="s">
        <v>332</v>
      </c>
      <c r="F57" s="8">
        <v>25</v>
      </c>
      <c r="G57" s="22">
        <v>550</v>
      </c>
      <c r="H57" s="22">
        <v>250</v>
      </c>
    </row>
    <row r="58" spans="1:8" x14ac:dyDescent="0.25">
      <c r="A58" s="75">
        <v>40720</v>
      </c>
      <c r="B58" s="8" t="s">
        <v>319</v>
      </c>
      <c r="C58" s="8" t="s">
        <v>309</v>
      </c>
      <c r="D58" s="8" t="s">
        <v>7</v>
      </c>
      <c r="E58" s="8" t="s">
        <v>345</v>
      </c>
      <c r="F58" s="8">
        <v>55</v>
      </c>
      <c r="G58" s="22">
        <v>1485</v>
      </c>
      <c r="H58" s="22">
        <v>797.5</v>
      </c>
    </row>
    <row r="59" spans="1:8" x14ac:dyDescent="0.25">
      <c r="A59" s="75">
        <v>40658</v>
      </c>
      <c r="B59" s="8" t="s">
        <v>311</v>
      </c>
      <c r="C59" s="8" t="s">
        <v>310</v>
      </c>
      <c r="D59" s="8" t="s">
        <v>136</v>
      </c>
      <c r="E59" s="8" t="s">
        <v>313</v>
      </c>
      <c r="F59" s="8">
        <v>8</v>
      </c>
      <c r="G59" s="22">
        <v>152</v>
      </c>
      <c r="H59" s="22">
        <v>64</v>
      </c>
    </row>
    <row r="60" spans="1:8" x14ac:dyDescent="0.25">
      <c r="A60" s="75">
        <v>40604</v>
      </c>
      <c r="B60" s="8" t="s">
        <v>319</v>
      </c>
      <c r="C60" s="8" t="s">
        <v>307</v>
      </c>
      <c r="D60" s="8" t="s">
        <v>136</v>
      </c>
      <c r="E60" s="8" t="s">
        <v>348</v>
      </c>
      <c r="F60" s="8">
        <v>8</v>
      </c>
      <c r="G60" s="22">
        <v>216</v>
      </c>
      <c r="H60" s="22">
        <v>116</v>
      </c>
    </row>
    <row r="61" spans="1:8" x14ac:dyDescent="0.25">
      <c r="A61" s="75">
        <v>40644</v>
      </c>
      <c r="B61" s="8" t="s">
        <v>321</v>
      </c>
      <c r="C61" s="8" t="s">
        <v>310</v>
      </c>
      <c r="D61" s="8" t="s">
        <v>7</v>
      </c>
      <c r="E61" s="8" t="s">
        <v>429</v>
      </c>
      <c r="F61" s="8">
        <v>13</v>
      </c>
      <c r="G61" s="22">
        <v>286</v>
      </c>
      <c r="H61" s="22">
        <v>130</v>
      </c>
    </row>
    <row r="62" spans="1:8" x14ac:dyDescent="0.25">
      <c r="A62" s="75">
        <v>40622</v>
      </c>
      <c r="B62" s="8" t="s">
        <v>317</v>
      </c>
      <c r="C62" s="8" t="s">
        <v>309</v>
      </c>
      <c r="D62" s="8" t="s">
        <v>136</v>
      </c>
      <c r="E62" s="8" t="s">
        <v>346</v>
      </c>
      <c r="F62" s="8">
        <v>31</v>
      </c>
      <c r="G62" s="22">
        <v>651</v>
      </c>
      <c r="H62" s="22">
        <v>286.75</v>
      </c>
    </row>
    <row r="63" spans="1:8" x14ac:dyDescent="0.25">
      <c r="A63" s="75">
        <v>40576</v>
      </c>
      <c r="B63" s="8" t="s">
        <v>311</v>
      </c>
      <c r="C63" s="8" t="s">
        <v>310</v>
      </c>
      <c r="D63" s="8" t="s">
        <v>3</v>
      </c>
      <c r="E63" s="8" t="s">
        <v>332</v>
      </c>
      <c r="F63" s="8">
        <v>60</v>
      </c>
      <c r="G63" s="22">
        <v>1140</v>
      </c>
      <c r="H63" s="22">
        <v>480</v>
      </c>
    </row>
    <row r="64" spans="1:8" x14ac:dyDescent="0.25">
      <c r="A64" s="75">
        <v>40720</v>
      </c>
      <c r="B64" s="8" t="s">
        <v>321</v>
      </c>
      <c r="C64" s="8" t="s">
        <v>308</v>
      </c>
      <c r="D64" s="8" t="s">
        <v>132</v>
      </c>
      <c r="E64" s="8" t="s">
        <v>338</v>
      </c>
      <c r="F64" s="8">
        <v>9</v>
      </c>
      <c r="G64" s="22">
        <v>198</v>
      </c>
      <c r="H64" s="22">
        <v>90</v>
      </c>
    </row>
    <row r="65" spans="1:8" x14ac:dyDescent="0.25">
      <c r="A65" s="75">
        <v>40570</v>
      </c>
      <c r="B65" s="8" t="s">
        <v>321</v>
      </c>
      <c r="C65" s="8" t="s">
        <v>309</v>
      </c>
      <c r="D65" s="8" t="s">
        <v>328</v>
      </c>
      <c r="E65" s="8" t="s">
        <v>330</v>
      </c>
      <c r="F65" s="8">
        <v>12</v>
      </c>
      <c r="G65" s="22">
        <v>264</v>
      </c>
      <c r="H65" s="22">
        <v>120</v>
      </c>
    </row>
    <row r="66" spans="1:8" x14ac:dyDescent="0.25">
      <c r="A66" s="75">
        <v>40614</v>
      </c>
      <c r="B66" s="8" t="s">
        <v>317</v>
      </c>
      <c r="C66" s="8" t="s">
        <v>307</v>
      </c>
      <c r="D66" s="8" t="s">
        <v>136</v>
      </c>
      <c r="E66" s="8" t="s">
        <v>337</v>
      </c>
      <c r="F66" s="8">
        <v>65</v>
      </c>
      <c r="G66" s="22">
        <v>1365</v>
      </c>
      <c r="H66" s="22">
        <v>601.25</v>
      </c>
    </row>
    <row r="67" spans="1:8" x14ac:dyDescent="0.25">
      <c r="A67" s="75">
        <v>40592</v>
      </c>
      <c r="B67" s="8" t="s">
        <v>317</v>
      </c>
      <c r="C67" s="8" t="s">
        <v>310</v>
      </c>
      <c r="D67" s="8" t="s">
        <v>136</v>
      </c>
      <c r="E67" s="8" t="s">
        <v>337</v>
      </c>
      <c r="F67" s="8">
        <v>50</v>
      </c>
      <c r="G67" s="22">
        <v>1050</v>
      </c>
      <c r="H67" s="22">
        <v>462.5</v>
      </c>
    </row>
    <row r="68" spans="1:8" x14ac:dyDescent="0.25">
      <c r="A68" s="75">
        <v>40692</v>
      </c>
      <c r="B68" s="8" t="s">
        <v>317</v>
      </c>
      <c r="C68" s="8" t="s">
        <v>307</v>
      </c>
      <c r="D68" s="8" t="s">
        <v>3</v>
      </c>
      <c r="E68" s="8" t="s">
        <v>429</v>
      </c>
      <c r="F68" s="8">
        <v>57</v>
      </c>
      <c r="G68" s="22">
        <v>1197</v>
      </c>
      <c r="H68" s="22">
        <v>527.25</v>
      </c>
    </row>
    <row r="69" spans="1:8" x14ac:dyDescent="0.25">
      <c r="A69" s="75">
        <v>40699</v>
      </c>
      <c r="B69" s="8" t="s">
        <v>321</v>
      </c>
      <c r="C69" s="8" t="s">
        <v>309</v>
      </c>
      <c r="D69" s="8" t="s">
        <v>132</v>
      </c>
      <c r="E69" s="8" t="s">
        <v>432</v>
      </c>
      <c r="F69" s="8">
        <v>65</v>
      </c>
      <c r="G69" s="22">
        <v>1430</v>
      </c>
      <c r="H69" s="22">
        <v>650</v>
      </c>
    </row>
    <row r="70" spans="1:8" x14ac:dyDescent="0.25">
      <c r="A70" s="75">
        <v>40712</v>
      </c>
      <c r="B70" s="8" t="s">
        <v>321</v>
      </c>
      <c r="C70" s="8" t="s">
        <v>310</v>
      </c>
      <c r="D70" s="8" t="s">
        <v>328</v>
      </c>
      <c r="E70" s="8" t="s">
        <v>322</v>
      </c>
      <c r="F70" s="8">
        <v>40</v>
      </c>
      <c r="G70" s="22">
        <v>880</v>
      </c>
      <c r="H70" s="22">
        <v>400</v>
      </c>
    </row>
    <row r="71" spans="1:8" x14ac:dyDescent="0.25">
      <c r="A71" s="75">
        <v>40634</v>
      </c>
      <c r="B71" s="8" t="s">
        <v>311</v>
      </c>
      <c r="C71" s="8" t="s">
        <v>310</v>
      </c>
      <c r="D71" s="8" t="s">
        <v>328</v>
      </c>
      <c r="E71" s="8" t="s">
        <v>335</v>
      </c>
      <c r="F71" s="8">
        <v>62</v>
      </c>
      <c r="G71" s="22">
        <v>1178</v>
      </c>
      <c r="H71" s="22">
        <v>496</v>
      </c>
    </row>
    <row r="72" spans="1:8" x14ac:dyDescent="0.25">
      <c r="A72" s="75">
        <v>40651</v>
      </c>
      <c r="B72" s="8" t="s">
        <v>317</v>
      </c>
      <c r="C72" s="8" t="s">
        <v>310</v>
      </c>
      <c r="D72" s="8" t="s">
        <v>3</v>
      </c>
      <c r="E72" s="8" t="s">
        <v>318</v>
      </c>
      <c r="F72" s="8">
        <v>47</v>
      </c>
      <c r="G72" s="22">
        <v>987</v>
      </c>
      <c r="H72" s="22">
        <v>434.75</v>
      </c>
    </row>
    <row r="73" spans="1:8" x14ac:dyDescent="0.25">
      <c r="A73" s="75">
        <v>40614</v>
      </c>
      <c r="B73" s="8" t="s">
        <v>319</v>
      </c>
      <c r="C73" s="8" t="s">
        <v>307</v>
      </c>
      <c r="D73" s="8" t="s">
        <v>7</v>
      </c>
      <c r="E73" s="8" t="s">
        <v>322</v>
      </c>
      <c r="F73" s="8">
        <v>18</v>
      </c>
      <c r="G73" s="22">
        <v>486</v>
      </c>
      <c r="H73" s="22">
        <v>261</v>
      </c>
    </row>
    <row r="74" spans="1:8" x14ac:dyDescent="0.25">
      <c r="A74" s="75">
        <v>40663</v>
      </c>
      <c r="B74" s="8" t="s">
        <v>321</v>
      </c>
      <c r="C74" s="8" t="s">
        <v>309</v>
      </c>
      <c r="D74" s="8" t="s">
        <v>136</v>
      </c>
      <c r="E74" s="8" t="s">
        <v>316</v>
      </c>
      <c r="F74" s="8">
        <v>63</v>
      </c>
      <c r="G74" s="22">
        <v>1386</v>
      </c>
      <c r="H74" s="22">
        <v>630</v>
      </c>
    </row>
    <row r="75" spans="1:8" x14ac:dyDescent="0.25">
      <c r="A75" s="75">
        <v>40635</v>
      </c>
      <c r="B75" s="8" t="s">
        <v>311</v>
      </c>
      <c r="C75" s="8" t="s">
        <v>309</v>
      </c>
      <c r="D75" s="8" t="s">
        <v>132</v>
      </c>
      <c r="E75" s="8" t="s">
        <v>339</v>
      </c>
      <c r="F75" s="8">
        <v>42</v>
      </c>
      <c r="G75" s="22">
        <v>798</v>
      </c>
      <c r="H75" s="22">
        <v>336</v>
      </c>
    </row>
    <row r="76" spans="1:8" x14ac:dyDescent="0.25">
      <c r="A76" s="75">
        <v>40719</v>
      </c>
      <c r="B76" s="8" t="s">
        <v>321</v>
      </c>
      <c r="C76" s="8" t="s">
        <v>307</v>
      </c>
      <c r="D76" s="8" t="s">
        <v>312</v>
      </c>
      <c r="E76" s="8" t="s">
        <v>429</v>
      </c>
      <c r="F76" s="8">
        <v>12</v>
      </c>
      <c r="G76" s="22">
        <v>264</v>
      </c>
      <c r="H76" s="22">
        <v>120</v>
      </c>
    </row>
    <row r="77" spans="1:8" x14ac:dyDescent="0.25">
      <c r="A77" s="75">
        <v>40641</v>
      </c>
      <c r="B77" s="8" t="s">
        <v>311</v>
      </c>
      <c r="C77" s="8" t="s">
        <v>310</v>
      </c>
      <c r="D77" s="8" t="s">
        <v>7</v>
      </c>
      <c r="E77" s="8" t="s">
        <v>432</v>
      </c>
      <c r="F77" s="8">
        <v>19</v>
      </c>
      <c r="G77" s="22">
        <v>361</v>
      </c>
      <c r="H77" s="22">
        <v>152</v>
      </c>
    </row>
    <row r="78" spans="1:8" x14ac:dyDescent="0.25">
      <c r="A78" s="75">
        <v>40670</v>
      </c>
      <c r="B78" s="8" t="s">
        <v>317</v>
      </c>
      <c r="C78" s="8" t="s">
        <v>310</v>
      </c>
      <c r="D78" s="8" t="s">
        <v>132</v>
      </c>
      <c r="E78" s="8" t="s">
        <v>429</v>
      </c>
      <c r="F78" s="8">
        <v>14</v>
      </c>
      <c r="G78" s="22">
        <v>294</v>
      </c>
      <c r="H78" s="22">
        <v>129.5</v>
      </c>
    </row>
    <row r="79" spans="1:8" x14ac:dyDescent="0.25">
      <c r="A79" s="75">
        <v>40568</v>
      </c>
      <c r="B79" s="8" t="s">
        <v>315</v>
      </c>
      <c r="C79" s="8" t="s">
        <v>309</v>
      </c>
      <c r="D79" s="8" t="s">
        <v>7</v>
      </c>
      <c r="E79" s="8" t="s">
        <v>429</v>
      </c>
      <c r="F79" s="8">
        <v>7</v>
      </c>
      <c r="G79" s="22">
        <v>161</v>
      </c>
      <c r="H79" s="22">
        <v>77</v>
      </c>
    </row>
    <row r="80" spans="1:8" x14ac:dyDescent="0.25">
      <c r="A80" s="75">
        <v>40590</v>
      </c>
      <c r="B80" s="8" t="s">
        <v>311</v>
      </c>
      <c r="C80" s="8" t="s">
        <v>309</v>
      </c>
      <c r="D80" s="8" t="s">
        <v>136</v>
      </c>
      <c r="E80" s="8" t="s">
        <v>325</v>
      </c>
      <c r="F80" s="8">
        <v>51</v>
      </c>
      <c r="G80" s="22">
        <v>969</v>
      </c>
      <c r="H80" s="22">
        <v>408</v>
      </c>
    </row>
    <row r="81" spans="1:8" x14ac:dyDescent="0.25">
      <c r="A81" s="75">
        <v>40596</v>
      </c>
      <c r="B81" s="8" t="s">
        <v>315</v>
      </c>
      <c r="C81" s="8" t="s">
        <v>308</v>
      </c>
      <c r="D81" s="8" t="s">
        <v>312</v>
      </c>
      <c r="E81" s="8" t="s">
        <v>347</v>
      </c>
      <c r="F81" s="8">
        <v>25</v>
      </c>
      <c r="G81" s="22">
        <v>575</v>
      </c>
      <c r="H81" s="22">
        <v>275</v>
      </c>
    </row>
    <row r="82" spans="1:8" x14ac:dyDescent="0.25">
      <c r="A82" s="75">
        <v>40603</v>
      </c>
      <c r="B82" s="8" t="s">
        <v>321</v>
      </c>
      <c r="C82" s="8" t="s">
        <v>307</v>
      </c>
      <c r="D82" s="8" t="s">
        <v>312</v>
      </c>
      <c r="E82" s="8" t="s">
        <v>345</v>
      </c>
      <c r="F82" s="8">
        <v>49</v>
      </c>
      <c r="G82" s="22">
        <v>1078</v>
      </c>
      <c r="H82" s="22">
        <v>490</v>
      </c>
    </row>
    <row r="83" spans="1:8" x14ac:dyDescent="0.25">
      <c r="A83" s="75">
        <v>40662</v>
      </c>
      <c r="B83" s="8" t="s">
        <v>317</v>
      </c>
      <c r="C83" s="8" t="s">
        <v>309</v>
      </c>
      <c r="D83" s="8" t="s">
        <v>328</v>
      </c>
      <c r="E83" s="8" t="s">
        <v>318</v>
      </c>
      <c r="F83" s="8">
        <v>36</v>
      </c>
      <c r="G83" s="22">
        <v>756</v>
      </c>
      <c r="H83" s="22">
        <v>333</v>
      </c>
    </row>
    <row r="84" spans="1:8" x14ac:dyDescent="0.25">
      <c r="A84" s="75">
        <v>40691</v>
      </c>
      <c r="B84" s="8" t="s">
        <v>315</v>
      </c>
      <c r="C84" s="8" t="s">
        <v>308</v>
      </c>
      <c r="D84" s="8" t="s">
        <v>312</v>
      </c>
      <c r="E84" s="8" t="s">
        <v>313</v>
      </c>
      <c r="F84" s="8">
        <v>10</v>
      </c>
      <c r="G84" s="22">
        <v>230</v>
      </c>
      <c r="H84" s="22">
        <v>110</v>
      </c>
    </row>
    <row r="85" spans="1:8" x14ac:dyDescent="0.25">
      <c r="A85" s="75">
        <v>40656</v>
      </c>
      <c r="B85" s="8" t="s">
        <v>317</v>
      </c>
      <c r="C85" s="8" t="s">
        <v>307</v>
      </c>
      <c r="D85" s="8" t="s">
        <v>7</v>
      </c>
      <c r="E85" s="8" t="s">
        <v>342</v>
      </c>
      <c r="F85" s="8">
        <v>6</v>
      </c>
      <c r="G85" s="22">
        <v>126</v>
      </c>
      <c r="H85" s="22">
        <v>55.5</v>
      </c>
    </row>
    <row r="86" spans="1:8" x14ac:dyDescent="0.25">
      <c r="A86" s="75">
        <v>40649</v>
      </c>
      <c r="B86" s="8" t="s">
        <v>315</v>
      </c>
      <c r="C86" s="8" t="s">
        <v>308</v>
      </c>
      <c r="D86" s="8" t="s">
        <v>3</v>
      </c>
      <c r="E86" s="8" t="s">
        <v>335</v>
      </c>
      <c r="F86" s="8">
        <v>55</v>
      </c>
      <c r="G86" s="22">
        <v>1265</v>
      </c>
      <c r="H86" s="22">
        <v>605</v>
      </c>
    </row>
    <row r="87" spans="1:8" x14ac:dyDescent="0.25">
      <c r="A87" s="75">
        <v>40568</v>
      </c>
      <c r="B87" s="8" t="s">
        <v>319</v>
      </c>
      <c r="C87" s="8" t="s">
        <v>307</v>
      </c>
      <c r="D87" s="8" t="s">
        <v>136</v>
      </c>
      <c r="E87" s="8" t="s">
        <v>334</v>
      </c>
      <c r="F87" s="8">
        <v>31</v>
      </c>
      <c r="G87" s="22">
        <v>837</v>
      </c>
      <c r="H87" s="22">
        <v>449.5</v>
      </c>
    </row>
    <row r="88" spans="1:8" x14ac:dyDescent="0.25">
      <c r="A88" s="75">
        <v>40681</v>
      </c>
      <c r="B88" s="8" t="s">
        <v>321</v>
      </c>
      <c r="C88" s="8" t="s">
        <v>310</v>
      </c>
      <c r="D88" s="8" t="s">
        <v>136</v>
      </c>
      <c r="E88" s="8" t="s">
        <v>313</v>
      </c>
      <c r="F88" s="8">
        <v>43</v>
      </c>
      <c r="G88" s="22">
        <v>946</v>
      </c>
      <c r="H88" s="22">
        <v>430</v>
      </c>
    </row>
    <row r="89" spans="1:8" x14ac:dyDescent="0.25">
      <c r="A89" s="75">
        <v>40652</v>
      </c>
      <c r="B89" s="8" t="s">
        <v>311</v>
      </c>
      <c r="C89" s="8" t="s">
        <v>309</v>
      </c>
      <c r="D89" s="8" t="s">
        <v>136</v>
      </c>
      <c r="E89" s="8" t="s">
        <v>313</v>
      </c>
      <c r="F89" s="8">
        <v>17</v>
      </c>
      <c r="G89" s="22">
        <v>323</v>
      </c>
      <c r="H89" s="22">
        <v>136</v>
      </c>
    </row>
    <row r="90" spans="1:8" x14ac:dyDescent="0.25">
      <c r="A90" s="75">
        <v>40567</v>
      </c>
      <c r="B90" s="8" t="s">
        <v>315</v>
      </c>
      <c r="C90" s="8" t="s">
        <v>310</v>
      </c>
      <c r="D90" s="8" t="s">
        <v>312</v>
      </c>
      <c r="E90" s="8" t="s">
        <v>325</v>
      </c>
      <c r="F90" s="8">
        <v>38</v>
      </c>
      <c r="G90" s="22">
        <v>874</v>
      </c>
      <c r="H90" s="22">
        <v>418</v>
      </c>
    </row>
    <row r="91" spans="1:8" x14ac:dyDescent="0.25">
      <c r="A91" s="75">
        <v>40694</v>
      </c>
      <c r="B91" s="8" t="s">
        <v>311</v>
      </c>
      <c r="C91" s="8" t="s">
        <v>307</v>
      </c>
      <c r="D91" s="8" t="s">
        <v>3</v>
      </c>
      <c r="E91" s="8" t="s">
        <v>338</v>
      </c>
      <c r="F91" s="8">
        <v>42</v>
      </c>
      <c r="G91" s="22">
        <v>798</v>
      </c>
      <c r="H91" s="22">
        <v>336</v>
      </c>
    </row>
    <row r="92" spans="1:8" x14ac:dyDescent="0.25">
      <c r="A92" s="75">
        <v>40578</v>
      </c>
      <c r="B92" s="8" t="s">
        <v>317</v>
      </c>
      <c r="C92" s="8" t="s">
        <v>308</v>
      </c>
      <c r="D92" s="8" t="s">
        <v>132</v>
      </c>
      <c r="E92" s="8" t="s">
        <v>327</v>
      </c>
      <c r="F92" s="8">
        <v>6</v>
      </c>
      <c r="G92" s="22">
        <v>126</v>
      </c>
      <c r="H92" s="22">
        <v>55.5</v>
      </c>
    </row>
    <row r="93" spans="1:8" x14ac:dyDescent="0.25">
      <c r="A93" s="75">
        <v>40551</v>
      </c>
      <c r="B93" s="8" t="s">
        <v>319</v>
      </c>
      <c r="C93" s="8" t="s">
        <v>307</v>
      </c>
      <c r="D93" s="8" t="s">
        <v>132</v>
      </c>
      <c r="E93" s="8" t="s">
        <v>346</v>
      </c>
      <c r="F93" s="8">
        <v>23</v>
      </c>
      <c r="G93" s="22">
        <v>621</v>
      </c>
      <c r="H93" s="22">
        <v>333.5</v>
      </c>
    </row>
    <row r="94" spans="1:8" x14ac:dyDescent="0.25">
      <c r="A94" s="75">
        <v>40591</v>
      </c>
      <c r="B94" s="8" t="s">
        <v>321</v>
      </c>
      <c r="C94" s="8" t="s">
        <v>309</v>
      </c>
      <c r="D94" s="8" t="s">
        <v>132</v>
      </c>
      <c r="E94" s="8" t="s">
        <v>338</v>
      </c>
      <c r="F94" s="8">
        <v>41</v>
      </c>
      <c r="G94" s="22">
        <v>902</v>
      </c>
      <c r="H94" s="22">
        <v>410</v>
      </c>
    </row>
    <row r="95" spans="1:8" x14ac:dyDescent="0.25">
      <c r="A95" s="75">
        <v>40669</v>
      </c>
      <c r="B95" s="8" t="s">
        <v>315</v>
      </c>
      <c r="C95" s="8" t="s">
        <v>307</v>
      </c>
      <c r="D95" s="8" t="s">
        <v>136</v>
      </c>
      <c r="E95" s="8" t="s">
        <v>334</v>
      </c>
      <c r="F95" s="8">
        <v>41</v>
      </c>
      <c r="G95" s="22">
        <v>943</v>
      </c>
      <c r="H95" s="22">
        <v>451</v>
      </c>
    </row>
    <row r="96" spans="1:8" x14ac:dyDescent="0.25">
      <c r="A96" s="75">
        <v>40607</v>
      </c>
      <c r="B96" s="8" t="s">
        <v>319</v>
      </c>
      <c r="C96" s="8" t="s">
        <v>310</v>
      </c>
      <c r="D96" s="8" t="s">
        <v>312</v>
      </c>
      <c r="E96" s="8" t="s">
        <v>333</v>
      </c>
      <c r="F96" s="8">
        <v>14</v>
      </c>
      <c r="G96" s="22">
        <v>378</v>
      </c>
      <c r="H96" s="22">
        <v>203</v>
      </c>
    </row>
    <row r="97" spans="1:8" x14ac:dyDescent="0.25">
      <c r="A97" s="75">
        <v>40572</v>
      </c>
      <c r="B97" s="8" t="s">
        <v>315</v>
      </c>
      <c r="C97" s="8" t="s">
        <v>309</v>
      </c>
      <c r="D97" s="8" t="s">
        <v>132</v>
      </c>
      <c r="E97" s="8" t="s">
        <v>336</v>
      </c>
      <c r="F97" s="8">
        <v>40</v>
      </c>
      <c r="G97" s="22">
        <v>920</v>
      </c>
      <c r="H97" s="22">
        <v>440</v>
      </c>
    </row>
    <row r="98" spans="1:8" x14ac:dyDescent="0.25">
      <c r="A98" s="75">
        <v>40633</v>
      </c>
      <c r="B98" s="8" t="s">
        <v>311</v>
      </c>
      <c r="C98" s="8" t="s">
        <v>307</v>
      </c>
      <c r="D98" s="8" t="s">
        <v>328</v>
      </c>
      <c r="E98" s="8" t="s">
        <v>313</v>
      </c>
      <c r="F98" s="8">
        <v>36</v>
      </c>
      <c r="G98" s="22">
        <v>684</v>
      </c>
      <c r="H98" s="22">
        <v>288</v>
      </c>
    </row>
    <row r="99" spans="1:8" x14ac:dyDescent="0.25">
      <c r="A99" s="75">
        <v>40547</v>
      </c>
      <c r="B99" s="8" t="s">
        <v>315</v>
      </c>
      <c r="C99" s="8" t="s">
        <v>310</v>
      </c>
      <c r="D99" s="8" t="s">
        <v>7</v>
      </c>
      <c r="E99" s="8" t="s">
        <v>432</v>
      </c>
      <c r="F99" s="8">
        <v>43</v>
      </c>
      <c r="G99" s="22">
        <v>989</v>
      </c>
      <c r="H99" s="22">
        <v>473</v>
      </c>
    </row>
    <row r="100" spans="1:8" x14ac:dyDescent="0.25">
      <c r="A100" s="75">
        <v>40626</v>
      </c>
      <c r="B100" s="8" t="s">
        <v>315</v>
      </c>
      <c r="C100" s="8" t="s">
        <v>308</v>
      </c>
      <c r="D100" s="8" t="s">
        <v>7</v>
      </c>
      <c r="E100" s="8" t="s">
        <v>342</v>
      </c>
      <c r="F100" s="8">
        <v>18</v>
      </c>
      <c r="G100" s="22">
        <v>414</v>
      </c>
      <c r="H100" s="22">
        <v>198</v>
      </c>
    </row>
    <row r="101" spans="1:8" x14ac:dyDescent="0.25">
      <c r="A101" s="75">
        <v>40593</v>
      </c>
      <c r="B101" s="8" t="s">
        <v>317</v>
      </c>
      <c r="C101" s="8" t="s">
        <v>310</v>
      </c>
      <c r="D101" s="8" t="s">
        <v>136</v>
      </c>
      <c r="E101" s="8" t="s">
        <v>333</v>
      </c>
      <c r="F101" s="8">
        <v>60</v>
      </c>
      <c r="G101" s="22">
        <v>1260</v>
      </c>
      <c r="H101" s="22">
        <v>555</v>
      </c>
    </row>
    <row r="102" spans="1:8" x14ac:dyDescent="0.25">
      <c r="A102" s="75">
        <v>40575</v>
      </c>
      <c r="B102" s="8" t="s">
        <v>319</v>
      </c>
      <c r="C102" s="8" t="s">
        <v>309</v>
      </c>
      <c r="D102" s="8" t="s">
        <v>132</v>
      </c>
      <c r="E102" s="8" t="s">
        <v>428</v>
      </c>
      <c r="F102" s="8">
        <v>23</v>
      </c>
      <c r="G102" s="22">
        <v>621</v>
      </c>
      <c r="H102" s="22">
        <v>333.5</v>
      </c>
    </row>
    <row r="103" spans="1:8" x14ac:dyDescent="0.25">
      <c r="A103" s="75">
        <v>40706</v>
      </c>
      <c r="B103" s="8" t="s">
        <v>321</v>
      </c>
      <c r="C103" s="8" t="s">
        <v>309</v>
      </c>
      <c r="D103" s="8" t="s">
        <v>7</v>
      </c>
      <c r="E103" s="8" t="s">
        <v>346</v>
      </c>
      <c r="F103" s="8">
        <v>40</v>
      </c>
      <c r="G103" s="22">
        <v>880</v>
      </c>
      <c r="H103" s="22">
        <v>400</v>
      </c>
    </row>
    <row r="104" spans="1:8" x14ac:dyDescent="0.25">
      <c r="A104" s="75">
        <v>40673</v>
      </c>
      <c r="B104" s="8" t="s">
        <v>319</v>
      </c>
      <c r="C104" s="8" t="s">
        <v>309</v>
      </c>
      <c r="D104" s="8" t="s">
        <v>312</v>
      </c>
      <c r="E104" s="8" t="s">
        <v>428</v>
      </c>
      <c r="F104" s="8">
        <v>23</v>
      </c>
      <c r="G104" s="22">
        <v>621</v>
      </c>
      <c r="H104" s="22">
        <v>333.5</v>
      </c>
    </row>
    <row r="105" spans="1:8" x14ac:dyDescent="0.25">
      <c r="A105" s="75">
        <v>40702</v>
      </c>
      <c r="B105" s="8" t="s">
        <v>311</v>
      </c>
      <c r="C105" s="8" t="s">
        <v>309</v>
      </c>
      <c r="D105" s="8" t="s">
        <v>7</v>
      </c>
      <c r="E105" s="8" t="s">
        <v>347</v>
      </c>
      <c r="F105" s="8">
        <v>38</v>
      </c>
      <c r="G105" s="22">
        <v>722</v>
      </c>
      <c r="H105" s="22">
        <v>304</v>
      </c>
    </row>
    <row r="106" spans="1:8" x14ac:dyDescent="0.25">
      <c r="A106" s="75">
        <v>40670</v>
      </c>
      <c r="B106" s="8" t="s">
        <v>319</v>
      </c>
      <c r="C106" s="8" t="s">
        <v>308</v>
      </c>
      <c r="D106" s="8" t="s">
        <v>136</v>
      </c>
      <c r="E106" s="8" t="s">
        <v>428</v>
      </c>
      <c r="F106" s="8">
        <v>48</v>
      </c>
      <c r="G106" s="22">
        <v>1296</v>
      </c>
      <c r="H106" s="22">
        <v>696</v>
      </c>
    </row>
    <row r="107" spans="1:8" x14ac:dyDescent="0.25">
      <c r="A107" s="75">
        <v>40659</v>
      </c>
      <c r="B107" s="8" t="s">
        <v>315</v>
      </c>
      <c r="C107" s="8" t="s">
        <v>307</v>
      </c>
      <c r="D107" s="8" t="s">
        <v>3</v>
      </c>
      <c r="E107" s="8" t="s">
        <v>432</v>
      </c>
      <c r="F107" s="8">
        <v>36</v>
      </c>
      <c r="G107" s="22">
        <v>828</v>
      </c>
      <c r="H107" s="22">
        <v>396</v>
      </c>
    </row>
    <row r="108" spans="1:8" x14ac:dyDescent="0.25">
      <c r="A108" s="75">
        <v>40689</v>
      </c>
      <c r="B108" s="8" t="s">
        <v>311</v>
      </c>
      <c r="C108" s="8" t="s">
        <v>309</v>
      </c>
      <c r="D108" s="8" t="s">
        <v>312</v>
      </c>
      <c r="E108" s="8" t="s">
        <v>334</v>
      </c>
      <c r="F108" s="8">
        <v>26</v>
      </c>
      <c r="G108" s="22">
        <v>494</v>
      </c>
      <c r="H108" s="22">
        <v>208</v>
      </c>
    </row>
    <row r="109" spans="1:8" x14ac:dyDescent="0.25">
      <c r="A109" s="75">
        <v>40672</v>
      </c>
      <c r="B109" s="8" t="s">
        <v>321</v>
      </c>
      <c r="C109" s="8" t="s">
        <v>309</v>
      </c>
      <c r="D109" s="8" t="s">
        <v>7</v>
      </c>
      <c r="E109" s="8" t="s">
        <v>342</v>
      </c>
      <c r="F109" s="8">
        <v>19</v>
      </c>
      <c r="G109" s="22">
        <v>418</v>
      </c>
      <c r="H109" s="22">
        <v>190</v>
      </c>
    </row>
    <row r="110" spans="1:8" x14ac:dyDescent="0.25">
      <c r="A110" s="75">
        <v>40636</v>
      </c>
      <c r="B110" s="8" t="s">
        <v>319</v>
      </c>
      <c r="C110" s="8" t="s">
        <v>308</v>
      </c>
      <c r="D110" s="8" t="s">
        <v>312</v>
      </c>
      <c r="E110" s="8" t="s">
        <v>324</v>
      </c>
      <c r="F110" s="8">
        <v>39</v>
      </c>
      <c r="G110" s="22">
        <v>1053</v>
      </c>
      <c r="H110" s="22">
        <v>565.5</v>
      </c>
    </row>
    <row r="111" spans="1:8" x14ac:dyDescent="0.25">
      <c r="A111" s="75">
        <v>40624</v>
      </c>
      <c r="B111" s="8" t="s">
        <v>311</v>
      </c>
      <c r="C111" s="8" t="s">
        <v>310</v>
      </c>
      <c r="D111" s="8" t="s">
        <v>3</v>
      </c>
      <c r="E111" s="8" t="s">
        <v>342</v>
      </c>
      <c r="F111" s="8">
        <v>28</v>
      </c>
      <c r="G111" s="22">
        <v>532</v>
      </c>
      <c r="H111" s="22">
        <v>224</v>
      </c>
    </row>
    <row r="112" spans="1:8" x14ac:dyDescent="0.25">
      <c r="A112" s="75">
        <v>40666</v>
      </c>
      <c r="B112" s="8" t="s">
        <v>315</v>
      </c>
      <c r="C112" s="8" t="s">
        <v>310</v>
      </c>
      <c r="D112" s="8" t="s">
        <v>132</v>
      </c>
      <c r="E112" s="8" t="s">
        <v>429</v>
      </c>
      <c r="F112" s="8">
        <v>17</v>
      </c>
      <c r="G112" s="22">
        <v>391</v>
      </c>
      <c r="H112" s="22">
        <v>187</v>
      </c>
    </row>
    <row r="113" spans="1:8" x14ac:dyDescent="0.25">
      <c r="A113" s="75">
        <v>40566</v>
      </c>
      <c r="B113" s="8" t="s">
        <v>311</v>
      </c>
      <c r="C113" s="8" t="s">
        <v>307</v>
      </c>
      <c r="D113" s="8" t="s">
        <v>7</v>
      </c>
      <c r="E113" s="8" t="s">
        <v>332</v>
      </c>
      <c r="F113" s="8">
        <v>39</v>
      </c>
      <c r="G113" s="22">
        <v>741</v>
      </c>
      <c r="H113" s="22">
        <v>312</v>
      </c>
    </row>
    <row r="114" spans="1:8" x14ac:dyDescent="0.25">
      <c r="A114" s="75">
        <v>40561</v>
      </c>
      <c r="B114" s="8" t="s">
        <v>311</v>
      </c>
      <c r="C114" s="8" t="s">
        <v>308</v>
      </c>
      <c r="D114" s="8" t="s">
        <v>328</v>
      </c>
      <c r="E114" s="8" t="s">
        <v>336</v>
      </c>
      <c r="F114" s="8">
        <v>58</v>
      </c>
      <c r="G114" s="22">
        <v>1102</v>
      </c>
      <c r="H114" s="22">
        <v>464</v>
      </c>
    </row>
    <row r="115" spans="1:8" x14ac:dyDescent="0.25">
      <c r="A115" s="75">
        <v>40711</v>
      </c>
      <c r="B115" s="8" t="s">
        <v>321</v>
      </c>
      <c r="C115" s="8" t="s">
        <v>310</v>
      </c>
      <c r="D115" s="8" t="s">
        <v>328</v>
      </c>
      <c r="E115" s="8" t="s">
        <v>322</v>
      </c>
      <c r="F115" s="8">
        <v>38</v>
      </c>
      <c r="G115" s="22">
        <v>836</v>
      </c>
      <c r="H115" s="22">
        <v>380</v>
      </c>
    </row>
    <row r="116" spans="1:8" x14ac:dyDescent="0.25">
      <c r="A116" s="75">
        <v>40560</v>
      </c>
      <c r="B116" s="8" t="s">
        <v>315</v>
      </c>
      <c r="C116" s="8" t="s">
        <v>310</v>
      </c>
      <c r="D116" s="8" t="s">
        <v>312</v>
      </c>
      <c r="E116" s="8" t="s">
        <v>343</v>
      </c>
      <c r="F116" s="8">
        <v>34</v>
      </c>
      <c r="G116" s="22">
        <v>782</v>
      </c>
      <c r="H116" s="22">
        <v>374</v>
      </c>
    </row>
    <row r="117" spans="1:8" x14ac:dyDescent="0.25">
      <c r="A117" s="75">
        <v>40686</v>
      </c>
      <c r="B117" s="8" t="s">
        <v>321</v>
      </c>
      <c r="C117" s="8" t="s">
        <v>307</v>
      </c>
      <c r="D117" s="8" t="s">
        <v>328</v>
      </c>
      <c r="E117" s="8" t="s">
        <v>323</v>
      </c>
      <c r="F117" s="8">
        <v>59</v>
      </c>
      <c r="G117" s="22">
        <v>1298</v>
      </c>
      <c r="H117" s="22">
        <v>590</v>
      </c>
    </row>
    <row r="118" spans="1:8" x14ac:dyDescent="0.25">
      <c r="A118" s="75">
        <v>40563</v>
      </c>
      <c r="B118" s="8" t="s">
        <v>319</v>
      </c>
      <c r="C118" s="8" t="s">
        <v>310</v>
      </c>
      <c r="D118" s="8" t="s">
        <v>328</v>
      </c>
      <c r="E118" s="8" t="s">
        <v>322</v>
      </c>
      <c r="F118" s="8">
        <v>28</v>
      </c>
      <c r="G118" s="22">
        <v>756</v>
      </c>
      <c r="H118" s="22">
        <v>406</v>
      </c>
    </row>
    <row r="119" spans="1:8" x14ac:dyDescent="0.25">
      <c r="A119" s="75">
        <v>40640</v>
      </c>
      <c r="B119" s="8" t="s">
        <v>311</v>
      </c>
      <c r="C119" s="8" t="s">
        <v>310</v>
      </c>
      <c r="D119" s="8" t="s">
        <v>3</v>
      </c>
      <c r="E119" s="8" t="s">
        <v>333</v>
      </c>
      <c r="F119" s="8">
        <v>62</v>
      </c>
      <c r="G119" s="22">
        <v>1178</v>
      </c>
      <c r="H119" s="22">
        <v>496</v>
      </c>
    </row>
    <row r="120" spans="1:8" x14ac:dyDescent="0.25">
      <c r="A120" s="75">
        <v>40688</v>
      </c>
      <c r="B120" s="8" t="s">
        <v>319</v>
      </c>
      <c r="C120" s="8" t="s">
        <v>309</v>
      </c>
      <c r="D120" s="8" t="s">
        <v>328</v>
      </c>
      <c r="E120" s="8" t="s">
        <v>432</v>
      </c>
      <c r="F120" s="8">
        <v>65</v>
      </c>
      <c r="G120" s="22">
        <v>1755</v>
      </c>
      <c r="H120" s="22">
        <v>942.5</v>
      </c>
    </row>
    <row r="121" spans="1:8" x14ac:dyDescent="0.25">
      <c r="A121" s="75">
        <v>40677</v>
      </c>
      <c r="B121" s="8" t="s">
        <v>317</v>
      </c>
      <c r="C121" s="8" t="s">
        <v>309</v>
      </c>
      <c r="D121" s="8" t="s">
        <v>136</v>
      </c>
      <c r="E121" s="8" t="s">
        <v>344</v>
      </c>
      <c r="F121" s="8">
        <v>6</v>
      </c>
      <c r="G121" s="22">
        <v>126</v>
      </c>
      <c r="H121" s="22">
        <v>55.5</v>
      </c>
    </row>
    <row r="122" spans="1:8" x14ac:dyDescent="0.25">
      <c r="A122" s="75">
        <v>40701</v>
      </c>
      <c r="B122" s="8" t="s">
        <v>321</v>
      </c>
      <c r="C122" s="8" t="s">
        <v>308</v>
      </c>
      <c r="D122" s="8" t="s">
        <v>132</v>
      </c>
      <c r="E122" s="8" t="s">
        <v>344</v>
      </c>
      <c r="F122" s="8">
        <v>34</v>
      </c>
      <c r="G122" s="22">
        <v>748</v>
      </c>
      <c r="H122" s="22">
        <v>340</v>
      </c>
    </row>
    <row r="123" spans="1:8" x14ac:dyDescent="0.25">
      <c r="A123" s="75">
        <v>40676</v>
      </c>
      <c r="B123" s="8" t="s">
        <v>315</v>
      </c>
      <c r="C123" s="8" t="s">
        <v>309</v>
      </c>
      <c r="D123" s="8" t="s">
        <v>312</v>
      </c>
      <c r="E123" s="8" t="s">
        <v>334</v>
      </c>
      <c r="F123" s="8">
        <v>60</v>
      </c>
      <c r="G123" s="22">
        <v>1380</v>
      </c>
      <c r="H123" s="22">
        <v>660</v>
      </c>
    </row>
    <row r="124" spans="1:8" x14ac:dyDescent="0.25">
      <c r="A124" s="75">
        <v>40664</v>
      </c>
      <c r="B124" s="8" t="s">
        <v>311</v>
      </c>
      <c r="C124" s="8" t="s">
        <v>309</v>
      </c>
      <c r="D124" s="8" t="s">
        <v>136</v>
      </c>
      <c r="E124" s="8" t="s">
        <v>329</v>
      </c>
      <c r="F124" s="8">
        <v>50</v>
      </c>
      <c r="G124" s="22">
        <v>950</v>
      </c>
      <c r="H124" s="22">
        <v>400</v>
      </c>
    </row>
    <row r="125" spans="1:8" x14ac:dyDescent="0.25">
      <c r="A125" s="75">
        <v>40555</v>
      </c>
      <c r="B125" s="8" t="s">
        <v>319</v>
      </c>
      <c r="C125" s="8" t="s">
        <v>308</v>
      </c>
      <c r="D125" s="8" t="s">
        <v>132</v>
      </c>
      <c r="E125" s="8" t="s">
        <v>341</v>
      </c>
      <c r="F125" s="8">
        <v>40</v>
      </c>
      <c r="G125" s="22">
        <v>1080</v>
      </c>
      <c r="H125" s="22">
        <v>580</v>
      </c>
    </row>
    <row r="126" spans="1:8" x14ac:dyDescent="0.25">
      <c r="A126" s="75">
        <v>40676</v>
      </c>
      <c r="B126" s="8" t="s">
        <v>317</v>
      </c>
      <c r="C126" s="8" t="s">
        <v>309</v>
      </c>
      <c r="D126" s="8" t="s">
        <v>7</v>
      </c>
      <c r="E126" s="8" t="s">
        <v>322</v>
      </c>
      <c r="F126" s="8">
        <v>24</v>
      </c>
      <c r="G126" s="22">
        <v>504</v>
      </c>
      <c r="H126" s="22">
        <v>222</v>
      </c>
    </row>
    <row r="127" spans="1:8" x14ac:dyDescent="0.25">
      <c r="A127" s="75">
        <v>40569</v>
      </c>
      <c r="B127" s="8" t="s">
        <v>321</v>
      </c>
      <c r="C127" s="8" t="s">
        <v>308</v>
      </c>
      <c r="D127" s="8" t="s">
        <v>3</v>
      </c>
      <c r="E127" s="8" t="s">
        <v>322</v>
      </c>
      <c r="F127" s="8">
        <v>65</v>
      </c>
      <c r="G127" s="22">
        <v>1430</v>
      </c>
      <c r="H127" s="22">
        <v>650</v>
      </c>
    </row>
    <row r="128" spans="1:8" x14ac:dyDescent="0.25">
      <c r="A128" s="75">
        <v>40580</v>
      </c>
      <c r="B128" s="8" t="s">
        <v>319</v>
      </c>
      <c r="C128" s="8" t="s">
        <v>307</v>
      </c>
      <c r="D128" s="8" t="s">
        <v>312</v>
      </c>
      <c r="E128" s="8" t="s">
        <v>324</v>
      </c>
      <c r="F128" s="8">
        <v>52</v>
      </c>
      <c r="G128" s="22">
        <v>1404</v>
      </c>
      <c r="H128" s="22">
        <v>754</v>
      </c>
    </row>
    <row r="129" spans="1:8" x14ac:dyDescent="0.25">
      <c r="A129" s="75">
        <v>40700</v>
      </c>
      <c r="B129" s="8" t="s">
        <v>311</v>
      </c>
      <c r="C129" s="8" t="s">
        <v>309</v>
      </c>
      <c r="D129" s="8" t="s">
        <v>328</v>
      </c>
      <c r="E129" s="8" t="s">
        <v>338</v>
      </c>
      <c r="F129" s="8">
        <v>60</v>
      </c>
      <c r="G129" s="22">
        <v>1140</v>
      </c>
      <c r="H129" s="22">
        <v>480</v>
      </c>
    </row>
    <row r="130" spans="1:8" x14ac:dyDescent="0.25">
      <c r="A130" s="75">
        <v>40645</v>
      </c>
      <c r="B130" s="8" t="s">
        <v>315</v>
      </c>
      <c r="C130" s="8" t="s">
        <v>307</v>
      </c>
      <c r="D130" s="8" t="s">
        <v>132</v>
      </c>
      <c r="E130" s="8" t="s">
        <v>339</v>
      </c>
      <c r="F130" s="8">
        <v>46</v>
      </c>
      <c r="G130" s="22">
        <v>1058</v>
      </c>
      <c r="H130" s="22">
        <v>506</v>
      </c>
    </row>
    <row r="131" spans="1:8" x14ac:dyDescent="0.25">
      <c r="A131" s="75">
        <v>40696</v>
      </c>
      <c r="B131" s="8" t="s">
        <v>315</v>
      </c>
      <c r="C131" s="8" t="s">
        <v>307</v>
      </c>
      <c r="D131" s="8" t="s">
        <v>3</v>
      </c>
      <c r="E131" s="8" t="s">
        <v>331</v>
      </c>
      <c r="F131" s="8">
        <v>41</v>
      </c>
      <c r="G131" s="22">
        <v>943</v>
      </c>
      <c r="H131" s="22">
        <v>451</v>
      </c>
    </row>
    <row r="132" spans="1:8" x14ac:dyDescent="0.25">
      <c r="A132" s="75">
        <v>40565</v>
      </c>
      <c r="B132" s="8" t="s">
        <v>311</v>
      </c>
      <c r="C132" s="8" t="s">
        <v>310</v>
      </c>
      <c r="D132" s="8" t="s">
        <v>312</v>
      </c>
      <c r="E132" s="8" t="s">
        <v>338</v>
      </c>
      <c r="F132" s="8">
        <v>29</v>
      </c>
      <c r="G132" s="22">
        <v>551</v>
      </c>
      <c r="H132" s="22">
        <v>232</v>
      </c>
    </row>
    <row r="133" spans="1:8" x14ac:dyDescent="0.25">
      <c r="A133" s="75">
        <v>40616</v>
      </c>
      <c r="B133" s="8" t="s">
        <v>311</v>
      </c>
      <c r="C133" s="8" t="s">
        <v>307</v>
      </c>
      <c r="D133" s="8" t="s">
        <v>132</v>
      </c>
      <c r="E133" s="8" t="s">
        <v>428</v>
      </c>
      <c r="F133" s="8">
        <v>65</v>
      </c>
      <c r="G133" s="22">
        <v>1235</v>
      </c>
      <c r="H133" s="22">
        <v>520</v>
      </c>
    </row>
    <row r="134" spans="1:8" x14ac:dyDescent="0.25">
      <c r="A134" s="75">
        <v>40691</v>
      </c>
      <c r="B134" s="8" t="s">
        <v>315</v>
      </c>
      <c r="C134" s="8" t="s">
        <v>307</v>
      </c>
      <c r="D134" s="8" t="s">
        <v>136</v>
      </c>
      <c r="E134" s="8" t="s">
        <v>335</v>
      </c>
      <c r="F134" s="8">
        <v>37</v>
      </c>
      <c r="G134" s="22">
        <v>851</v>
      </c>
      <c r="H134" s="22">
        <v>407</v>
      </c>
    </row>
    <row r="135" spans="1:8" x14ac:dyDescent="0.25">
      <c r="A135" s="75">
        <v>40626</v>
      </c>
      <c r="B135" s="8" t="s">
        <v>311</v>
      </c>
      <c r="C135" s="8" t="s">
        <v>308</v>
      </c>
      <c r="D135" s="8" t="s">
        <v>132</v>
      </c>
      <c r="E135" s="8" t="s">
        <v>338</v>
      </c>
      <c r="F135" s="8">
        <v>14</v>
      </c>
      <c r="G135" s="22">
        <v>266</v>
      </c>
      <c r="H135" s="22">
        <v>112</v>
      </c>
    </row>
    <row r="136" spans="1:8" x14ac:dyDescent="0.25">
      <c r="A136" s="75">
        <v>40575</v>
      </c>
      <c r="B136" s="8" t="s">
        <v>321</v>
      </c>
      <c r="C136" s="8" t="s">
        <v>307</v>
      </c>
      <c r="D136" s="8" t="s">
        <v>136</v>
      </c>
      <c r="E136" s="8" t="s">
        <v>320</v>
      </c>
      <c r="F136" s="8">
        <v>18</v>
      </c>
      <c r="G136" s="22">
        <v>396</v>
      </c>
      <c r="H136" s="22">
        <v>180</v>
      </c>
    </row>
    <row r="137" spans="1:8" x14ac:dyDescent="0.25">
      <c r="A137" s="75">
        <v>40647</v>
      </c>
      <c r="B137" s="8" t="s">
        <v>315</v>
      </c>
      <c r="C137" s="8" t="s">
        <v>309</v>
      </c>
      <c r="D137" s="8" t="s">
        <v>132</v>
      </c>
      <c r="E137" s="8" t="s">
        <v>337</v>
      </c>
      <c r="F137" s="8">
        <v>44</v>
      </c>
      <c r="G137" s="22">
        <v>1012</v>
      </c>
      <c r="H137" s="22">
        <v>484</v>
      </c>
    </row>
    <row r="138" spans="1:8" x14ac:dyDescent="0.25">
      <c r="A138" s="75">
        <v>40629</v>
      </c>
      <c r="B138" s="8" t="s">
        <v>321</v>
      </c>
      <c r="C138" s="8" t="s">
        <v>309</v>
      </c>
      <c r="D138" s="8" t="s">
        <v>3</v>
      </c>
      <c r="E138" s="8" t="s">
        <v>318</v>
      </c>
      <c r="F138" s="8">
        <v>62</v>
      </c>
      <c r="G138" s="22">
        <v>1364</v>
      </c>
      <c r="H138" s="22">
        <v>620</v>
      </c>
    </row>
    <row r="139" spans="1:8" x14ac:dyDescent="0.25">
      <c r="A139" s="75">
        <v>40559</v>
      </c>
      <c r="B139" s="8" t="s">
        <v>311</v>
      </c>
      <c r="C139" s="8" t="s">
        <v>308</v>
      </c>
      <c r="D139" s="8" t="s">
        <v>328</v>
      </c>
      <c r="E139" s="8" t="s">
        <v>332</v>
      </c>
      <c r="F139" s="8">
        <v>21</v>
      </c>
      <c r="G139" s="22">
        <v>399</v>
      </c>
      <c r="H139" s="22">
        <v>168</v>
      </c>
    </row>
    <row r="140" spans="1:8" x14ac:dyDescent="0.25">
      <c r="A140" s="75">
        <v>40566</v>
      </c>
      <c r="B140" s="8" t="s">
        <v>321</v>
      </c>
      <c r="C140" s="8" t="s">
        <v>310</v>
      </c>
      <c r="D140" s="8" t="s">
        <v>132</v>
      </c>
      <c r="E140" s="8" t="s">
        <v>316</v>
      </c>
      <c r="F140" s="8">
        <v>56</v>
      </c>
      <c r="G140" s="22">
        <v>1232</v>
      </c>
      <c r="H140" s="22">
        <v>560</v>
      </c>
    </row>
    <row r="141" spans="1:8" x14ac:dyDescent="0.25">
      <c r="A141" s="75">
        <v>40665</v>
      </c>
      <c r="B141" s="8" t="s">
        <v>321</v>
      </c>
      <c r="C141" s="8" t="s">
        <v>308</v>
      </c>
      <c r="D141" s="8" t="s">
        <v>328</v>
      </c>
      <c r="E141" s="8" t="s">
        <v>344</v>
      </c>
      <c r="F141" s="8">
        <v>64</v>
      </c>
      <c r="G141" s="22">
        <v>1408</v>
      </c>
      <c r="H141" s="22">
        <v>640</v>
      </c>
    </row>
    <row r="142" spans="1:8" x14ac:dyDescent="0.25">
      <c r="A142" s="75">
        <v>40594</v>
      </c>
      <c r="B142" s="8" t="s">
        <v>311</v>
      </c>
      <c r="C142" s="8" t="s">
        <v>310</v>
      </c>
      <c r="D142" s="8" t="s">
        <v>136</v>
      </c>
      <c r="E142" s="8" t="s">
        <v>326</v>
      </c>
      <c r="F142" s="8">
        <v>22</v>
      </c>
      <c r="G142" s="22">
        <v>418</v>
      </c>
      <c r="H142" s="22">
        <v>176</v>
      </c>
    </row>
    <row r="143" spans="1:8" x14ac:dyDescent="0.25">
      <c r="A143" s="75">
        <v>40685</v>
      </c>
      <c r="B143" s="8" t="s">
        <v>317</v>
      </c>
      <c r="C143" s="8" t="s">
        <v>308</v>
      </c>
      <c r="D143" s="8" t="s">
        <v>312</v>
      </c>
      <c r="E143" s="8" t="s">
        <v>330</v>
      </c>
      <c r="F143" s="8">
        <v>21</v>
      </c>
      <c r="G143" s="22">
        <v>441</v>
      </c>
      <c r="H143" s="22">
        <v>194.25</v>
      </c>
    </row>
    <row r="144" spans="1:8" x14ac:dyDescent="0.25">
      <c r="A144" s="75">
        <v>40582</v>
      </c>
      <c r="B144" s="8" t="s">
        <v>317</v>
      </c>
      <c r="C144" s="8" t="s">
        <v>307</v>
      </c>
      <c r="D144" s="8" t="s">
        <v>328</v>
      </c>
      <c r="E144" s="8" t="s">
        <v>345</v>
      </c>
      <c r="F144" s="8">
        <v>22</v>
      </c>
      <c r="G144" s="22">
        <v>462</v>
      </c>
      <c r="H144" s="22">
        <v>203.5</v>
      </c>
    </row>
    <row r="145" spans="1:8" x14ac:dyDescent="0.25">
      <c r="A145" s="75">
        <v>40651</v>
      </c>
      <c r="B145" s="8" t="s">
        <v>311</v>
      </c>
      <c r="C145" s="8" t="s">
        <v>307</v>
      </c>
      <c r="D145" s="8" t="s">
        <v>136</v>
      </c>
      <c r="E145" s="8" t="s">
        <v>332</v>
      </c>
      <c r="F145" s="8">
        <v>40</v>
      </c>
      <c r="G145" s="22">
        <v>760</v>
      </c>
      <c r="H145" s="22">
        <v>320</v>
      </c>
    </row>
    <row r="146" spans="1:8" x14ac:dyDescent="0.25">
      <c r="A146" s="75">
        <v>40569</v>
      </c>
      <c r="B146" s="8" t="s">
        <v>311</v>
      </c>
      <c r="C146" s="8" t="s">
        <v>310</v>
      </c>
      <c r="D146" s="8" t="s">
        <v>136</v>
      </c>
      <c r="E146" s="8" t="s">
        <v>322</v>
      </c>
      <c r="F146" s="8">
        <v>24</v>
      </c>
      <c r="G146" s="22">
        <v>456</v>
      </c>
      <c r="H146" s="22">
        <v>192</v>
      </c>
    </row>
    <row r="147" spans="1:8" x14ac:dyDescent="0.25">
      <c r="A147" s="75">
        <v>40550</v>
      </c>
      <c r="B147" s="8" t="s">
        <v>315</v>
      </c>
      <c r="C147" s="8" t="s">
        <v>308</v>
      </c>
      <c r="D147" s="8" t="s">
        <v>3</v>
      </c>
      <c r="E147" s="8" t="s">
        <v>324</v>
      </c>
      <c r="F147" s="8">
        <v>14</v>
      </c>
      <c r="G147" s="22">
        <v>322</v>
      </c>
      <c r="H147" s="22">
        <v>154</v>
      </c>
    </row>
    <row r="148" spans="1:8" x14ac:dyDescent="0.25">
      <c r="A148" s="75">
        <v>40593</v>
      </c>
      <c r="B148" s="8" t="s">
        <v>311</v>
      </c>
      <c r="C148" s="8" t="s">
        <v>309</v>
      </c>
      <c r="D148" s="8" t="s">
        <v>136</v>
      </c>
      <c r="E148" s="8" t="s">
        <v>318</v>
      </c>
      <c r="F148" s="8">
        <v>61</v>
      </c>
      <c r="G148" s="22">
        <v>1159</v>
      </c>
      <c r="H148" s="22">
        <v>488</v>
      </c>
    </row>
    <row r="149" spans="1:8" x14ac:dyDescent="0.25">
      <c r="A149" s="75">
        <v>40685</v>
      </c>
      <c r="B149" s="8" t="s">
        <v>311</v>
      </c>
      <c r="C149" s="8" t="s">
        <v>307</v>
      </c>
      <c r="D149" s="8" t="s">
        <v>312</v>
      </c>
      <c r="E149" s="8" t="s">
        <v>344</v>
      </c>
      <c r="F149" s="8">
        <v>12</v>
      </c>
      <c r="G149" s="22">
        <v>228</v>
      </c>
      <c r="H149" s="22">
        <v>96</v>
      </c>
    </row>
    <row r="150" spans="1:8" x14ac:dyDescent="0.25">
      <c r="A150" s="75">
        <v>40559</v>
      </c>
      <c r="B150" s="8" t="s">
        <v>317</v>
      </c>
      <c r="C150" s="8" t="s">
        <v>307</v>
      </c>
      <c r="D150" s="8" t="s">
        <v>136</v>
      </c>
      <c r="E150" s="8" t="s">
        <v>344</v>
      </c>
      <c r="F150" s="8">
        <v>34</v>
      </c>
      <c r="G150" s="22">
        <v>714</v>
      </c>
      <c r="H150" s="22">
        <v>314.5</v>
      </c>
    </row>
    <row r="151" spans="1:8" x14ac:dyDescent="0.25">
      <c r="A151" s="75">
        <v>40583</v>
      </c>
      <c r="B151" s="8" t="s">
        <v>319</v>
      </c>
      <c r="C151" s="8" t="s">
        <v>308</v>
      </c>
      <c r="D151" s="8" t="s">
        <v>312</v>
      </c>
      <c r="E151" s="8" t="s">
        <v>334</v>
      </c>
      <c r="F151" s="8">
        <v>8</v>
      </c>
      <c r="G151" s="22">
        <v>216</v>
      </c>
      <c r="H151" s="22">
        <v>116</v>
      </c>
    </row>
    <row r="152" spans="1:8" x14ac:dyDescent="0.25">
      <c r="A152" s="75">
        <v>40558</v>
      </c>
      <c r="B152" s="8" t="s">
        <v>311</v>
      </c>
      <c r="C152" s="8" t="s">
        <v>308</v>
      </c>
      <c r="D152" s="8" t="s">
        <v>312</v>
      </c>
      <c r="E152" s="8" t="s">
        <v>337</v>
      </c>
      <c r="F152" s="8">
        <v>44</v>
      </c>
      <c r="G152" s="22">
        <v>836</v>
      </c>
      <c r="H152" s="22">
        <v>352</v>
      </c>
    </row>
    <row r="153" spans="1:8" x14ac:dyDescent="0.25">
      <c r="A153" s="75">
        <v>40633</v>
      </c>
      <c r="B153" s="8" t="s">
        <v>317</v>
      </c>
      <c r="C153" s="8" t="s">
        <v>308</v>
      </c>
      <c r="D153" s="8" t="s">
        <v>132</v>
      </c>
      <c r="E153" s="8" t="s">
        <v>348</v>
      </c>
      <c r="F153" s="8">
        <v>25</v>
      </c>
      <c r="G153" s="22">
        <v>525</v>
      </c>
      <c r="H153" s="22">
        <v>231.25</v>
      </c>
    </row>
    <row r="154" spans="1:8" x14ac:dyDescent="0.25">
      <c r="A154" s="75">
        <v>40568</v>
      </c>
      <c r="B154" s="8" t="s">
        <v>319</v>
      </c>
      <c r="C154" s="8" t="s">
        <v>309</v>
      </c>
      <c r="D154" s="8" t="s">
        <v>136</v>
      </c>
      <c r="E154" s="8" t="s">
        <v>332</v>
      </c>
      <c r="F154" s="8">
        <v>56</v>
      </c>
      <c r="G154" s="22">
        <v>1512</v>
      </c>
      <c r="H154" s="22">
        <v>812</v>
      </c>
    </row>
    <row r="155" spans="1:8" x14ac:dyDescent="0.25">
      <c r="A155" s="75">
        <v>40612</v>
      </c>
      <c r="B155" s="8" t="s">
        <v>315</v>
      </c>
      <c r="C155" s="8" t="s">
        <v>309</v>
      </c>
      <c r="D155" s="8" t="s">
        <v>136</v>
      </c>
      <c r="E155" s="8" t="s">
        <v>327</v>
      </c>
      <c r="F155" s="8">
        <v>13</v>
      </c>
      <c r="G155" s="22">
        <v>299</v>
      </c>
      <c r="H155" s="22">
        <v>143</v>
      </c>
    </row>
    <row r="156" spans="1:8" x14ac:dyDescent="0.25">
      <c r="A156" s="75">
        <v>40625</v>
      </c>
      <c r="B156" s="8" t="s">
        <v>319</v>
      </c>
      <c r="C156" s="8" t="s">
        <v>310</v>
      </c>
      <c r="D156" s="8" t="s">
        <v>328</v>
      </c>
      <c r="E156" s="8" t="s">
        <v>326</v>
      </c>
      <c r="F156" s="8">
        <v>6</v>
      </c>
      <c r="G156" s="22">
        <v>162</v>
      </c>
      <c r="H156" s="22">
        <v>87</v>
      </c>
    </row>
    <row r="157" spans="1:8" x14ac:dyDescent="0.25">
      <c r="A157" s="75">
        <v>40641</v>
      </c>
      <c r="B157" s="8" t="s">
        <v>319</v>
      </c>
      <c r="C157" s="8" t="s">
        <v>307</v>
      </c>
      <c r="D157" s="8" t="s">
        <v>136</v>
      </c>
      <c r="E157" s="8" t="s">
        <v>347</v>
      </c>
      <c r="F157" s="8">
        <v>23</v>
      </c>
      <c r="G157" s="22">
        <v>621</v>
      </c>
      <c r="H157" s="22">
        <v>333.5</v>
      </c>
    </row>
    <row r="158" spans="1:8" x14ac:dyDescent="0.25">
      <c r="A158" s="75">
        <v>40560</v>
      </c>
      <c r="B158" s="8" t="s">
        <v>315</v>
      </c>
      <c r="C158" s="8" t="s">
        <v>309</v>
      </c>
      <c r="D158" s="8" t="s">
        <v>132</v>
      </c>
      <c r="E158" s="8" t="s">
        <v>322</v>
      </c>
      <c r="F158" s="8">
        <v>21</v>
      </c>
      <c r="G158" s="22">
        <v>483</v>
      </c>
      <c r="H158" s="22">
        <v>231</v>
      </c>
    </row>
    <row r="159" spans="1:8" x14ac:dyDescent="0.25">
      <c r="A159" s="75">
        <v>40639</v>
      </c>
      <c r="B159" s="8" t="s">
        <v>311</v>
      </c>
      <c r="C159" s="8" t="s">
        <v>307</v>
      </c>
      <c r="D159" s="8" t="s">
        <v>7</v>
      </c>
      <c r="E159" s="8" t="s">
        <v>323</v>
      </c>
      <c r="F159" s="8">
        <v>50</v>
      </c>
      <c r="G159" s="22">
        <v>950</v>
      </c>
      <c r="H159" s="22">
        <v>400</v>
      </c>
    </row>
    <row r="160" spans="1:8" x14ac:dyDescent="0.25">
      <c r="A160" s="75">
        <v>40707</v>
      </c>
      <c r="B160" s="8" t="s">
        <v>315</v>
      </c>
      <c r="C160" s="8" t="s">
        <v>310</v>
      </c>
      <c r="D160" s="8" t="s">
        <v>3</v>
      </c>
      <c r="E160" s="8" t="s">
        <v>325</v>
      </c>
      <c r="F160" s="8">
        <v>54</v>
      </c>
      <c r="G160" s="22">
        <v>1242</v>
      </c>
      <c r="H160" s="22">
        <v>594</v>
      </c>
    </row>
    <row r="161" spans="1:8" x14ac:dyDescent="0.25">
      <c r="A161" s="75">
        <v>40618</v>
      </c>
      <c r="B161" s="8" t="s">
        <v>321</v>
      </c>
      <c r="C161" s="8" t="s">
        <v>309</v>
      </c>
      <c r="D161" s="8" t="s">
        <v>7</v>
      </c>
      <c r="E161" s="8" t="s">
        <v>339</v>
      </c>
      <c r="F161" s="8">
        <v>8</v>
      </c>
      <c r="G161" s="22">
        <v>176</v>
      </c>
      <c r="H161" s="22">
        <v>80</v>
      </c>
    </row>
    <row r="162" spans="1:8" x14ac:dyDescent="0.25">
      <c r="A162" s="75">
        <v>40705</v>
      </c>
      <c r="B162" s="8" t="s">
        <v>311</v>
      </c>
      <c r="C162" s="8" t="s">
        <v>310</v>
      </c>
      <c r="D162" s="8" t="s">
        <v>328</v>
      </c>
      <c r="E162" s="8" t="s">
        <v>318</v>
      </c>
      <c r="F162" s="8">
        <v>53</v>
      </c>
      <c r="G162" s="22">
        <v>1007</v>
      </c>
      <c r="H162" s="22">
        <v>424</v>
      </c>
    </row>
    <row r="163" spans="1:8" x14ac:dyDescent="0.25">
      <c r="A163" s="75">
        <v>40697</v>
      </c>
      <c r="B163" s="8" t="s">
        <v>317</v>
      </c>
      <c r="C163" s="8" t="s">
        <v>307</v>
      </c>
      <c r="D163" s="8" t="s">
        <v>136</v>
      </c>
      <c r="E163" s="8" t="s">
        <v>323</v>
      </c>
      <c r="F163" s="8">
        <v>55</v>
      </c>
      <c r="G163" s="22">
        <v>1155</v>
      </c>
      <c r="H163" s="22">
        <v>508.75</v>
      </c>
    </row>
    <row r="164" spans="1:8" x14ac:dyDescent="0.25">
      <c r="A164" s="75">
        <v>40695</v>
      </c>
      <c r="B164" s="8" t="s">
        <v>315</v>
      </c>
      <c r="C164" s="8" t="s">
        <v>309</v>
      </c>
      <c r="D164" s="8" t="s">
        <v>7</v>
      </c>
      <c r="E164" s="8" t="s">
        <v>336</v>
      </c>
      <c r="F164" s="8">
        <v>64</v>
      </c>
      <c r="G164" s="22">
        <v>1472</v>
      </c>
      <c r="H164" s="22">
        <v>704</v>
      </c>
    </row>
    <row r="165" spans="1:8" x14ac:dyDescent="0.25">
      <c r="A165" s="75">
        <v>40620</v>
      </c>
      <c r="B165" s="8" t="s">
        <v>317</v>
      </c>
      <c r="C165" s="8" t="s">
        <v>307</v>
      </c>
      <c r="D165" s="8" t="s">
        <v>3</v>
      </c>
      <c r="E165" s="8" t="s">
        <v>342</v>
      </c>
      <c r="F165" s="8">
        <v>53</v>
      </c>
      <c r="G165" s="22">
        <v>1113</v>
      </c>
      <c r="H165" s="22">
        <v>490.25</v>
      </c>
    </row>
    <row r="166" spans="1:8" x14ac:dyDescent="0.25">
      <c r="A166" s="75">
        <v>40612</v>
      </c>
      <c r="B166" s="8" t="s">
        <v>319</v>
      </c>
      <c r="C166" s="8" t="s">
        <v>309</v>
      </c>
      <c r="D166" s="8" t="s">
        <v>312</v>
      </c>
      <c r="E166" s="8" t="s">
        <v>432</v>
      </c>
      <c r="F166" s="8">
        <v>58</v>
      </c>
      <c r="G166" s="22">
        <v>1566</v>
      </c>
      <c r="H166" s="22">
        <v>841</v>
      </c>
    </row>
    <row r="167" spans="1:8" x14ac:dyDescent="0.25">
      <c r="A167" s="75">
        <v>40634</v>
      </c>
      <c r="B167" s="8" t="s">
        <v>317</v>
      </c>
      <c r="C167" s="8" t="s">
        <v>309</v>
      </c>
      <c r="D167" s="8" t="s">
        <v>132</v>
      </c>
      <c r="E167" s="8" t="s">
        <v>314</v>
      </c>
      <c r="F167" s="8">
        <v>46</v>
      </c>
      <c r="G167" s="22">
        <v>966</v>
      </c>
      <c r="H167" s="22">
        <v>425.5</v>
      </c>
    </row>
    <row r="168" spans="1:8" x14ac:dyDescent="0.25">
      <c r="A168" s="75">
        <v>40644</v>
      </c>
      <c r="B168" s="8" t="s">
        <v>321</v>
      </c>
      <c r="C168" s="8" t="s">
        <v>308</v>
      </c>
      <c r="D168" s="8" t="s">
        <v>136</v>
      </c>
      <c r="E168" s="8" t="s">
        <v>336</v>
      </c>
      <c r="F168" s="8">
        <v>19</v>
      </c>
      <c r="G168" s="22">
        <v>418</v>
      </c>
      <c r="H168" s="22">
        <v>190</v>
      </c>
    </row>
    <row r="169" spans="1:8" x14ac:dyDescent="0.25">
      <c r="A169" s="75">
        <v>40592</v>
      </c>
      <c r="B169" s="8" t="s">
        <v>321</v>
      </c>
      <c r="C169" s="8" t="s">
        <v>310</v>
      </c>
      <c r="D169" s="8" t="s">
        <v>136</v>
      </c>
      <c r="E169" s="8" t="s">
        <v>322</v>
      </c>
      <c r="F169" s="8">
        <v>47</v>
      </c>
      <c r="G169" s="22">
        <v>1034</v>
      </c>
      <c r="H169" s="22">
        <v>470</v>
      </c>
    </row>
    <row r="170" spans="1:8" x14ac:dyDescent="0.25">
      <c r="A170" s="75">
        <v>40674</v>
      </c>
      <c r="B170" s="8" t="s">
        <v>317</v>
      </c>
      <c r="C170" s="8" t="s">
        <v>309</v>
      </c>
      <c r="D170" s="8" t="s">
        <v>132</v>
      </c>
      <c r="E170" s="8" t="s">
        <v>313</v>
      </c>
      <c r="F170" s="8">
        <v>13</v>
      </c>
      <c r="G170" s="22">
        <v>273</v>
      </c>
      <c r="H170" s="22">
        <v>120.25</v>
      </c>
    </row>
    <row r="171" spans="1:8" x14ac:dyDescent="0.25">
      <c r="A171" s="75">
        <v>40580</v>
      </c>
      <c r="B171" s="8" t="s">
        <v>311</v>
      </c>
      <c r="C171" s="8" t="s">
        <v>309</v>
      </c>
      <c r="D171" s="8" t="s">
        <v>136</v>
      </c>
      <c r="E171" s="8" t="s">
        <v>339</v>
      </c>
      <c r="F171" s="8">
        <v>10</v>
      </c>
      <c r="G171" s="22">
        <v>190</v>
      </c>
      <c r="H171" s="22">
        <v>80</v>
      </c>
    </row>
    <row r="172" spans="1:8" x14ac:dyDescent="0.25">
      <c r="A172" s="75">
        <v>40712</v>
      </c>
      <c r="B172" s="8" t="s">
        <v>315</v>
      </c>
      <c r="C172" s="8" t="s">
        <v>308</v>
      </c>
      <c r="D172" s="8" t="s">
        <v>312</v>
      </c>
      <c r="E172" s="8" t="s">
        <v>323</v>
      </c>
      <c r="F172" s="8">
        <v>65</v>
      </c>
      <c r="G172" s="22">
        <v>1495</v>
      </c>
      <c r="H172" s="22">
        <v>715</v>
      </c>
    </row>
    <row r="173" spans="1:8" x14ac:dyDescent="0.25">
      <c r="A173" s="75">
        <v>40714</v>
      </c>
      <c r="B173" s="8" t="s">
        <v>311</v>
      </c>
      <c r="C173" s="8" t="s">
        <v>308</v>
      </c>
      <c r="D173" s="8" t="s">
        <v>7</v>
      </c>
      <c r="E173" s="8" t="s">
        <v>326</v>
      </c>
      <c r="F173" s="8">
        <v>37</v>
      </c>
      <c r="G173" s="22">
        <v>703</v>
      </c>
      <c r="H173" s="22">
        <v>296</v>
      </c>
    </row>
    <row r="174" spans="1:8" x14ac:dyDescent="0.25">
      <c r="A174" s="75">
        <v>40632</v>
      </c>
      <c r="B174" s="8" t="s">
        <v>321</v>
      </c>
      <c r="C174" s="8" t="s">
        <v>309</v>
      </c>
      <c r="D174" s="8" t="s">
        <v>328</v>
      </c>
      <c r="E174" s="8" t="s">
        <v>323</v>
      </c>
      <c r="F174" s="8">
        <v>45</v>
      </c>
      <c r="G174" s="22">
        <v>990</v>
      </c>
      <c r="H174" s="22">
        <v>450</v>
      </c>
    </row>
    <row r="175" spans="1:8" x14ac:dyDescent="0.25">
      <c r="A175" s="75">
        <v>40713</v>
      </c>
      <c r="B175" s="8" t="s">
        <v>321</v>
      </c>
      <c r="C175" s="8" t="s">
        <v>310</v>
      </c>
      <c r="D175" s="8" t="s">
        <v>312</v>
      </c>
      <c r="E175" s="8" t="s">
        <v>337</v>
      </c>
      <c r="F175" s="8">
        <v>20</v>
      </c>
      <c r="G175" s="22">
        <v>440</v>
      </c>
      <c r="H175" s="22">
        <v>200</v>
      </c>
    </row>
    <row r="176" spans="1:8" x14ac:dyDescent="0.25">
      <c r="A176" s="75">
        <v>40583</v>
      </c>
      <c r="B176" s="8" t="s">
        <v>319</v>
      </c>
      <c r="C176" s="8" t="s">
        <v>310</v>
      </c>
      <c r="D176" s="8" t="s">
        <v>312</v>
      </c>
      <c r="E176" s="8" t="s">
        <v>337</v>
      </c>
      <c r="F176" s="8">
        <v>30</v>
      </c>
      <c r="G176" s="22">
        <v>810</v>
      </c>
      <c r="H176" s="22">
        <v>435</v>
      </c>
    </row>
    <row r="177" spans="1:8" x14ac:dyDescent="0.25">
      <c r="A177" s="75">
        <v>40594</v>
      </c>
      <c r="B177" s="8" t="s">
        <v>321</v>
      </c>
      <c r="C177" s="8" t="s">
        <v>307</v>
      </c>
      <c r="D177" s="8" t="s">
        <v>312</v>
      </c>
      <c r="E177" s="8" t="s">
        <v>348</v>
      </c>
      <c r="F177" s="8">
        <v>58</v>
      </c>
      <c r="G177" s="22">
        <v>1276</v>
      </c>
      <c r="H177" s="22">
        <v>580</v>
      </c>
    </row>
    <row r="178" spans="1:8" x14ac:dyDescent="0.25">
      <c r="A178" s="75">
        <v>40561</v>
      </c>
      <c r="B178" s="8" t="s">
        <v>315</v>
      </c>
      <c r="C178" s="8" t="s">
        <v>309</v>
      </c>
      <c r="D178" s="8" t="s">
        <v>7</v>
      </c>
      <c r="E178" s="8" t="s">
        <v>322</v>
      </c>
      <c r="F178" s="8">
        <v>16</v>
      </c>
      <c r="G178" s="22">
        <v>368</v>
      </c>
      <c r="H178" s="22">
        <v>176</v>
      </c>
    </row>
    <row r="179" spans="1:8" x14ac:dyDescent="0.25">
      <c r="A179" s="75">
        <v>40636</v>
      </c>
      <c r="B179" s="8" t="s">
        <v>321</v>
      </c>
      <c r="C179" s="8" t="s">
        <v>308</v>
      </c>
      <c r="D179" s="8" t="s">
        <v>328</v>
      </c>
      <c r="E179" s="8" t="s">
        <v>341</v>
      </c>
      <c r="F179" s="8">
        <v>18</v>
      </c>
      <c r="G179" s="22">
        <v>396</v>
      </c>
      <c r="H179" s="22">
        <v>180</v>
      </c>
    </row>
    <row r="180" spans="1:8" x14ac:dyDescent="0.25">
      <c r="A180" s="75">
        <v>40619</v>
      </c>
      <c r="B180" s="8" t="s">
        <v>315</v>
      </c>
      <c r="C180" s="8" t="s">
        <v>310</v>
      </c>
      <c r="D180" s="8" t="s">
        <v>132</v>
      </c>
      <c r="E180" s="8" t="s">
        <v>342</v>
      </c>
      <c r="F180" s="8">
        <v>42</v>
      </c>
      <c r="G180" s="22">
        <v>966</v>
      </c>
      <c r="H180" s="22">
        <v>462</v>
      </c>
    </row>
    <row r="181" spans="1:8" x14ac:dyDescent="0.25">
      <c r="A181" s="75">
        <v>40717</v>
      </c>
      <c r="B181" s="8" t="s">
        <v>317</v>
      </c>
      <c r="C181" s="8" t="s">
        <v>308</v>
      </c>
      <c r="D181" s="8" t="s">
        <v>132</v>
      </c>
      <c r="E181" s="8" t="s">
        <v>346</v>
      </c>
      <c r="F181" s="8">
        <v>47</v>
      </c>
      <c r="G181" s="22">
        <v>987</v>
      </c>
      <c r="H181" s="22">
        <v>434.75</v>
      </c>
    </row>
    <row r="182" spans="1:8" x14ac:dyDescent="0.25">
      <c r="A182" s="75">
        <v>40619</v>
      </c>
      <c r="B182" s="8" t="s">
        <v>321</v>
      </c>
      <c r="C182" s="8" t="s">
        <v>310</v>
      </c>
      <c r="D182" s="8" t="s">
        <v>7</v>
      </c>
      <c r="E182" s="8" t="s">
        <v>331</v>
      </c>
      <c r="F182" s="8">
        <v>29</v>
      </c>
      <c r="G182" s="22">
        <v>638</v>
      </c>
      <c r="H182" s="22">
        <v>290</v>
      </c>
    </row>
    <row r="183" spans="1:8" x14ac:dyDescent="0.25">
      <c r="A183" s="75">
        <v>40718</v>
      </c>
      <c r="B183" s="8" t="s">
        <v>315</v>
      </c>
      <c r="C183" s="8" t="s">
        <v>308</v>
      </c>
      <c r="D183" s="8" t="s">
        <v>328</v>
      </c>
      <c r="E183" s="8" t="s">
        <v>336</v>
      </c>
      <c r="F183" s="8">
        <v>13</v>
      </c>
      <c r="G183" s="22">
        <v>299</v>
      </c>
      <c r="H183" s="22">
        <v>143</v>
      </c>
    </row>
    <row r="184" spans="1:8" x14ac:dyDescent="0.25">
      <c r="A184" s="75">
        <v>40558</v>
      </c>
      <c r="B184" s="8" t="s">
        <v>311</v>
      </c>
      <c r="C184" s="8" t="s">
        <v>309</v>
      </c>
      <c r="D184" s="8" t="s">
        <v>312</v>
      </c>
      <c r="E184" s="8" t="s">
        <v>324</v>
      </c>
      <c r="F184" s="8">
        <v>21</v>
      </c>
      <c r="G184" s="22">
        <v>399</v>
      </c>
      <c r="H184" s="22">
        <v>168</v>
      </c>
    </row>
    <row r="185" spans="1:8" x14ac:dyDescent="0.25">
      <c r="A185" s="75">
        <v>40552</v>
      </c>
      <c r="B185" s="8" t="s">
        <v>315</v>
      </c>
      <c r="C185" s="8" t="s">
        <v>308</v>
      </c>
      <c r="D185" s="8" t="s">
        <v>132</v>
      </c>
      <c r="E185" s="8" t="s">
        <v>334</v>
      </c>
      <c r="F185" s="8">
        <v>41</v>
      </c>
      <c r="G185" s="22">
        <v>943</v>
      </c>
      <c r="H185" s="22">
        <v>451</v>
      </c>
    </row>
    <row r="186" spans="1:8" x14ac:dyDescent="0.25">
      <c r="A186" s="75">
        <v>40555</v>
      </c>
      <c r="B186" s="8" t="s">
        <v>319</v>
      </c>
      <c r="C186" s="8" t="s">
        <v>307</v>
      </c>
      <c r="D186" s="8" t="s">
        <v>328</v>
      </c>
      <c r="E186" s="8" t="s">
        <v>320</v>
      </c>
      <c r="F186" s="8">
        <v>62</v>
      </c>
      <c r="G186" s="22">
        <v>1674</v>
      </c>
      <c r="H186" s="22">
        <v>899</v>
      </c>
    </row>
    <row r="187" spans="1:8" x14ac:dyDescent="0.25">
      <c r="A187" s="75">
        <v>40697</v>
      </c>
      <c r="B187" s="8" t="s">
        <v>321</v>
      </c>
      <c r="C187" s="8" t="s">
        <v>310</v>
      </c>
      <c r="D187" s="8" t="s">
        <v>328</v>
      </c>
      <c r="E187" s="8" t="s">
        <v>336</v>
      </c>
      <c r="F187" s="8">
        <v>19</v>
      </c>
      <c r="G187" s="22">
        <v>418</v>
      </c>
      <c r="H187" s="22">
        <v>190</v>
      </c>
    </row>
    <row r="188" spans="1:8" x14ac:dyDescent="0.25">
      <c r="A188" s="75">
        <v>40616</v>
      </c>
      <c r="B188" s="8" t="s">
        <v>311</v>
      </c>
      <c r="C188" s="8" t="s">
        <v>309</v>
      </c>
      <c r="D188" s="8" t="s">
        <v>328</v>
      </c>
      <c r="E188" s="8" t="s">
        <v>330</v>
      </c>
      <c r="F188" s="8">
        <v>65</v>
      </c>
      <c r="G188" s="22">
        <v>1235</v>
      </c>
      <c r="H188" s="22">
        <v>520</v>
      </c>
    </row>
    <row r="189" spans="1:8" x14ac:dyDescent="0.25">
      <c r="A189" s="75">
        <v>40678</v>
      </c>
      <c r="B189" s="8" t="s">
        <v>321</v>
      </c>
      <c r="C189" s="8" t="s">
        <v>308</v>
      </c>
      <c r="D189" s="8" t="s">
        <v>328</v>
      </c>
      <c r="E189" s="8" t="s">
        <v>326</v>
      </c>
      <c r="F189" s="8">
        <v>29</v>
      </c>
      <c r="G189" s="22">
        <v>638</v>
      </c>
      <c r="H189" s="22">
        <v>290</v>
      </c>
    </row>
    <row r="190" spans="1:8" x14ac:dyDescent="0.25">
      <c r="A190" s="75">
        <v>40629</v>
      </c>
      <c r="B190" s="8" t="s">
        <v>317</v>
      </c>
      <c r="C190" s="8" t="s">
        <v>307</v>
      </c>
      <c r="D190" s="8" t="s">
        <v>312</v>
      </c>
      <c r="E190" s="8" t="s">
        <v>344</v>
      </c>
      <c r="F190" s="8">
        <v>26</v>
      </c>
      <c r="G190" s="22">
        <v>546</v>
      </c>
      <c r="H190" s="22">
        <v>240.5</v>
      </c>
    </row>
    <row r="191" spans="1:8" x14ac:dyDescent="0.25">
      <c r="A191" s="75">
        <v>40583</v>
      </c>
      <c r="B191" s="8" t="s">
        <v>321</v>
      </c>
      <c r="C191" s="8" t="s">
        <v>310</v>
      </c>
      <c r="D191" s="8" t="s">
        <v>136</v>
      </c>
      <c r="E191" s="8" t="s">
        <v>326</v>
      </c>
      <c r="F191" s="8">
        <v>53</v>
      </c>
      <c r="G191" s="22">
        <v>1166</v>
      </c>
      <c r="H191" s="22">
        <v>530</v>
      </c>
    </row>
    <row r="192" spans="1:8" x14ac:dyDescent="0.25">
      <c r="A192" s="75">
        <v>40598</v>
      </c>
      <c r="B192" s="8" t="s">
        <v>317</v>
      </c>
      <c r="C192" s="8" t="s">
        <v>308</v>
      </c>
      <c r="D192" s="8" t="s">
        <v>132</v>
      </c>
      <c r="E192" s="8" t="s">
        <v>340</v>
      </c>
      <c r="F192" s="8">
        <v>25</v>
      </c>
      <c r="G192" s="22">
        <v>525</v>
      </c>
      <c r="H192" s="22">
        <v>231.25</v>
      </c>
    </row>
    <row r="193" spans="1:8" x14ac:dyDescent="0.25">
      <c r="A193" s="75">
        <v>40550</v>
      </c>
      <c r="B193" s="8" t="s">
        <v>315</v>
      </c>
      <c r="C193" s="8" t="s">
        <v>307</v>
      </c>
      <c r="D193" s="8" t="s">
        <v>132</v>
      </c>
      <c r="E193" s="8" t="s">
        <v>344</v>
      </c>
      <c r="F193" s="8">
        <v>47</v>
      </c>
      <c r="G193" s="22">
        <v>1081</v>
      </c>
      <c r="H193" s="22">
        <v>517</v>
      </c>
    </row>
    <row r="194" spans="1:8" x14ac:dyDescent="0.25">
      <c r="A194" s="75">
        <v>40698</v>
      </c>
      <c r="B194" s="8" t="s">
        <v>321</v>
      </c>
      <c r="C194" s="8" t="s">
        <v>308</v>
      </c>
      <c r="D194" s="8" t="s">
        <v>328</v>
      </c>
      <c r="E194" s="8" t="s">
        <v>337</v>
      </c>
      <c r="F194" s="8">
        <v>48</v>
      </c>
      <c r="G194" s="22">
        <v>1056</v>
      </c>
      <c r="H194" s="22">
        <v>480</v>
      </c>
    </row>
    <row r="195" spans="1:8" x14ac:dyDescent="0.25">
      <c r="A195" s="75">
        <v>40582</v>
      </c>
      <c r="B195" s="8" t="s">
        <v>311</v>
      </c>
      <c r="C195" s="8" t="s">
        <v>308</v>
      </c>
      <c r="D195" s="8" t="s">
        <v>132</v>
      </c>
      <c r="E195" s="8" t="s">
        <v>316</v>
      </c>
      <c r="F195" s="8">
        <v>65</v>
      </c>
      <c r="G195" s="22">
        <v>1235</v>
      </c>
      <c r="H195" s="22">
        <v>520</v>
      </c>
    </row>
    <row r="196" spans="1:8" x14ac:dyDescent="0.25">
      <c r="A196" s="75">
        <v>40645</v>
      </c>
      <c r="B196" s="8" t="s">
        <v>319</v>
      </c>
      <c r="C196" s="8" t="s">
        <v>307</v>
      </c>
      <c r="D196" s="8" t="s">
        <v>3</v>
      </c>
      <c r="E196" s="8" t="s">
        <v>337</v>
      </c>
      <c r="F196" s="8">
        <v>56</v>
      </c>
      <c r="G196" s="22">
        <v>1512</v>
      </c>
      <c r="H196" s="22">
        <v>812</v>
      </c>
    </row>
    <row r="197" spans="1:8" x14ac:dyDescent="0.25">
      <c r="A197" s="75">
        <v>40663</v>
      </c>
      <c r="B197" s="8" t="s">
        <v>311</v>
      </c>
      <c r="C197" s="8" t="s">
        <v>310</v>
      </c>
      <c r="D197" s="8" t="s">
        <v>132</v>
      </c>
      <c r="E197" s="8" t="s">
        <v>335</v>
      </c>
      <c r="F197" s="8">
        <v>51</v>
      </c>
      <c r="G197" s="22">
        <v>969</v>
      </c>
      <c r="H197" s="22">
        <v>408</v>
      </c>
    </row>
    <row r="198" spans="1:8" x14ac:dyDescent="0.25">
      <c r="A198" s="75">
        <v>40626</v>
      </c>
      <c r="B198" s="8" t="s">
        <v>321</v>
      </c>
      <c r="C198" s="8" t="s">
        <v>308</v>
      </c>
      <c r="D198" s="8" t="s">
        <v>328</v>
      </c>
      <c r="E198" s="8" t="s">
        <v>339</v>
      </c>
      <c r="F198" s="8">
        <v>57</v>
      </c>
      <c r="G198" s="22">
        <v>1254</v>
      </c>
      <c r="H198" s="22">
        <v>570</v>
      </c>
    </row>
    <row r="199" spans="1:8" x14ac:dyDescent="0.25">
      <c r="A199" s="75">
        <v>40644</v>
      </c>
      <c r="B199" s="8" t="s">
        <v>315</v>
      </c>
      <c r="C199" s="8" t="s">
        <v>310</v>
      </c>
      <c r="D199" s="8" t="s">
        <v>312</v>
      </c>
      <c r="E199" s="8" t="s">
        <v>322</v>
      </c>
      <c r="F199" s="8">
        <v>23</v>
      </c>
      <c r="G199" s="22">
        <v>529</v>
      </c>
      <c r="H199" s="22">
        <v>253</v>
      </c>
    </row>
    <row r="200" spans="1:8" x14ac:dyDescent="0.25">
      <c r="A200" s="75">
        <v>40621</v>
      </c>
      <c r="B200" s="8" t="s">
        <v>315</v>
      </c>
      <c r="C200" s="8" t="s">
        <v>310</v>
      </c>
      <c r="D200" s="8" t="s">
        <v>7</v>
      </c>
      <c r="E200" s="8" t="s">
        <v>323</v>
      </c>
      <c r="F200" s="8">
        <v>43</v>
      </c>
      <c r="G200" s="22">
        <v>989</v>
      </c>
      <c r="H200" s="22">
        <v>473</v>
      </c>
    </row>
    <row r="201" spans="1:8" x14ac:dyDescent="0.25">
      <c r="A201" s="75">
        <v>40669</v>
      </c>
      <c r="B201" s="8" t="s">
        <v>317</v>
      </c>
      <c r="C201" s="8" t="s">
        <v>310</v>
      </c>
      <c r="D201" s="8" t="s">
        <v>7</v>
      </c>
      <c r="E201" s="8" t="s">
        <v>344</v>
      </c>
      <c r="F201" s="8">
        <v>22</v>
      </c>
      <c r="G201" s="22">
        <v>462</v>
      </c>
      <c r="H201" s="22">
        <v>203.5</v>
      </c>
    </row>
    <row r="202" spans="1:8" x14ac:dyDescent="0.25">
      <c r="A202" s="75">
        <v>40714</v>
      </c>
      <c r="B202" s="8" t="s">
        <v>315</v>
      </c>
      <c r="C202" s="8" t="s">
        <v>307</v>
      </c>
      <c r="D202" s="8" t="s">
        <v>328</v>
      </c>
      <c r="E202" s="8" t="s">
        <v>428</v>
      </c>
      <c r="F202" s="8">
        <v>10</v>
      </c>
      <c r="G202" s="22">
        <v>230</v>
      </c>
      <c r="H202" s="22">
        <v>110</v>
      </c>
    </row>
    <row r="203" spans="1:8" x14ac:dyDescent="0.25">
      <c r="A203" s="75">
        <v>40664</v>
      </c>
      <c r="B203" s="8" t="s">
        <v>311</v>
      </c>
      <c r="C203" s="8" t="s">
        <v>308</v>
      </c>
      <c r="D203" s="8" t="s">
        <v>328</v>
      </c>
      <c r="E203" s="8" t="s">
        <v>336</v>
      </c>
      <c r="F203" s="8">
        <v>28</v>
      </c>
      <c r="G203" s="22">
        <v>532</v>
      </c>
      <c r="H203" s="22">
        <v>224</v>
      </c>
    </row>
    <row r="204" spans="1:8" x14ac:dyDescent="0.25">
      <c r="A204" s="75">
        <v>40630</v>
      </c>
      <c r="B204" s="8" t="s">
        <v>319</v>
      </c>
      <c r="C204" s="8" t="s">
        <v>307</v>
      </c>
      <c r="D204" s="8" t="s">
        <v>132</v>
      </c>
      <c r="E204" s="8" t="s">
        <v>325</v>
      </c>
      <c r="F204" s="8">
        <v>17</v>
      </c>
      <c r="G204" s="22">
        <v>459</v>
      </c>
      <c r="H204" s="22">
        <v>246.5</v>
      </c>
    </row>
    <row r="205" spans="1:8" x14ac:dyDescent="0.25">
      <c r="A205" s="75">
        <v>40705</v>
      </c>
      <c r="B205" s="8" t="s">
        <v>319</v>
      </c>
      <c r="C205" s="8" t="s">
        <v>310</v>
      </c>
      <c r="D205" s="8" t="s">
        <v>7</v>
      </c>
      <c r="E205" s="8" t="s">
        <v>314</v>
      </c>
      <c r="F205" s="8">
        <v>43</v>
      </c>
      <c r="G205" s="22">
        <v>1161</v>
      </c>
      <c r="H205" s="22">
        <v>623.5</v>
      </c>
    </row>
    <row r="206" spans="1:8" x14ac:dyDescent="0.25">
      <c r="A206" s="75">
        <v>40689</v>
      </c>
      <c r="B206" s="8" t="s">
        <v>319</v>
      </c>
      <c r="C206" s="8" t="s">
        <v>307</v>
      </c>
      <c r="D206" s="8" t="s">
        <v>3</v>
      </c>
      <c r="E206" s="8" t="s">
        <v>341</v>
      </c>
      <c r="F206" s="8">
        <v>19</v>
      </c>
      <c r="G206" s="22">
        <v>513</v>
      </c>
      <c r="H206" s="22">
        <v>275.5</v>
      </c>
    </row>
    <row r="207" spans="1:8" x14ac:dyDescent="0.25">
      <c r="A207" s="75">
        <v>40611</v>
      </c>
      <c r="B207" s="8" t="s">
        <v>311</v>
      </c>
      <c r="C207" s="8" t="s">
        <v>309</v>
      </c>
      <c r="D207" s="8" t="s">
        <v>328</v>
      </c>
      <c r="E207" s="8" t="s">
        <v>330</v>
      </c>
      <c r="F207" s="8">
        <v>19</v>
      </c>
      <c r="G207" s="22">
        <v>361</v>
      </c>
      <c r="H207" s="22">
        <v>152</v>
      </c>
    </row>
    <row r="208" spans="1:8" x14ac:dyDescent="0.25">
      <c r="A208" s="75">
        <v>40608</v>
      </c>
      <c r="B208" s="8" t="s">
        <v>321</v>
      </c>
      <c r="C208" s="8" t="s">
        <v>307</v>
      </c>
      <c r="D208" s="8" t="s">
        <v>7</v>
      </c>
      <c r="E208" s="8" t="s">
        <v>347</v>
      </c>
      <c r="F208" s="8">
        <v>9</v>
      </c>
      <c r="G208" s="22">
        <v>198</v>
      </c>
      <c r="H208" s="22">
        <v>90</v>
      </c>
    </row>
    <row r="209" spans="1:8" x14ac:dyDescent="0.25">
      <c r="A209" s="75">
        <v>40573</v>
      </c>
      <c r="B209" s="8" t="s">
        <v>319</v>
      </c>
      <c r="C209" s="8" t="s">
        <v>308</v>
      </c>
      <c r="D209" s="8" t="s">
        <v>312</v>
      </c>
      <c r="E209" s="8" t="s">
        <v>347</v>
      </c>
      <c r="F209" s="8">
        <v>28</v>
      </c>
      <c r="G209" s="22">
        <v>756</v>
      </c>
      <c r="H209" s="22">
        <v>406</v>
      </c>
    </row>
    <row r="210" spans="1:8" x14ac:dyDescent="0.25">
      <c r="A210" s="75">
        <v>40604</v>
      </c>
      <c r="B210" s="8" t="s">
        <v>321</v>
      </c>
      <c r="C210" s="8" t="s">
        <v>309</v>
      </c>
      <c r="D210" s="8" t="s">
        <v>3</v>
      </c>
      <c r="E210" s="8" t="s">
        <v>428</v>
      </c>
      <c r="F210" s="8">
        <v>15</v>
      </c>
      <c r="G210" s="22">
        <v>330</v>
      </c>
      <c r="H210" s="22">
        <v>150</v>
      </c>
    </row>
    <row r="211" spans="1:8" x14ac:dyDescent="0.25">
      <c r="A211" s="75">
        <v>40678</v>
      </c>
      <c r="B211" s="8" t="s">
        <v>319</v>
      </c>
      <c r="C211" s="8" t="s">
        <v>310</v>
      </c>
      <c r="D211" s="8" t="s">
        <v>136</v>
      </c>
      <c r="E211" s="8" t="s">
        <v>323</v>
      </c>
      <c r="F211" s="8">
        <v>46</v>
      </c>
      <c r="G211" s="22">
        <v>1242</v>
      </c>
      <c r="H211" s="22">
        <v>667</v>
      </c>
    </row>
    <row r="212" spans="1:8" x14ac:dyDescent="0.25">
      <c r="A212" s="75">
        <v>40674</v>
      </c>
      <c r="B212" s="8" t="s">
        <v>321</v>
      </c>
      <c r="C212" s="8" t="s">
        <v>310</v>
      </c>
      <c r="D212" s="8" t="s">
        <v>312</v>
      </c>
      <c r="E212" s="8" t="s">
        <v>336</v>
      </c>
      <c r="F212" s="8">
        <v>39</v>
      </c>
      <c r="G212" s="22">
        <v>858</v>
      </c>
      <c r="H212" s="22">
        <v>390</v>
      </c>
    </row>
    <row r="213" spans="1:8" x14ac:dyDescent="0.25">
      <c r="A213" s="75">
        <v>40624</v>
      </c>
      <c r="B213" s="8" t="s">
        <v>321</v>
      </c>
      <c r="C213" s="8" t="s">
        <v>309</v>
      </c>
      <c r="D213" s="8" t="s">
        <v>312</v>
      </c>
      <c r="E213" s="8" t="s">
        <v>323</v>
      </c>
      <c r="F213" s="8">
        <v>14</v>
      </c>
      <c r="G213" s="22">
        <v>308</v>
      </c>
      <c r="H213" s="22">
        <v>140</v>
      </c>
    </row>
    <row r="214" spans="1:8" x14ac:dyDescent="0.25">
      <c r="A214" s="75">
        <v>40562</v>
      </c>
      <c r="B214" s="8" t="s">
        <v>311</v>
      </c>
      <c r="C214" s="8" t="s">
        <v>310</v>
      </c>
      <c r="D214" s="8" t="s">
        <v>328</v>
      </c>
      <c r="E214" s="8" t="s">
        <v>338</v>
      </c>
      <c r="F214" s="8">
        <v>33</v>
      </c>
      <c r="G214" s="22">
        <v>627</v>
      </c>
      <c r="H214" s="22">
        <v>264</v>
      </c>
    </row>
    <row r="215" spans="1:8" x14ac:dyDescent="0.25">
      <c r="A215" s="75">
        <v>40722</v>
      </c>
      <c r="B215" s="8" t="s">
        <v>319</v>
      </c>
      <c r="C215" s="8" t="s">
        <v>308</v>
      </c>
      <c r="D215" s="8" t="s">
        <v>132</v>
      </c>
      <c r="E215" s="8" t="s">
        <v>327</v>
      </c>
      <c r="F215" s="8">
        <v>45</v>
      </c>
      <c r="G215" s="22">
        <v>1215</v>
      </c>
      <c r="H215" s="22">
        <v>652.5</v>
      </c>
    </row>
    <row r="216" spans="1:8" x14ac:dyDescent="0.25">
      <c r="A216" s="75">
        <v>40555</v>
      </c>
      <c r="B216" s="8" t="s">
        <v>315</v>
      </c>
      <c r="C216" s="8" t="s">
        <v>307</v>
      </c>
      <c r="D216" s="8" t="s">
        <v>312</v>
      </c>
      <c r="E216" s="8" t="s">
        <v>332</v>
      </c>
      <c r="F216" s="8">
        <v>24</v>
      </c>
      <c r="G216" s="22">
        <v>552</v>
      </c>
      <c r="H216" s="22">
        <v>264</v>
      </c>
    </row>
    <row r="217" spans="1:8" x14ac:dyDescent="0.25">
      <c r="A217" s="75">
        <v>40680</v>
      </c>
      <c r="B217" s="8" t="s">
        <v>311</v>
      </c>
      <c r="C217" s="8" t="s">
        <v>310</v>
      </c>
      <c r="D217" s="8" t="s">
        <v>132</v>
      </c>
      <c r="E217" s="8" t="s">
        <v>336</v>
      </c>
      <c r="F217" s="8">
        <v>37</v>
      </c>
      <c r="G217" s="22">
        <v>703</v>
      </c>
      <c r="H217" s="22">
        <v>296</v>
      </c>
    </row>
    <row r="218" spans="1:8" x14ac:dyDescent="0.25">
      <c r="A218" s="75">
        <v>40591</v>
      </c>
      <c r="B218" s="8" t="s">
        <v>317</v>
      </c>
      <c r="C218" s="8" t="s">
        <v>310</v>
      </c>
      <c r="D218" s="8" t="s">
        <v>3</v>
      </c>
      <c r="E218" s="8" t="s">
        <v>333</v>
      </c>
      <c r="F218" s="8">
        <v>30</v>
      </c>
      <c r="G218" s="22">
        <v>630</v>
      </c>
      <c r="H218" s="22">
        <v>277.5</v>
      </c>
    </row>
    <row r="219" spans="1:8" x14ac:dyDescent="0.25">
      <c r="A219" s="75">
        <v>40688</v>
      </c>
      <c r="B219" s="8" t="s">
        <v>319</v>
      </c>
      <c r="C219" s="8" t="s">
        <v>308</v>
      </c>
      <c r="D219" s="8" t="s">
        <v>7</v>
      </c>
      <c r="E219" s="8" t="s">
        <v>323</v>
      </c>
      <c r="F219" s="8">
        <v>30</v>
      </c>
      <c r="G219" s="22">
        <v>810</v>
      </c>
      <c r="H219" s="22">
        <v>435</v>
      </c>
    </row>
    <row r="220" spans="1:8" x14ac:dyDescent="0.25">
      <c r="A220" s="75">
        <v>40715</v>
      </c>
      <c r="B220" s="8" t="s">
        <v>321</v>
      </c>
      <c r="C220" s="8" t="s">
        <v>310</v>
      </c>
      <c r="D220" s="8" t="s">
        <v>132</v>
      </c>
      <c r="E220" s="8" t="s">
        <v>432</v>
      </c>
      <c r="F220" s="8">
        <v>61</v>
      </c>
      <c r="G220" s="22">
        <v>1342</v>
      </c>
      <c r="H220" s="22">
        <v>610</v>
      </c>
    </row>
    <row r="221" spans="1:8" x14ac:dyDescent="0.25">
      <c r="A221" s="75">
        <v>40582</v>
      </c>
      <c r="B221" s="8" t="s">
        <v>315</v>
      </c>
      <c r="C221" s="8" t="s">
        <v>309</v>
      </c>
      <c r="D221" s="8" t="s">
        <v>136</v>
      </c>
      <c r="E221" s="8" t="s">
        <v>428</v>
      </c>
      <c r="F221" s="8">
        <v>32</v>
      </c>
      <c r="G221" s="22">
        <v>736</v>
      </c>
      <c r="H221" s="22">
        <v>352</v>
      </c>
    </row>
    <row r="222" spans="1:8" x14ac:dyDescent="0.25">
      <c r="A222" s="75">
        <v>40696</v>
      </c>
      <c r="B222" s="8" t="s">
        <v>321</v>
      </c>
      <c r="C222" s="8" t="s">
        <v>310</v>
      </c>
      <c r="D222" s="8" t="s">
        <v>328</v>
      </c>
      <c r="E222" s="8" t="s">
        <v>333</v>
      </c>
      <c r="F222" s="8">
        <v>6</v>
      </c>
      <c r="G222" s="22">
        <v>132</v>
      </c>
      <c r="H222" s="22">
        <v>60</v>
      </c>
    </row>
    <row r="223" spans="1:8" x14ac:dyDescent="0.25">
      <c r="A223" s="75">
        <v>40721</v>
      </c>
      <c r="B223" s="8" t="s">
        <v>317</v>
      </c>
      <c r="C223" s="8" t="s">
        <v>307</v>
      </c>
      <c r="D223" s="8" t="s">
        <v>312</v>
      </c>
      <c r="E223" s="8" t="s">
        <v>341</v>
      </c>
      <c r="F223" s="8">
        <v>38</v>
      </c>
      <c r="G223" s="22">
        <v>798</v>
      </c>
      <c r="H223" s="22">
        <v>351.5</v>
      </c>
    </row>
    <row r="224" spans="1:8" x14ac:dyDescent="0.25">
      <c r="A224" s="75">
        <v>40712</v>
      </c>
      <c r="B224" s="8" t="s">
        <v>315</v>
      </c>
      <c r="C224" s="8" t="s">
        <v>310</v>
      </c>
      <c r="D224" s="8" t="s">
        <v>312</v>
      </c>
      <c r="E224" s="8" t="s">
        <v>347</v>
      </c>
      <c r="F224" s="8">
        <v>11</v>
      </c>
      <c r="G224" s="22">
        <v>253</v>
      </c>
      <c r="H224" s="22">
        <v>121</v>
      </c>
    </row>
    <row r="225" spans="1:8" x14ac:dyDescent="0.25">
      <c r="A225" s="75">
        <v>40608</v>
      </c>
      <c r="B225" s="8" t="s">
        <v>317</v>
      </c>
      <c r="C225" s="8" t="s">
        <v>307</v>
      </c>
      <c r="D225" s="8" t="s">
        <v>7</v>
      </c>
      <c r="E225" s="8" t="s">
        <v>332</v>
      </c>
      <c r="F225" s="8">
        <v>43</v>
      </c>
      <c r="G225" s="22">
        <v>903</v>
      </c>
      <c r="H225" s="22">
        <v>397.75</v>
      </c>
    </row>
    <row r="226" spans="1:8" x14ac:dyDescent="0.25">
      <c r="A226" s="75">
        <v>40686</v>
      </c>
      <c r="B226" s="8" t="s">
        <v>321</v>
      </c>
      <c r="C226" s="8" t="s">
        <v>310</v>
      </c>
      <c r="D226" s="8" t="s">
        <v>136</v>
      </c>
      <c r="E226" s="8" t="s">
        <v>342</v>
      </c>
      <c r="F226" s="8">
        <v>56</v>
      </c>
      <c r="G226" s="22">
        <v>1232</v>
      </c>
      <c r="H226" s="22">
        <v>560</v>
      </c>
    </row>
    <row r="227" spans="1:8" x14ac:dyDescent="0.25">
      <c r="A227" s="75">
        <v>40676</v>
      </c>
      <c r="B227" s="8" t="s">
        <v>319</v>
      </c>
      <c r="C227" s="8" t="s">
        <v>309</v>
      </c>
      <c r="D227" s="8" t="s">
        <v>136</v>
      </c>
      <c r="E227" s="8" t="s">
        <v>339</v>
      </c>
      <c r="F227" s="8">
        <v>28</v>
      </c>
      <c r="G227" s="22">
        <v>756</v>
      </c>
      <c r="H227" s="22">
        <v>406</v>
      </c>
    </row>
    <row r="228" spans="1:8" x14ac:dyDescent="0.25">
      <c r="A228" s="75">
        <v>40695</v>
      </c>
      <c r="B228" s="8" t="s">
        <v>315</v>
      </c>
      <c r="C228" s="8" t="s">
        <v>309</v>
      </c>
      <c r="D228" s="8" t="s">
        <v>3</v>
      </c>
      <c r="E228" s="8" t="s">
        <v>330</v>
      </c>
      <c r="F228" s="8">
        <v>25</v>
      </c>
      <c r="G228" s="22">
        <v>575</v>
      </c>
      <c r="H228" s="22">
        <v>275</v>
      </c>
    </row>
    <row r="229" spans="1:8" x14ac:dyDescent="0.25">
      <c r="A229" s="75">
        <v>40713</v>
      </c>
      <c r="B229" s="8" t="s">
        <v>319</v>
      </c>
      <c r="C229" s="8" t="s">
        <v>309</v>
      </c>
      <c r="D229" s="8" t="s">
        <v>7</v>
      </c>
      <c r="E229" s="8" t="s">
        <v>316</v>
      </c>
      <c r="F229" s="8">
        <v>54</v>
      </c>
      <c r="G229" s="22">
        <v>1458</v>
      </c>
      <c r="H229" s="22">
        <v>783</v>
      </c>
    </row>
    <row r="230" spans="1:8" x14ac:dyDescent="0.25">
      <c r="A230" s="75">
        <v>40709</v>
      </c>
      <c r="B230" s="8" t="s">
        <v>311</v>
      </c>
      <c r="C230" s="8" t="s">
        <v>308</v>
      </c>
      <c r="D230" s="8" t="s">
        <v>328</v>
      </c>
      <c r="E230" s="8" t="s">
        <v>342</v>
      </c>
      <c r="F230" s="8">
        <v>27</v>
      </c>
      <c r="G230" s="22">
        <v>513</v>
      </c>
      <c r="H230" s="22">
        <v>216</v>
      </c>
    </row>
    <row r="231" spans="1:8" x14ac:dyDescent="0.25">
      <c r="A231" s="75">
        <v>40659</v>
      </c>
      <c r="B231" s="8" t="s">
        <v>311</v>
      </c>
      <c r="C231" s="8" t="s">
        <v>310</v>
      </c>
      <c r="D231" s="8" t="s">
        <v>7</v>
      </c>
      <c r="E231" s="8" t="s">
        <v>316</v>
      </c>
      <c r="F231" s="8">
        <v>17</v>
      </c>
      <c r="G231" s="22">
        <v>323</v>
      </c>
      <c r="H231" s="22">
        <v>136</v>
      </c>
    </row>
    <row r="232" spans="1:8" x14ac:dyDescent="0.25">
      <c r="A232" s="75">
        <v>40624</v>
      </c>
      <c r="B232" s="8" t="s">
        <v>315</v>
      </c>
      <c r="C232" s="8" t="s">
        <v>308</v>
      </c>
      <c r="D232" s="8" t="s">
        <v>136</v>
      </c>
      <c r="E232" s="8" t="s">
        <v>342</v>
      </c>
      <c r="F232" s="8">
        <v>59</v>
      </c>
      <c r="G232" s="22">
        <v>1357</v>
      </c>
      <c r="H232" s="22">
        <v>649</v>
      </c>
    </row>
    <row r="233" spans="1:8" x14ac:dyDescent="0.25">
      <c r="A233" s="75">
        <v>40688</v>
      </c>
      <c r="B233" s="8" t="s">
        <v>321</v>
      </c>
      <c r="C233" s="8" t="s">
        <v>309</v>
      </c>
      <c r="D233" s="8" t="s">
        <v>312</v>
      </c>
      <c r="E233" s="8" t="s">
        <v>334</v>
      </c>
      <c r="F233" s="8">
        <v>50</v>
      </c>
      <c r="G233" s="22">
        <v>1100</v>
      </c>
      <c r="H233" s="22">
        <v>500</v>
      </c>
    </row>
    <row r="234" spans="1:8" x14ac:dyDescent="0.25">
      <c r="A234" s="75">
        <v>40630</v>
      </c>
      <c r="B234" s="8" t="s">
        <v>315</v>
      </c>
      <c r="C234" s="8" t="s">
        <v>307</v>
      </c>
      <c r="D234" s="8" t="s">
        <v>7</v>
      </c>
      <c r="E234" s="8" t="s">
        <v>324</v>
      </c>
      <c r="F234" s="8">
        <v>32</v>
      </c>
      <c r="G234" s="22">
        <v>736</v>
      </c>
      <c r="H234" s="22">
        <v>352</v>
      </c>
    </row>
    <row r="235" spans="1:8" x14ac:dyDescent="0.25">
      <c r="A235" s="75">
        <v>40658</v>
      </c>
      <c r="B235" s="8" t="s">
        <v>311</v>
      </c>
      <c r="C235" s="8" t="s">
        <v>310</v>
      </c>
      <c r="D235" s="8" t="s">
        <v>7</v>
      </c>
      <c r="E235" s="8" t="s">
        <v>324</v>
      </c>
      <c r="F235" s="8">
        <v>52</v>
      </c>
      <c r="G235" s="22">
        <v>988</v>
      </c>
      <c r="H235" s="22">
        <v>416</v>
      </c>
    </row>
    <row r="236" spans="1:8" x14ac:dyDescent="0.25">
      <c r="A236" s="75">
        <v>40677</v>
      </c>
      <c r="B236" s="8" t="s">
        <v>315</v>
      </c>
      <c r="C236" s="8" t="s">
        <v>308</v>
      </c>
      <c r="D236" s="8" t="s">
        <v>328</v>
      </c>
      <c r="E236" s="8" t="s">
        <v>340</v>
      </c>
      <c r="F236" s="8">
        <v>27</v>
      </c>
      <c r="G236" s="22">
        <v>621</v>
      </c>
      <c r="H236" s="22">
        <v>297</v>
      </c>
    </row>
    <row r="237" spans="1:8" x14ac:dyDescent="0.25">
      <c r="A237" s="75">
        <v>40658</v>
      </c>
      <c r="B237" s="8" t="s">
        <v>319</v>
      </c>
      <c r="C237" s="8" t="s">
        <v>309</v>
      </c>
      <c r="D237" s="8" t="s">
        <v>136</v>
      </c>
      <c r="E237" s="8" t="s">
        <v>330</v>
      </c>
      <c r="F237" s="8">
        <v>59</v>
      </c>
      <c r="G237" s="22">
        <v>1593</v>
      </c>
      <c r="H237" s="22">
        <v>855.5</v>
      </c>
    </row>
    <row r="238" spans="1:8" x14ac:dyDescent="0.25">
      <c r="A238" s="75">
        <v>40619</v>
      </c>
      <c r="B238" s="8" t="s">
        <v>319</v>
      </c>
      <c r="C238" s="8" t="s">
        <v>308</v>
      </c>
      <c r="D238" s="8" t="s">
        <v>7</v>
      </c>
      <c r="E238" s="8" t="s">
        <v>332</v>
      </c>
      <c r="F238" s="8">
        <v>33</v>
      </c>
      <c r="G238" s="22">
        <v>891</v>
      </c>
      <c r="H238" s="22">
        <v>478.5</v>
      </c>
    </row>
    <row r="239" spans="1:8" x14ac:dyDescent="0.25">
      <c r="A239" s="75">
        <v>40722</v>
      </c>
      <c r="B239" s="8" t="s">
        <v>319</v>
      </c>
      <c r="C239" s="8" t="s">
        <v>307</v>
      </c>
      <c r="D239" s="8" t="s">
        <v>328</v>
      </c>
      <c r="E239" s="8" t="s">
        <v>324</v>
      </c>
      <c r="F239" s="8">
        <v>46</v>
      </c>
      <c r="G239" s="22">
        <v>1242</v>
      </c>
      <c r="H239" s="22">
        <v>667</v>
      </c>
    </row>
    <row r="240" spans="1:8" x14ac:dyDescent="0.25">
      <c r="A240" s="75">
        <v>40598</v>
      </c>
      <c r="B240" s="8" t="s">
        <v>319</v>
      </c>
      <c r="C240" s="8" t="s">
        <v>308</v>
      </c>
      <c r="D240" s="8" t="s">
        <v>7</v>
      </c>
      <c r="E240" s="8" t="s">
        <v>344</v>
      </c>
      <c r="F240" s="8">
        <v>26</v>
      </c>
      <c r="G240" s="22">
        <v>702</v>
      </c>
      <c r="H240" s="22">
        <v>377</v>
      </c>
    </row>
    <row r="241" spans="1:8" x14ac:dyDescent="0.25">
      <c r="A241" s="75">
        <v>40620</v>
      </c>
      <c r="B241" s="8" t="s">
        <v>321</v>
      </c>
      <c r="C241" s="8" t="s">
        <v>308</v>
      </c>
      <c r="D241" s="8" t="s">
        <v>3</v>
      </c>
      <c r="E241" s="8" t="s">
        <v>325</v>
      </c>
      <c r="F241" s="8">
        <v>37</v>
      </c>
      <c r="G241" s="22">
        <v>814</v>
      </c>
      <c r="H241" s="22">
        <v>370</v>
      </c>
    </row>
    <row r="242" spans="1:8" x14ac:dyDescent="0.25">
      <c r="A242" s="75">
        <v>40722</v>
      </c>
      <c r="B242" s="8" t="s">
        <v>311</v>
      </c>
      <c r="C242" s="8" t="s">
        <v>307</v>
      </c>
      <c r="D242" s="8" t="s">
        <v>136</v>
      </c>
      <c r="E242" s="8" t="s">
        <v>337</v>
      </c>
      <c r="F242" s="8">
        <v>56</v>
      </c>
      <c r="G242" s="22">
        <v>1064</v>
      </c>
      <c r="H242" s="22">
        <v>448</v>
      </c>
    </row>
    <row r="243" spans="1:8" x14ac:dyDescent="0.25">
      <c r="A243" s="75">
        <v>40607</v>
      </c>
      <c r="B243" s="8" t="s">
        <v>317</v>
      </c>
      <c r="C243" s="8" t="s">
        <v>308</v>
      </c>
      <c r="D243" s="8" t="s">
        <v>328</v>
      </c>
      <c r="E243" s="8" t="s">
        <v>343</v>
      </c>
      <c r="F243" s="8">
        <v>18</v>
      </c>
      <c r="G243" s="22">
        <v>378</v>
      </c>
      <c r="H243" s="22">
        <v>166.5</v>
      </c>
    </row>
    <row r="244" spans="1:8" x14ac:dyDescent="0.25">
      <c r="A244" s="75">
        <v>40641</v>
      </c>
      <c r="B244" s="8" t="s">
        <v>311</v>
      </c>
      <c r="C244" s="8" t="s">
        <v>309</v>
      </c>
      <c r="D244" s="8" t="s">
        <v>328</v>
      </c>
      <c r="E244" s="8" t="s">
        <v>344</v>
      </c>
      <c r="F244" s="8">
        <v>37</v>
      </c>
      <c r="G244" s="22">
        <v>703</v>
      </c>
      <c r="H244" s="22">
        <v>296</v>
      </c>
    </row>
    <row r="245" spans="1:8" x14ac:dyDescent="0.25">
      <c r="A245" s="75">
        <v>40621</v>
      </c>
      <c r="B245" s="8" t="s">
        <v>311</v>
      </c>
      <c r="C245" s="8" t="s">
        <v>309</v>
      </c>
      <c r="D245" s="8" t="s">
        <v>3</v>
      </c>
      <c r="E245" s="8" t="s">
        <v>330</v>
      </c>
      <c r="F245" s="8">
        <v>10</v>
      </c>
      <c r="G245" s="22">
        <v>190</v>
      </c>
      <c r="H245" s="22">
        <v>80</v>
      </c>
    </row>
    <row r="246" spans="1:8" x14ac:dyDescent="0.25">
      <c r="A246" s="75">
        <v>40718</v>
      </c>
      <c r="B246" s="8" t="s">
        <v>317</v>
      </c>
      <c r="C246" s="8" t="s">
        <v>308</v>
      </c>
      <c r="D246" s="8" t="s">
        <v>132</v>
      </c>
      <c r="E246" s="8" t="s">
        <v>331</v>
      </c>
      <c r="F246" s="8">
        <v>20</v>
      </c>
      <c r="G246" s="22">
        <v>420</v>
      </c>
      <c r="H246" s="22">
        <v>185</v>
      </c>
    </row>
    <row r="247" spans="1:8" x14ac:dyDescent="0.25">
      <c r="A247" s="75">
        <v>40681</v>
      </c>
      <c r="B247" s="8" t="s">
        <v>317</v>
      </c>
      <c r="C247" s="8" t="s">
        <v>309</v>
      </c>
      <c r="D247" s="8" t="s">
        <v>132</v>
      </c>
      <c r="E247" s="8" t="s">
        <v>327</v>
      </c>
      <c r="F247" s="8">
        <v>26</v>
      </c>
      <c r="G247" s="22">
        <v>546</v>
      </c>
      <c r="H247" s="22">
        <v>240.5</v>
      </c>
    </row>
    <row r="248" spans="1:8" x14ac:dyDescent="0.25">
      <c r="A248" s="75">
        <v>40550</v>
      </c>
      <c r="B248" s="8" t="s">
        <v>315</v>
      </c>
      <c r="C248" s="8" t="s">
        <v>310</v>
      </c>
      <c r="D248" s="8" t="s">
        <v>136</v>
      </c>
      <c r="E248" s="8" t="s">
        <v>344</v>
      </c>
      <c r="F248" s="8">
        <v>22</v>
      </c>
      <c r="G248" s="22">
        <v>506</v>
      </c>
      <c r="H248" s="22">
        <v>242</v>
      </c>
    </row>
    <row r="249" spans="1:8" x14ac:dyDescent="0.25">
      <c r="A249" s="75">
        <v>40594</v>
      </c>
      <c r="B249" s="8" t="s">
        <v>321</v>
      </c>
      <c r="C249" s="8" t="s">
        <v>308</v>
      </c>
      <c r="D249" s="8" t="s">
        <v>3</v>
      </c>
      <c r="E249" s="8" t="s">
        <v>329</v>
      </c>
      <c r="F249" s="8">
        <v>13</v>
      </c>
      <c r="G249" s="22">
        <v>286</v>
      </c>
      <c r="H249" s="22">
        <v>130</v>
      </c>
    </row>
    <row r="250" spans="1:8" x14ac:dyDescent="0.25">
      <c r="A250" s="75">
        <v>40638</v>
      </c>
      <c r="B250" s="8" t="s">
        <v>321</v>
      </c>
      <c r="C250" s="8" t="s">
        <v>308</v>
      </c>
      <c r="D250" s="8" t="s">
        <v>328</v>
      </c>
      <c r="E250" s="8" t="s">
        <v>344</v>
      </c>
      <c r="F250" s="8">
        <v>34</v>
      </c>
      <c r="G250" s="22">
        <v>748</v>
      </c>
      <c r="H250" s="22">
        <v>340</v>
      </c>
    </row>
    <row r="251" spans="1:8" x14ac:dyDescent="0.25">
      <c r="A251" s="75">
        <v>40584</v>
      </c>
      <c r="B251" s="8" t="s">
        <v>321</v>
      </c>
      <c r="C251" s="8" t="s">
        <v>308</v>
      </c>
      <c r="D251" s="8" t="s">
        <v>136</v>
      </c>
      <c r="E251" s="8" t="s">
        <v>343</v>
      </c>
      <c r="F251" s="8">
        <v>11</v>
      </c>
      <c r="G251" s="22">
        <v>242</v>
      </c>
      <c r="H251" s="22">
        <v>110</v>
      </c>
    </row>
    <row r="252" spans="1:8" x14ac:dyDescent="0.25">
      <c r="A252" s="75">
        <v>40618</v>
      </c>
      <c r="B252" s="8" t="s">
        <v>319</v>
      </c>
      <c r="C252" s="8" t="s">
        <v>307</v>
      </c>
      <c r="D252" s="8" t="s">
        <v>328</v>
      </c>
      <c r="E252" s="8" t="s">
        <v>341</v>
      </c>
      <c r="F252" s="8">
        <v>23</v>
      </c>
      <c r="G252" s="22">
        <v>621</v>
      </c>
      <c r="H252" s="22">
        <v>333.5</v>
      </c>
    </row>
    <row r="253" spans="1:8" x14ac:dyDescent="0.25">
      <c r="A253" s="75">
        <v>40625</v>
      </c>
      <c r="B253" s="8" t="s">
        <v>311</v>
      </c>
      <c r="C253" s="8" t="s">
        <v>308</v>
      </c>
      <c r="D253" s="8" t="s">
        <v>3</v>
      </c>
      <c r="E253" s="8" t="s">
        <v>335</v>
      </c>
      <c r="F253" s="8">
        <v>45</v>
      </c>
      <c r="G253" s="22">
        <v>855</v>
      </c>
      <c r="H253" s="22">
        <v>360</v>
      </c>
    </row>
    <row r="254" spans="1:8" x14ac:dyDescent="0.25">
      <c r="A254" s="75">
        <v>40567</v>
      </c>
      <c r="B254" s="8" t="s">
        <v>317</v>
      </c>
      <c r="C254" s="8" t="s">
        <v>307</v>
      </c>
      <c r="D254" s="8" t="s">
        <v>328</v>
      </c>
      <c r="E254" s="8" t="s">
        <v>338</v>
      </c>
      <c r="F254" s="8">
        <v>26</v>
      </c>
      <c r="G254" s="22">
        <v>546</v>
      </c>
      <c r="H254" s="22">
        <v>240.5</v>
      </c>
    </row>
    <row r="255" spans="1:8" x14ac:dyDescent="0.25">
      <c r="A255" s="75">
        <v>40651</v>
      </c>
      <c r="B255" s="8" t="s">
        <v>315</v>
      </c>
      <c r="C255" s="8" t="s">
        <v>309</v>
      </c>
      <c r="D255" s="8" t="s">
        <v>7</v>
      </c>
      <c r="E255" s="8" t="s">
        <v>429</v>
      </c>
      <c r="F255" s="8">
        <v>35</v>
      </c>
      <c r="G255" s="22">
        <v>805</v>
      </c>
      <c r="H255" s="22">
        <v>385</v>
      </c>
    </row>
    <row r="256" spans="1:8" x14ac:dyDescent="0.25">
      <c r="A256" s="75">
        <v>40684</v>
      </c>
      <c r="B256" s="8" t="s">
        <v>319</v>
      </c>
      <c r="C256" s="8" t="s">
        <v>309</v>
      </c>
      <c r="D256" s="8" t="s">
        <v>3</v>
      </c>
      <c r="E256" s="8" t="s">
        <v>342</v>
      </c>
      <c r="F256" s="8">
        <v>17</v>
      </c>
      <c r="G256" s="22">
        <v>459</v>
      </c>
      <c r="H256" s="22">
        <v>246.5</v>
      </c>
    </row>
    <row r="257" spans="1:8" x14ac:dyDescent="0.25">
      <c r="A257" s="75">
        <v>40560</v>
      </c>
      <c r="B257" s="8" t="s">
        <v>311</v>
      </c>
      <c r="C257" s="8" t="s">
        <v>307</v>
      </c>
      <c r="D257" s="8" t="s">
        <v>312</v>
      </c>
      <c r="E257" s="8" t="s">
        <v>326</v>
      </c>
      <c r="F257" s="8">
        <v>35</v>
      </c>
      <c r="G257" s="22">
        <v>665</v>
      </c>
      <c r="H257" s="22">
        <v>280</v>
      </c>
    </row>
    <row r="258" spans="1:8" x14ac:dyDescent="0.25">
      <c r="A258" s="75">
        <v>40668</v>
      </c>
      <c r="B258" s="8" t="s">
        <v>317</v>
      </c>
      <c r="C258" s="8" t="s">
        <v>308</v>
      </c>
      <c r="D258" s="8" t="s">
        <v>312</v>
      </c>
      <c r="E258" s="8" t="s">
        <v>323</v>
      </c>
      <c r="F258" s="8">
        <v>39</v>
      </c>
      <c r="G258" s="22">
        <v>819</v>
      </c>
      <c r="H258" s="22">
        <v>360.75</v>
      </c>
    </row>
    <row r="259" spans="1:8" x14ac:dyDescent="0.25">
      <c r="A259" s="75">
        <v>40544</v>
      </c>
      <c r="B259" s="8" t="s">
        <v>315</v>
      </c>
      <c r="C259" s="8" t="s">
        <v>307</v>
      </c>
      <c r="D259" s="8" t="s">
        <v>7</v>
      </c>
      <c r="E259" s="8" t="s">
        <v>347</v>
      </c>
      <c r="F259" s="8">
        <v>23</v>
      </c>
      <c r="G259" s="22">
        <v>529</v>
      </c>
      <c r="H259" s="22">
        <v>253</v>
      </c>
    </row>
    <row r="260" spans="1:8" x14ac:dyDescent="0.25">
      <c r="A260" s="75">
        <v>40699</v>
      </c>
      <c r="B260" s="8" t="s">
        <v>311</v>
      </c>
      <c r="C260" s="8" t="s">
        <v>307</v>
      </c>
      <c r="D260" s="8" t="s">
        <v>136</v>
      </c>
      <c r="E260" s="8" t="s">
        <v>314</v>
      </c>
      <c r="F260" s="8">
        <v>53</v>
      </c>
      <c r="G260" s="22">
        <v>1007</v>
      </c>
      <c r="H260" s="22">
        <v>424</v>
      </c>
    </row>
    <row r="261" spans="1:8" x14ac:dyDescent="0.25">
      <c r="A261" s="75">
        <v>40621</v>
      </c>
      <c r="B261" s="8" t="s">
        <v>317</v>
      </c>
      <c r="C261" s="8" t="s">
        <v>309</v>
      </c>
      <c r="D261" s="8" t="s">
        <v>7</v>
      </c>
      <c r="E261" s="8" t="s">
        <v>325</v>
      </c>
      <c r="F261" s="8">
        <v>39</v>
      </c>
      <c r="G261" s="22">
        <v>819</v>
      </c>
      <c r="H261" s="22">
        <v>360.75</v>
      </c>
    </row>
    <row r="262" spans="1:8" x14ac:dyDescent="0.25">
      <c r="A262" s="75">
        <v>40584</v>
      </c>
      <c r="B262" s="8" t="s">
        <v>315</v>
      </c>
      <c r="C262" s="8" t="s">
        <v>307</v>
      </c>
      <c r="D262" s="8" t="s">
        <v>312</v>
      </c>
      <c r="E262" s="8" t="s">
        <v>314</v>
      </c>
      <c r="F262" s="8">
        <v>46</v>
      </c>
      <c r="G262" s="22">
        <v>1058</v>
      </c>
      <c r="H262" s="22">
        <v>506</v>
      </c>
    </row>
    <row r="263" spans="1:8" x14ac:dyDescent="0.25">
      <c r="A263" s="75">
        <v>40604</v>
      </c>
      <c r="B263" s="8" t="s">
        <v>317</v>
      </c>
      <c r="C263" s="8" t="s">
        <v>310</v>
      </c>
      <c r="D263" s="8" t="s">
        <v>136</v>
      </c>
      <c r="E263" s="8" t="s">
        <v>346</v>
      </c>
      <c r="F263" s="8">
        <v>44</v>
      </c>
      <c r="G263" s="22">
        <v>924</v>
      </c>
      <c r="H263" s="22">
        <v>407</v>
      </c>
    </row>
    <row r="264" spans="1:8" x14ac:dyDescent="0.25">
      <c r="A264" s="75">
        <v>40705</v>
      </c>
      <c r="B264" s="8" t="s">
        <v>315</v>
      </c>
      <c r="C264" s="8" t="s">
        <v>308</v>
      </c>
      <c r="D264" s="8" t="s">
        <v>132</v>
      </c>
      <c r="E264" s="8" t="s">
        <v>314</v>
      </c>
      <c r="F264" s="8">
        <v>48</v>
      </c>
      <c r="G264" s="22">
        <v>1104</v>
      </c>
      <c r="H264" s="22">
        <v>528</v>
      </c>
    </row>
    <row r="265" spans="1:8" x14ac:dyDescent="0.25">
      <c r="A265" s="75">
        <v>40638</v>
      </c>
      <c r="B265" s="8" t="s">
        <v>315</v>
      </c>
      <c r="C265" s="8" t="s">
        <v>309</v>
      </c>
      <c r="D265" s="8" t="s">
        <v>136</v>
      </c>
      <c r="E265" s="8" t="s">
        <v>346</v>
      </c>
      <c r="F265" s="8">
        <v>23</v>
      </c>
      <c r="G265" s="22">
        <v>529</v>
      </c>
      <c r="H265" s="22">
        <v>253</v>
      </c>
    </row>
    <row r="266" spans="1:8" x14ac:dyDescent="0.25">
      <c r="A266" s="75">
        <v>40566</v>
      </c>
      <c r="B266" s="8" t="s">
        <v>315</v>
      </c>
      <c r="C266" s="8" t="s">
        <v>308</v>
      </c>
      <c r="D266" s="8" t="s">
        <v>328</v>
      </c>
      <c r="E266" s="8" t="s">
        <v>313</v>
      </c>
      <c r="F266" s="8">
        <v>12</v>
      </c>
      <c r="G266" s="22">
        <v>276</v>
      </c>
      <c r="H266" s="22">
        <v>132</v>
      </c>
    </row>
    <row r="267" spans="1:8" x14ac:dyDescent="0.25">
      <c r="A267" s="75">
        <v>40720</v>
      </c>
      <c r="B267" s="8" t="s">
        <v>321</v>
      </c>
      <c r="C267" s="8" t="s">
        <v>308</v>
      </c>
      <c r="D267" s="8" t="s">
        <v>7</v>
      </c>
      <c r="E267" s="8" t="s">
        <v>313</v>
      </c>
      <c r="F267" s="8">
        <v>62</v>
      </c>
      <c r="G267" s="22">
        <v>1364</v>
      </c>
      <c r="H267" s="22">
        <v>620</v>
      </c>
    </row>
    <row r="268" spans="1:8" x14ac:dyDescent="0.25">
      <c r="A268" s="75">
        <v>40714</v>
      </c>
      <c r="B268" s="8" t="s">
        <v>311</v>
      </c>
      <c r="C268" s="8" t="s">
        <v>309</v>
      </c>
      <c r="D268" s="8" t="s">
        <v>328</v>
      </c>
      <c r="E268" s="8" t="s">
        <v>335</v>
      </c>
      <c r="F268" s="8">
        <v>21</v>
      </c>
      <c r="G268" s="22">
        <v>399</v>
      </c>
      <c r="H268" s="22">
        <v>168</v>
      </c>
    </row>
    <row r="269" spans="1:8" x14ac:dyDescent="0.25">
      <c r="A269" s="75">
        <v>40586</v>
      </c>
      <c r="B269" s="8" t="s">
        <v>317</v>
      </c>
      <c r="C269" s="8" t="s">
        <v>308</v>
      </c>
      <c r="D269" s="8" t="s">
        <v>312</v>
      </c>
      <c r="E269" s="8" t="s">
        <v>324</v>
      </c>
      <c r="F269" s="8">
        <v>35</v>
      </c>
      <c r="G269" s="22">
        <v>735</v>
      </c>
      <c r="H269" s="22">
        <v>323.75</v>
      </c>
    </row>
    <row r="270" spans="1:8" x14ac:dyDescent="0.25">
      <c r="A270" s="75">
        <v>40699</v>
      </c>
      <c r="B270" s="8" t="s">
        <v>319</v>
      </c>
      <c r="C270" s="8" t="s">
        <v>307</v>
      </c>
      <c r="D270" s="8" t="s">
        <v>3</v>
      </c>
      <c r="E270" s="8" t="s">
        <v>340</v>
      </c>
      <c r="F270" s="8">
        <v>35</v>
      </c>
      <c r="G270" s="22">
        <v>945</v>
      </c>
      <c r="H270" s="22">
        <v>507.5</v>
      </c>
    </row>
    <row r="271" spans="1:8" x14ac:dyDescent="0.25">
      <c r="A271" s="75">
        <v>40639</v>
      </c>
      <c r="B271" s="8" t="s">
        <v>311</v>
      </c>
      <c r="C271" s="8" t="s">
        <v>309</v>
      </c>
      <c r="D271" s="8" t="s">
        <v>132</v>
      </c>
      <c r="E271" s="8" t="s">
        <v>330</v>
      </c>
      <c r="F271" s="8">
        <v>53</v>
      </c>
      <c r="G271" s="22">
        <v>1007</v>
      </c>
      <c r="H271" s="22">
        <v>424</v>
      </c>
    </row>
    <row r="272" spans="1:8" x14ac:dyDescent="0.25">
      <c r="A272" s="75">
        <v>40699</v>
      </c>
      <c r="B272" s="8" t="s">
        <v>319</v>
      </c>
      <c r="C272" s="8" t="s">
        <v>309</v>
      </c>
      <c r="D272" s="8" t="s">
        <v>312</v>
      </c>
      <c r="E272" s="8" t="s">
        <v>334</v>
      </c>
      <c r="F272" s="8">
        <v>38</v>
      </c>
      <c r="G272" s="22">
        <v>1026</v>
      </c>
      <c r="H272" s="22">
        <v>551</v>
      </c>
    </row>
    <row r="273" spans="1:8" x14ac:dyDescent="0.25">
      <c r="A273" s="75">
        <v>40699</v>
      </c>
      <c r="B273" s="8" t="s">
        <v>315</v>
      </c>
      <c r="C273" s="8" t="s">
        <v>310</v>
      </c>
      <c r="D273" s="8" t="s">
        <v>3</v>
      </c>
      <c r="E273" s="8" t="s">
        <v>334</v>
      </c>
      <c r="F273" s="8">
        <v>60</v>
      </c>
      <c r="G273" s="22">
        <v>1380</v>
      </c>
      <c r="H273" s="22">
        <v>660</v>
      </c>
    </row>
    <row r="274" spans="1:8" x14ac:dyDescent="0.25">
      <c r="A274" s="75">
        <v>40550</v>
      </c>
      <c r="B274" s="8" t="s">
        <v>311</v>
      </c>
      <c r="C274" s="8" t="s">
        <v>308</v>
      </c>
      <c r="D274" s="8" t="s">
        <v>312</v>
      </c>
      <c r="E274" s="8" t="s">
        <v>336</v>
      </c>
      <c r="F274" s="8">
        <v>36</v>
      </c>
      <c r="G274" s="22">
        <v>684</v>
      </c>
      <c r="H274" s="22">
        <v>288</v>
      </c>
    </row>
    <row r="275" spans="1:8" x14ac:dyDescent="0.25">
      <c r="A275" s="75">
        <v>40690</v>
      </c>
      <c r="B275" s="8" t="s">
        <v>319</v>
      </c>
      <c r="C275" s="8" t="s">
        <v>309</v>
      </c>
      <c r="D275" s="8" t="s">
        <v>3</v>
      </c>
      <c r="E275" s="8" t="s">
        <v>343</v>
      </c>
      <c r="F275" s="8">
        <v>27</v>
      </c>
      <c r="G275" s="22">
        <v>729</v>
      </c>
      <c r="H275" s="22">
        <v>391.5</v>
      </c>
    </row>
    <row r="276" spans="1:8" x14ac:dyDescent="0.25">
      <c r="A276" s="75">
        <v>40667</v>
      </c>
      <c r="B276" s="8" t="s">
        <v>315</v>
      </c>
      <c r="C276" s="8" t="s">
        <v>309</v>
      </c>
      <c r="D276" s="8" t="s">
        <v>132</v>
      </c>
      <c r="E276" s="8" t="s">
        <v>333</v>
      </c>
      <c r="F276" s="8">
        <v>30</v>
      </c>
      <c r="G276" s="22">
        <v>690</v>
      </c>
      <c r="H276" s="22">
        <v>330</v>
      </c>
    </row>
    <row r="277" spans="1:8" x14ac:dyDescent="0.25">
      <c r="A277" s="75">
        <v>40575</v>
      </c>
      <c r="B277" s="8" t="s">
        <v>315</v>
      </c>
      <c r="C277" s="8" t="s">
        <v>307</v>
      </c>
      <c r="D277" s="8" t="s">
        <v>7</v>
      </c>
      <c r="E277" s="8" t="s">
        <v>346</v>
      </c>
      <c r="F277" s="8">
        <v>28</v>
      </c>
      <c r="G277" s="22">
        <v>644</v>
      </c>
      <c r="H277" s="22">
        <v>308</v>
      </c>
    </row>
    <row r="278" spans="1:8" x14ac:dyDescent="0.25">
      <c r="A278" s="75">
        <v>40702</v>
      </c>
      <c r="B278" s="8" t="s">
        <v>321</v>
      </c>
      <c r="C278" s="8" t="s">
        <v>308</v>
      </c>
      <c r="D278" s="8" t="s">
        <v>312</v>
      </c>
      <c r="E278" s="8" t="s">
        <v>428</v>
      </c>
      <c r="F278" s="8">
        <v>61</v>
      </c>
      <c r="G278" s="22">
        <v>1342</v>
      </c>
      <c r="H278" s="22">
        <v>610</v>
      </c>
    </row>
    <row r="279" spans="1:8" x14ac:dyDescent="0.25">
      <c r="A279" s="75">
        <v>40551</v>
      </c>
      <c r="B279" s="8" t="s">
        <v>315</v>
      </c>
      <c r="C279" s="8" t="s">
        <v>310</v>
      </c>
      <c r="D279" s="8" t="s">
        <v>7</v>
      </c>
      <c r="E279" s="8" t="s">
        <v>324</v>
      </c>
      <c r="F279" s="8">
        <v>59</v>
      </c>
      <c r="G279" s="22">
        <v>1357</v>
      </c>
      <c r="H279" s="22">
        <v>649</v>
      </c>
    </row>
    <row r="280" spans="1:8" x14ac:dyDescent="0.25">
      <c r="A280" s="75">
        <v>40547</v>
      </c>
      <c r="B280" s="8" t="s">
        <v>321</v>
      </c>
      <c r="C280" s="8" t="s">
        <v>309</v>
      </c>
      <c r="D280" s="8" t="s">
        <v>328</v>
      </c>
      <c r="E280" s="8" t="s">
        <v>332</v>
      </c>
      <c r="F280" s="8">
        <v>11</v>
      </c>
      <c r="G280" s="22">
        <v>242</v>
      </c>
      <c r="H280" s="22">
        <v>110</v>
      </c>
    </row>
    <row r="281" spans="1:8" x14ac:dyDescent="0.25">
      <c r="A281" s="75">
        <v>40663</v>
      </c>
      <c r="B281" s="8" t="s">
        <v>311</v>
      </c>
      <c r="C281" s="8" t="s">
        <v>307</v>
      </c>
      <c r="D281" s="8" t="s">
        <v>312</v>
      </c>
      <c r="E281" s="8" t="s">
        <v>337</v>
      </c>
      <c r="F281" s="8">
        <v>41</v>
      </c>
      <c r="G281" s="22">
        <v>779</v>
      </c>
      <c r="H281" s="22">
        <v>328</v>
      </c>
    </row>
    <row r="282" spans="1:8" x14ac:dyDescent="0.25">
      <c r="A282" s="75">
        <v>40699</v>
      </c>
      <c r="B282" s="8" t="s">
        <v>315</v>
      </c>
      <c r="C282" s="8" t="s">
        <v>310</v>
      </c>
      <c r="D282" s="8" t="s">
        <v>132</v>
      </c>
      <c r="E282" s="8" t="s">
        <v>343</v>
      </c>
      <c r="F282" s="8">
        <v>14</v>
      </c>
      <c r="G282" s="22">
        <v>322</v>
      </c>
      <c r="H282" s="22">
        <v>154</v>
      </c>
    </row>
    <row r="283" spans="1:8" x14ac:dyDescent="0.25">
      <c r="A283" s="75">
        <v>40683</v>
      </c>
      <c r="B283" s="8" t="s">
        <v>315</v>
      </c>
      <c r="C283" s="8" t="s">
        <v>308</v>
      </c>
      <c r="D283" s="8" t="s">
        <v>312</v>
      </c>
      <c r="E283" s="8" t="s">
        <v>316</v>
      </c>
      <c r="F283" s="8">
        <v>34</v>
      </c>
      <c r="G283" s="22">
        <v>782</v>
      </c>
      <c r="H283" s="22">
        <v>374</v>
      </c>
    </row>
    <row r="284" spans="1:8" x14ac:dyDescent="0.25">
      <c r="A284" s="75">
        <v>40722</v>
      </c>
      <c r="B284" s="8" t="s">
        <v>319</v>
      </c>
      <c r="C284" s="8" t="s">
        <v>310</v>
      </c>
      <c r="D284" s="8" t="s">
        <v>328</v>
      </c>
      <c r="E284" s="8" t="s">
        <v>327</v>
      </c>
      <c r="F284" s="8">
        <v>33</v>
      </c>
      <c r="G284" s="22">
        <v>891</v>
      </c>
      <c r="H284" s="22">
        <v>478.5</v>
      </c>
    </row>
    <row r="285" spans="1:8" x14ac:dyDescent="0.25">
      <c r="A285" s="75">
        <v>40656</v>
      </c>
      <c r="B285" s="8" t="s">
        <v>317</v>
      </c>
      <c r="C285" s="8" t="s">
        <v>309</v>
      </c>
      <c r="D285" s="8" t="s">
        <v>312</v>
      </c>
      <c r="E285" s="8" t="s">
        <v>333</v>
      </c>
      <c r="F285" s="8">
        <v>29</v>
      </c>
      <c r="G285" s="22">
        <v>609</v>
      </c>
      <c r="H285" s="22">
        <v>268.25</v>
      </c>
    </row>
    <row r="286" spans="1:8" x14ac:dyDescent="0.25">
      <c r="A286" s="75">
        <v>40592</v>
      </c>
      <c r="B286" s="8" t="s">
        <v>317</v>
      </c>
      <c r="C286" s="8" t="s">
        <v>308</v>
      </c>
      <c r="D286" s="8" t="s">
        <v>312</v>
      </c>
      <c r="E286" s="8" t="s">
        <v>330</v>
      </c>
      <c r="F286" s="8">
        <v>23</v>
      </c>
      <c r="G286" s="22">
        <v>483</v>
      </c>
      <c r="H286" s="22">
        <v>212.75</v>
      </c>
    </row>
    <row r="287" spans="1:8" x14ac:dyDescent="0.25">
      <c r="A287" s="75">
        <v>40583</v>
      </c>
      <c r="B287" s="8" t="s">
        <v>321</v>
      </c>
      <c r="C287" s="8" t="s">
        <v>310</v>
      </c>
      <c r="D287" s="8" t="s">
        <v>312</v>
      </c>
      <c r="E287" s="8" t="s">
        <v>316</v>
      </c>
      <c r="F287" s="8">
        <v>45</v>
      </c>
      <c r="G287" s="22">
        <v>990</v>
      </c>
      <c r="H287" s="22">
        <v>450</v>
      </c>
    </row>
    <row r="288" spans="1:8" x14ac:dyDescent="0.25">
      <c r="A288" s="75">
        <v>40580</v>
      </c>
      <c r="B288" s="8" t="s">
        <v>319</v>
      </c>
      <c r="C288" s="8" t="s">
        <v>308</v>
      </c>
      <c r="D288" s="8" t="s">
        <v>136</v>
      </c>
      <c r="E288" s="8" t="s">
        <v>320</v>
      </c>
      <c r="F288" s="8">
        <v>29</v>
      </c>
      <c r="G288" s="22">
        <v>783</v>
      </c>
      <c r="H288" s="22">
        <v>420.5</v>
      </c>
    </row>
    <row r="289" spans="1:8" x14ac:dyDescent="0.25">
      <c r="A289" s="75">
        <v>40632</v>
      </c>
      <c r="B289" s="8" t="s">
        <v>321</v>
      </c>
      <c r="C289" s="8" t="s">
        <v>307</v>
      </c>
      <c r="D289" s="8" t="s">
        <v>312</v>
      </c>
      <c r="E289" s="8" t="s">
        <v>316</v>
      </c>
      <c r="F289" s="8">
        <v>31</v>
      </c>
      <c r="G289" s="22">
        <v>682</v>
      </c>
      <c r="H289" s="22">
        <v>310</v>
      </c>
    </row>
    <row r="290" spans="1:8" x14ac:dyDescent="0.25">
      <c r="A290" s="75">
        <v>40587</v>
      </c>
      <c r="B290" s="8" t="s">
        <v>317</v>
      </c>
      <c r="C290" s="8" t="s">
        <v>309</v>
      </c>
      <c r="D290" s="8" t="s">
        <v>3</v>
      </c>
      <c r="E290" s="8" t="s">
        <v>329</v>
      </c>
      <c r="F290" s="8">
        <v>60</v>
      </c>
      <c r="G290" s="22">
        <v>1260</v>
      </c>
      <c r="H290" s="22">
        <v>555</v>
      </c>
    </row>
    <row r="291" spans="1:8" x14ac:dyDescent="0.25">
      <c r="A291" s="75">
        <v>40694</v>
      </c>
      <c r="B291" s="8" t="s">
        <v>311</v>
      </c>
      <c r="C291" s="8" t="s">
        <v>310</v>
      </c>
      <c r="D291" s="8" t="s">
        <v>328</v>
      </c>
      <c r="E291" s="8" t="s">
        <v>318</v>
      </c>
      <c r="F291" s="8">
        <v>10</v>
      </c>
      <c r="G291" s="22">
        <v>190</v>
      </c>
      <c r="H291" s="22">
        <v>80</v>
      </c>
    </row>
    <row r="292" spans="1:8" x14ac:dyDescent="0.25">
      <c r="A292" s="75">
        <v>40547</v>
      </c>
      <c r="B292" s="8" t="s">
        <v>321</v>
      </c>
      <c r="C292" s="8" t="s">
        <v>307</v>
      </c>
      <c r="D292" s="8" t="s">
        <v>132</v>
      </c>
      <c r="E292" s="8" t="s">
        <v>322</v>
      </c>
      <c r="F292" s="8">
        <v>13</v>
      </c>
      <c r="G292" s="22">
        <v>286</v>
      </c>
      <c r="H292" s="22">
        <v>130</v>
      </c>
    </row>
    <row r="293" spans="1:8" x14ac:dyDescent="0.25">
      <c r="A293" s="75">
        <v>40688</v>
      </c>
      <c r="B293" s="8" t="s">
        <v>315</v>
      </c>
      <c r="C293" s="8" t="s">
        <v>309</v>
      </c>
      <c r="D293" s="8" t="s">
        <v>3</v>
      </c>
      <c r="E293" s="8" t="s">
        <v>322</v>
      </c>
      <c r="F293" s="8">
        <v>17</v>
      </c>
      <c r="G293" s="22">
        <v>391</v>
      </c>
      <c r="H293" s="22">
        <v>187</v>
      </c>
    </row>
    <row r="294" spans="1:8" x14ac:dyDescent="0.25">
      <c r="A294" s="75">
        <v>40645</v>
      </c>
      <c r="B294" s="8" t="s">
        <v>317</v>
      </c>
      <c r="C294" s="8" t="s">
        <v>308</v>
      </c>
      <c r="D294" s="8" t="s">
        <v>7</v>
      </c>
      <c r="E294" s="8" t="s">
        <v>347</v>
      </c>
      <c r="F294" s="8">
        <v>65</v>
      </c>
      <c r="G294" s="22">
        <v>1365</v>
      </c>
      <c r="H294" s="22">
        <v>601.25</v>
      </c>
    </row>
    <row r="295" spans="1:8" x14ac:dyDescent="0.25">
      <c r="A295" s="75">
        <v>40722</v>
      </c>
      <c r="B295" s="8" t="s">
        <v>315</v>
      </c>
      <c r="C295" s="8" t="s">
        <v>310</v>
      </c>
      <c r="D295" s="8" t="s">
        <v>328</v>
      </c>
      <c r="E295" s="8" t="s">
        <v>323</v>
      </c>
      <c r="F295" s="8">
        <v>34</v>
      </c>
      <c r="G295" s="22">
        <v>782</v>
      </c>
      <c r="H295" s="22">
        <v>374</v>
      </c>
    </row>
    <row r="296" spans="1:8" x14ac:dyDescent="0.25">
      <c r="A296" s="75">
        <v>40588</v>
      </c>
      <c r="B296" s="8" t="s">
        <v>317</v>
      </c>
      <c r="C296" s="8" t="s">
        <v>309</v>
      </c>
      <c r="D296" s="8" t="s">
        <v>328</v>
      </c>
      <c r="E296" s="8" t="s">
        <v>340</v>
      </c>
      <c r="F296" s="8">
        <v>30</v>
      </c>
      <c r="G296" s="22">
        <v>630</v>
      </c>
      <c r="H296" s="22">
        <v>277.5</v>
      </c>
    </row>
    <row r="297" spans="1:8" x14ac:dyDescent="0.25">
      <c r="A297" s="75">
        <v>40592</v>
      </c>
      <c r="B297" s="8" t="s">
        <v>321</v>
      </c>
      <c r="C297" s="8" t="s">
        <v>310</v>
      </c>
      <c r="D297" s="8" t="s">
        <v>132</v>
      </c>
      <c r="E297" s="8" t="s">
        <v>335</v>
      </c>
      <c r="F297" s="8">
        <v>22</v>
      </c>
      <c r="G297" s="22">
        <v>484</v>
      </c>
      <c r="H297" s="22">
        <v>220</v>
      </c>
    </row>
    <row r="298" spans="1:8" x14ac:dyDescent="0.25">
      <c r="A298" s="75">
        <v>40572</v>
      </c>
      <c r="B298" s="8" t="s">
        <v>311</v>
      </c>
      <c r="C298" s="8" t="s">
        <v>307</v>
      </c>
      <c r="D298" s="8" t="s">
        <v>136</v>
      </c>
      <c r="E298" s="8" t="s">
        <v>346</v>
      </c>
      <c r="F298" s="8">
        <v>58</v>
      </c>
      <c r="G298" s="22">
        <v>1102</v>
      </c>
      <c r="H298" s="22">
        <v>464</v>
      </c>
    </row>
    <row r="299" spans="1:8" x14ac:dyDescent="0.25">
      <c r="A299" s="75">
        <v>40588</v>
      </c>
      <c r="B299" s="8" t="s">
        <v>311</v>
      </c>
      <c r="C299" s="8" t="s">
        <v>309</v>
      </c>
      <c r="D299" s="8" t="s">
        <v>328</v>
      </c>
      <c r="E299" s="8" t="s">
        <v>313</v>
      </c>
      <c r="F299" s="8">
        <v>50</v>
      </c>
      <c r="G299" s="22">
        <v>950</v>
      </c>
      <c r="H299" s="22">
        <v>400</v>
      </c>
    </row>
    <row r="300" spans="1:8" x14ac:dyDescent="0.25">
      <c r="A300" s="75">
        <v>40587</v>
      </c>
      <c r="B300" s="8" t="s">
        <v>311</v>
      </c>
      <c r="C300" s="8" t="s">
        <v>307</v>
      </c>
      <c r="D300" s="8" t="s">
        <v>328</v>
      </c>
      <c r="E300" s="8" t="s">
        <v>347</v>
      </c>
      <c r="F300" s="8">
        <v>39</v>
      </c>
      <c r="G300" s="22">
        <v>741</v>
      </c>
      <c r="H300" s="22">
        <v>312</v>
      </c>
    </row>
    <row r="301" spans="1:8" x14ac:dyDescent="0.25">
      <c r="A301" s="75">
        <v>40690</v>
      </c>
      <c r="B301" s="8" t="s">
        <v>319</v>
      </c>
      <c r="C301" s="8" t="s">
        <v>309</v>
      </c>
      <c r="D301" s="8" t="s">
        <v>132</v>
      </c>
      <c r="E301" s="8" t="s">
        <v>331</v>
      </c>
      <c r="F301" s="8">
        <v>36</v>
      </c>
      <c r="G301" s="22">
        <v>972</v>
      </c>
      <c r="H301" s="22">
        <v>522</v>
      </c>
    </row>
    <row r="302" spans="1:8" x14ac:dyDescent="0.25">
      <c r="A302" s="75">
        <v>40593</v>
      </c>
      <c r="B302" s="8" t="s">
        <v>315</v>
      </c>
      <c r="C302" s="8" t="s">
        <v>308</v>
      </c>
      <c r="D302" s="8" t="s">
        <v>328</v>
      </c>
      <c r="E302" s="8" t="s">
        <v>429</v>
      </c>
      <c r="F302" s="8">
        <v>41</v>
      </c>
      <c r="G302" s="22">
        <v>943</v>
      </c>
      <c r="H302" s="22">
        <v>451</v>
      </c>
    </row>
    <row r="303" spans="1:8" x14ac:dyDescent="0.25">
      <c r="A303" s="75">
        <v>40547</v>
      </c>
      <c r="B303" s="8" t="s">
        <v>315</v>
      </c>
      <c r="C303" s="8" t="s">
        <v>309</v>
      </c>
      <c r="D303" s="8" t="s">
        <v>328</v>
      </c>
      <c r="E303" s="8" t="s">
        <v>428</v>
      </c>
      <c r="F303" s="8">
        <v>37</v>
      </c>
      <c r="G303" s="22">
        <v>851</v>
      </c>
      <c r="H303" s="22">
        <v>407</v>
      </c>
    </row>
    <row r="304" spans="1:8" x14ac:dyDescent="0.25">
      <c r="A304" s="75">
        <v>40697</v>
      </c>
      <c r="B304" s="8" t="s">
        <v>315</v>
      </c>
      <c r="C304" s="8" t="s">
        <v>307</v>
      </c>
      <c r="D304" s="8" t="s">
        <v>136</v>
      </c>
      <c r="E304" s="8" t="s">
        <v>339</v>
      </c>
      <c r="F304" s="8">
        <v>35</v>
      </c>
      <c r="G304" s="22">
        <v>805</v>
      </c>
      <c r="H304" s="22">
        <v>385</v>
      </c>
    </row>
    <row r="305" spans="1:8" x14ac:dyDescent="0.25">
      <c r="A305" s="75">
        <v>40669</v>
      </c>
      <c r="B305" s="8" t="s">
        <v>321</v>
      </c>
      <c r="C305" s="8" t="s">
        <v>308</v>
      </c>
      <c r="D305" s="8" t="s">
        <v>328</v>
      </c>
      <c r="E305" s="8" t="s">
        <v>313</v>
      </c>
      <c r="F305" s="8">
        <v>55</v>
      </c>
      <c r="G305" s="22">
        <v>1210</v>
      </c>
      <c r="H305" s="22">
        <v>550</v>
      </c>
    </row>
    <row r="306" spans="1:8" x14ac:dyDescent="0.25">
      <c r="A306" s="75">
        <v>40700</v>
      </c>
      <c r="B306" s="8" t="s">
        <v>317</v>
      </c>
      <c r="C306" s="8" t="s">
        <v>308</v>
      </c>
      <c r="D306" s="8" t="s">
        <v>7</v>
      </c>
      <c r="E306" s="8" t="s">
        <v>339</v>
      </c>
      <c r="F306" s="8">
        <v>43</v>
      </c>
      <c r="G306" s="22">
        <v>903</v>
      </c>
      <c r="H306" s="22">
        <v>397.75</v>
      </c>
    </row>
    <row r="307" spans="1:8" x14ac:dyDescent="0.25">
      <c r="A307" s="75">
        <v>40603</v>
      </c>
      <c r="B307" s="8" t="s">
        <v>315</v>
      </c>
      <c r="C307" s="8" t="s">
        <v>309</v>
      </c>
      <c r="D307" s="8" t="s">
        <v>136</v>
      </c>
      <c r="E307" s="8" t="s">
        <v>314</v>
      </c>
      <c r="F307" s="8">
        <v>20</v>
      </c>
      <c r="G307" s="22">
        <v>460</v>
      </c>
      <c r="H307" s="22">
        <v>220</v>
      </c>
    </row>
    <row r="308" spans="1:8" x14ac:dyDescent="0.25">
      <c r="A308" s="75">
        <v>40594</v>
      </c>
      <c r="B308" s="8" t="s">
        <v>315</v>
      </c>
      <c r="C308" s="8" t="s">
        <v>309</v>
      </c>
      <c r="D308" s="8" t="s">
        <v>328</v>
      </c>
      <c r="E308" s="8" t="s">
        <v>347</v>
      </c>
      <c r="F308" s="8">
        <v>47</v>
      </c>
      <c r="G308" s="22">
        <v>1081</v>
      </c>
      <c r="H308" s="22">
        <v>517</v>
      </c>
    </row>
    <row r="309" spans="1:8" x14ac:dyDescent="0.25">
      <c r="A309" s="75">
        <v>40547</v>
      </c>
      <c r="B309" s="8" t="s">
        <v>315</v>
      </c>
      <c r="C309" s="8" t="s">
        <v>310</v>
      </c>
      <c r="D309" s="8" t="s">
        <v>312</v>
      </c>
      <c r="E309" s="8" t="s">
        <v>330</v>
      </c>
      <c r="F309" s="8">
        <v>53</v>
      </c>
      <c r="G309" s="22">
        <v>1219</v>
      </c>
      <c r="H309" s="22">
        <v>583</v>
      </c>
    </row>
    <row r="310" spans="1:8" x14ac:dyDescent="0.25">
      <c r="A310" s="75">
        <v>40705</v>
      </c>
      <c r="B310" s="8" t="s">
        <v>315</v>
      </c>
      <c r="C310" s="8" t="s">
        <v>310</v>
      </c>
      <c r="D310" s="8" t="s">
        <v>328</v>
      </c>
      <c r="E310" s="8" t="s">
        <v>338</v>
      </c>
      <c r="F310" s="8">
        <v>55</v>
      </c>
      <c r="G310" s="22">
        <v>1265</v>
      </c>
      <c r="H310" s="22">
        <v>605</v>
      </c>
    </row>
    <row r="311" spans="1:8" x14ac:dyDescent="0.25">
      <c r="A311" s="75">
        <v>40698</v>
      </c>
      <c r="B311" s="8" t="s">
        <v>317</v>
      </c>
      <c r="C311" s="8" t="s">
        <v>308</v>
      </c>
      <c r="D311" s="8" t="s">
        <v>136</v>
      </c>
      <c r="E311" s="8" t="s">
        <v>313</v>
      </c>
      <c r="F311" s="8">
        <v>61</v>
      </c>
      <c r="G311" s="22">
        <v>1281</v>
      </c>
      <c r="H311" s="22">
        <v>564.25</v>
      </c>
    </row>
    <row r="312" spans="1:8" x14ac:dyDescent="0.25">
      <c r="A312" s="75">
        <v>40664</v>
      </c>
      <c r="B312" s="8" t="s">
        <v>317</v>
      </c>
      <c r="C312" s="8" t="s">
        <v>310</v>
      </c>
      <c r="D312" s="8" t="s">
        <v>7</v>
      </c>
      <c r="E312" s="8" t="s">
        <v>339</v>
      </c>
      <c r="F312" s="8">
        <v>57</v>
      </c>
      <c r="G312" s="22">
        <v>1197</v>
      </c>
      <c r="H312" s="22">
        <v>527.25</v>
      </c>
    </row>
    <row r="313" spans="1:8" x14ac:dyDescent="0.25">
      <c r="A313" s="75">
        <v>40554</v>
      </c>
      <c r="B313" s="8" t="s">
        <v>311</v>
      </c>
      <c r="C313" s="8" t="s">
        <v>308</v>
      </c>
      <c r="D313" s="8" t="s">
        <v>312</v>
      </c>
      <c r="E313" s="8" t="s">
        <v>322</v>
      </c>
      <c r="F313" s="8">
        <v>48</v>
      </c>
      <c r="G313" s="22">
        <v>912</v>
      </c>
      <c r="H313" s="22">
        <v>384</v>
      </c>
    </row>
    <row r="314" spans="1:8" x14ac:dyDescent="0.25">
      <c r="A314" s="75">
        <v>40570</v>
      </c>
      <c r="B314" s="8" t="s">
        <v>311</v>
      </c>
      <c r="C314" s="8" t="s">
        <v>310</v>
      </c>
      <c r="D314" s="8" t="s">
        <v>132</v>
      </c>
      <c r="E314" s="8" t="s">
        <v>314</v>
      </c>
      <c r="F314" s="8">
        <v>39</v>
      </c>
      <c r="G314" s="22">
        <v>741</v>
      </c>
      <c r="H314" s="22">
        <v>312</v>
      </c>
    </row>
    <row r="315" spans="1:8" x14ac:dyDescent="0.25">
      <c r="A315" s="75">
        <v>40639</v>
      </c>
      <c r="B315" s="8" t="s">
        <v>317</v>
      </c>
      <c r="C315" s="8" t="s">
        <v>310</v>
      </c>
      <c r="D315" s="8" t="s">
        <v>7</v>
      </c>
      <c r="E315" s="8" t="s">
        <v>331</v>
      </c>
      <c r="F315" s="8">
        <v>23</v>
      </c>
      <c r="G315" s="22">
        <v>483</v>
      </c>
      <c r="H315" s="22">
        <v>212.75</v>
      </c>
    </row>
    <row r="316" spans="1:8" x14ac:dyDescent="0.25">
      <c r="A316" s="75">
        <v>40658</v>
      </c>
      <c r="B316" s="8" t="s">
        <v>311</v>
      </c>
      <c r="C316" s="8" t="s">
        <v>307</v>
      </c>
      <c r="D316" s="8" t="s">
        <v>7</v>
      </c>
      <c r="E316" s="8" t="s">
        <v>336</v>
      </c>
      <c r="F316" s="8">
        <v>22</v>
      </c>
      <c r="G316" s="22">
        <v>418</v>
      </c>
      <c r="H316" s="22">
        <v>176</v>
      </c>
    </row>
    <row r="317" spans="1:8" x14ac:dyDescent="0.25">
      <c r="A317" s="75">
        <v>40605</v>
      </c>
      <c r="B317" s="8" t="s">
        <v>315</v>
      </c>
      <c r="C317" s="8" t="s">
        <v>309</v>
      </c>
      <c r="D317" s="8" t="s">
        <v>3</v>
      </c>
      <c r="E317" s="8" t="s">
        <v>346</v>
      </c>
      <c r="F317" s="8">
        <v>48</v>
      </c>
      <c r="G317" s="22">
        <v>1104</v>
      </c>
      <c r="H317" s="22">
        <v>528</v>
      </c>
    </row>
    <row r="318" spans="1:8" x14ac:dyDescent="0.25">
      <c r="A318" s="75">
        <v>40552</v>
      </c>
      <c r="B318" s="8" t="s">
        <v>321</v>
      </c>
      <c r="C318" s="8" t="s">
        <v>309</v>
      </c>
      <c r="D318" s="8" t="s">
        <v>3</v>
      </c>
      <c r="E318" s="8" t="s">
        <v>338</v>
      </c>
      <c r="F318" s="8">
        <v>43</v>
      </c>
      <c r="G318" s="22">
        <v>946</v>
      </c>
      <c r="H318" s="22">
        <v>430</v>
      </c>
    </row>
    <row r="319" spans="1:8" x14ac:dyDescent="0.25">
      <c r="A319" s="75">
        <v>40678</v>
      </c>
      <c r="B319" s="8" t="s">
        <v>311</v>
      </c>
      <c r="C319" s="8" t="s">
        <v>307</v>
      </c>
      <c r="D319" s="8" t="s">
        <v>328</v>
      </c>
      <c r="E319" s="8" t="s">
        <v>335</v>
      </c>
      <c r="F319" s="8">
        <v>46</v>
      </c>
      <c r="G319" s="22">
        <v>874</v>
      </c>
      <c r="H319" s="22">
        <v>368</v>
      </c>
    </row>
    <row r="320" spans="1:8" x14ac:dyDescent="0.25">
      <c r="A320" s="75">
        <v>40623</v>
      </c>
      <c r="B320" s="8" t="s">
        <v>319</v>
      </c>
      <c r="C320" s="8" t="s">
        <v>309</v>
      </c>
      <c r="D320" s="8" t="s">
        <v>328</v>
      </c>
      <c r="E320" s="8" t="s">
        <v>346</v>
      </c>
      <c r="F320" s="8">
        <v>56</v>
      </c>
      <c r="G320" s="22">
        <v>1512</v>
      </c>
      <c r="H320" s="22">
        <v>812</v>
      </c>
    </row>
    <row r="321" spans="1:8" x14ac:dyDescent="0.25">
      <c r="A321" s="75">
        <v>40619</v>
      </c>
      <c r="B321" s="8" t="s">
        <v>315</v>
      </c>
      <c r="C321" s="8" t="s">
        <v>310</v>
      </c>
      <c r="D321" s="8" t="s">
        <v>136</v>
      </c>
      <c r="E321" s="8" t="s">
        <v>322</v>
      </c>
      <c r="F321" s="8">
        <v>27</v>
      </c>
      <c r="G321" s="22">
        <v>621</v>
      </c>
      <c r="H321" s="22">
        <v>297</v>
      </c>
    </row>
    <row r="322" spans="1:8" x14ac:dyDescent="0.25">
      <c r="A322" s="75">
        <v>40588</v>
      </c>
      <c r="B322" s="8" t="s">
        <v>319</v>
      </c>
      <c r="C322" s="8" t="s">
        <v>308</v>
      </c>
      <c r="D322" s="8" t="s">
        <v>312</v>
      </c>
      <c r="E322" s="8" t="s">
        <v>330</v>
      </c>
      <c r="F322" s="8">
        <v>47</v>
      </c>
      <c r="G322" s="22">
        <v>1269</v>
      </c>
      <c r="H322" s="22">
        <v>681.5</v>
      </c>
    </row>
    <row r="323" spans="1:8" x14ac:dyDescent="0.25">
      <c r="A323" s="75">
        <v>40569</v>
      </c>
      <c r="B323" s="8" t="s">
        <v>321</v>
      </c>
      <c r="C323" s="8" t="s">
        <v>309</v>
      </c>
      <c r="D323" s="8" t="s">
        <v>132</v>
      </c>
      <c r="E323" s="8" t="s">
        <v>335</v>
      </c>
      <c r="F323" s="8">
        <v>41</v>
      </c>
      <c r="G323" s="22">
        <v>902</v>
      </c>
      <c r="H323" s="22">
        <v>410</v>
      </c>
    </row>
    <row r="324" spans="1:8" x14ac:dyDescent="0.25">
      <c r="A324" s="75">
        <v>40713</v>
      </c>
      <c r="B324" s="8" t="s">
        <v>319</v>
      </c>
      <c r="C324" s="8" t="s">
        <v>309</v>
      </c>
      <c r="D324" s="8" t="s">
        <v>136</v>
      </c>
      <c r="E324" s="8" t="s">
        <v>335</v>
      </c>
      <c r="F324" s="8">
        <v>41</v>
      </c>
      <c r="G324" s="22">
        <v>1107</v>
      </c>
      <c r="H324" s="22">
        <v>594.5</v>
      </c>
    </row>
    <row r="325" spans="1:8" x14ac:dyDescent="0.25">
      <c r="A325" s="75">
        <v>40591</v>
      </c>
      <c r="B325" s="8" t="s">
        <v>315</v>
      </c>
      <c r="C325" s="8" t="s">
        <v>307</v>
      </c>
      <c r="D325" s="8" t="s">
        <v>132</v>
      </c>
      <c r="E325" s="8" t="s">
        <v>330</v>
      </c>
      <c r="F325" s="8">
        <v>45</v>
      </c>
      <c r="G325" s="22">
        <v>1035</v>
      </c>
      <c r="H325" s="22">
        <v>495</v>
      </c>
    </row>
    <row r="326" spans="1:8" x14ac:dyDescent="0.25">
      <c r="A326" s="75">
        <v>40624</v>
      </c>
      <c r="B326" s="8" t="s">
        <v>317</v>
      </c>
      <c r="C326" s="8" t="s">
        <v>308</v>
      </c>
      <c r="D326" s="8" t="s">
        <v>328</v>
      </c>
      <c r="E326" s="8" t="s">
        <v>331</v>
      </c>
      <c r="F326" s="8">
        <v>12</v>
      </c>
      <c r="G326" s="22">
        <v>252</v>
      </c>
      <c r="H326" s="22">
        <v>111</v>
      </c>
    </row>
    <row r="327" spans="1:8" x14ac:dyDescent="0.25">
      <c r="A327" s="75">
        <v>40552</v>
      </c>
      <c r="B327" s="8" t="s">
        <v>319</v>
      </c>
      <c r="C327" s="8" t="s">
        <v>307</v>
      </c>
      <c r="D327" s="8" t="s">
        <v>312</v>
      </c>
      <c r="E327" s="8" t="s">
        <v>318</v>
      </c>
      <c r="F327" s="8">
        <v>47</v>
      </c>
      <c r="G327" s="22">
        <v>1269</v>
      </c>
      <c r="H327" s="22">
        <v>681.5</v>
      </c>
    </row>
    <row r="328" spans="1:8" x14ac:dyDescent="0.25">
      <c r="A328" s="75">
        <v>40714</v>
      </c>
      <c r="B328" s="8" t="s">
        <v>311</v>
      </c>
      <c r="C328" s="8" t="s">
        <v>308</v>
      </c>
      <c r="D328" s="8" t="s">
        <v>3</v>
      </c>
      <c r="E328" s="8" t="s">
        <v>346</v>
      </c>
      <c r="F328" s="8">
        <v>50</v>
      </c>
      <c r="G328" s="22">
        <v>950</v>
      </c>
      <c r="H328" s="22">
        <v>400</v>
      </c>
    </row>
    <row r="329" spans="1:8" x14ac:dyDescent="0.25">
      <c r="A329" s="75">
        <v>40644</v>
      </c>
      <c r="B329" s="8" t="s">
        <v>321</v>
      </c>
      <c r="C329" s="8" t="s">
        <v>310</v>
      </c>
      <c r="D329" s="8" t="s">
        <v>132</v>
      </c>
      <c r="E329" s="8" t="s">
        <v>340</v>
      </c>
      <c r="F329" s="8">
        <v>28</v>
      </c>
      <c r="G329" s="22">
        <v>616</v>
      </c>
      <c r="H329" s="22">
        <v>280</v>
      </c>
    </row>
    <row r="330" spans="1:8" x14ac:dyDescent="0.25">
      <c r="A330" s="75">
        <v>40604</v>
      </c>
      <c r="B330" s="8" t="s">
        <v>311</v>
      </c>
      <c r="C330" s="8" t="s">
        <v>308</v>
      </c>
      <c r="D330" s="8" t="s">
        <v>3</v>
      </c>
      <c r="E330" s="8" t="s">
        <v>334</v>
      </c>
      <c r="F330" s="8">
        <v>11</v>
      </c>
      <c r="G330" s="22">
        <v>209</v>
      </c>
      <c r="H330" s="22">
        <v>88</v>
      </c>
    </row>
    <row r="331" spans="1:8" x14ac:dyDescent="0.25">
      <c r="A331" s="75">
        <v>40659</v>
      </c>
      <c r="B331" s="8" t="s">
        <v>315</v>
      </c>
      <c r="C331" s="8" t="s">
        <v>307</v>
      </c>
      <c r="D331" s="8" t="s">
        <v>136</v>
      </c>
      <c r="E331" s="8" t="s">
        <v>326</v>
      </c>
      <c r="F331" s="8">
        <v>64</v>
      </c>
      <c r="G331" s="22">
        <v>1472</v>
      </c>
      <c r="H331" s="22">
        <v>704</v>
      </c>
    </row>
    <row r="332" spans="1:8" x14ac:dyDescent="0.25">
      <c r="A332" s="75">
        <v>40654</v>
      </c>
      <c r="B332" s="8" t="s">
        <v>315</v>
      </c>
      <c r="C332" s="8" t="s">
        <v>310</v>
      </c>
      <c r="D332" s="8" t="s">
        <v>3</v>
      </c>
      <c r="E332" s="8" t="s">
        <v>344</v>
      </c>
      <c r="F332" s="8">
        <v>22</v>
      </c>
      <c r="G332" s="22">
        <v>506</v>
      </c>
      <c r="H332" s="22">
        <v>242</v>
      </c>
    </row>
    <row r="333" spans="1:8" x14ac:dyDescent="0.25">
      <c r="A333" s="75">
        <v>40697</v>
      </c>
      <c r="B333" s="8" t="s">
        <v>319</v>
      </c>
      <c r="C333" s="8" t="s">
        <v>307</v>
      </c>
      <c r="D333" s="8" t="s">
        <v>136</v>
      </c>
      <c r="E333" s="8" t="s">
        <v>322</v>
      </c>
      <c r="F333" s="8">
        <v>7</v>
      </c>
      <c r="G333" s="22">
        <v>189</v>
      </c>
      <c r="H333" s="22">
        <v>101.5</v>
      </c>
    </row>
    <row r="334" spans="1:8" x14ac:dyDescent="0.25">
      <c r="A334" s="75">
        <v>40564</v>
      </c>
      <c r="B334" s="8" t="s">
        <v>315</v>
      </c>
      <c r="C334" s="8" t="s">
        <v>307</v>
      </c>
      <c r="D334" s="8" t="s">
        <v>136</v>
      </c>
      <c r="E334" s="8" t="s">
        <v>344</v>
      </c>
      <c r="F334" s="8">
        <v>39</v>
      </c>
      <c r="G334" s="22">
        <v>897</v>
      </c>
      <c r="H334" s="22">
        <v>429</v>
      </c>
    </row>
    <row r="335" spans="1:8" x14ac:dyDescent="0.25">
      <c r="A335" s="75">
        <v>40604</v>
      </c>
      <c r="B335" s="8" t="s">
        <v>319</v>
      </c>
      <c r="C335" s="8" t="s">
        <v>307</v>
      </c>
      <c r="D335" s="8" t="s">
        <v>3</v>
      </c>
      <c r="E335" s="8" t="s">
        <v>348</v>
      </c>
      <c r="F335" s="8">
        <v>49</v>
      </c>
      <c r="G335" s="22">
        <v>1323</v>
      </c>
      <c r="H335" s="22">
        <v>710.5</v>
      </c>
    </row>
    <row r="336" spans="1:8" x14ac:dyDescent="0.25">
      <c r="A336" s="75">
        <v>40658</v>
      </c>
      <c r="B336" s="8" t="s">
        <v>311</v>
      </c>
      <c r="C336" s="8" t="s">
        <v>307</v>
      </c>
      <c r="D336" s="8" t="s">
        <v>328</v>
      </c>
      <c r="E336" s="8" t="s">
        <v>314</v>
      </c>
      <c r="F336" s="8">
        <v>13</v>
      </c>
      <c r="G336" s="22">
        <v>247</v>
      </c>
      <c r="H336" s="22">
        <v>104</v>
      </c>
    </row>
    <row r="337" spans="1:8" x14ac:dyDescent="0.25">
      <c r="A337" s="75">
        <v>40677</v>
      </c>
      <c r="B337" s="8" t="s">
        <v>321</v>
      </c>
      <c r="C337" s="8" t="s">
        <v>310</v>
      </c>
      <c r="D337" s="8" t="s">
        <v>312</v>
      </c>
      <c r="E337" s="8" t="s">
        <v>332</v>
      </c>
      <c r="F337" s="8">
        <v>26</v>
      </c>
      <c r="G337" s="22">
        <v>572</v>
      </c>
      <c r="H337" s="22">
        <v>260</v>
      </c>
    </row>
    <row r="338" spans="1:8" x14ac:dyDescent="0.25">
      <c r="A338" s="75">
        <v>40713</v>
      </c>
      <c r="B338" s="8" t="s">
        <v>319</v>
      </c>
      <c r="C338" s="8" t="s">
        <v>310</v>
      </c>
      <c r="D338" s="8" t="s">
        <v>7</v>
      </c>
      <c r="E338" s="8" t="s">
        <v>337</v>
      </c>
      <c r="F338" s="8">
        <v>22</v>
      </c>
      <c r="G338" s="22">
        <v>594</v>
      </c>
      <c r="H338" s="22">
        <v>319</v>
      </c>
    </row>
    <row r="339" spans="1:8" x14ac:dyDescent="0.25">
      <c r="A339" s="75">
        <v>40712</v>
      </c>
      <c r="B339" s="8" t="s">
        <v>321</v>
      </c>
      <c r="C339" s="8" t="s">
        <v>308</v>
      </c>
      <c r="D339" s="8" t="s">
        <v>328</v>
      </c>
      <c r="E339" s="8" t="s">
        <v>345</v>
      </c>
      <c r="F339" s="8">
        <v>65</v>
      </c>
      <c r="G339" s="22">
        <v>1430</v>
      </c>
      <c r="H339" s="22">
        <v>650</v>
      </c>
    </row>
    <row r="340" spans="1:8" x14ac:dyDescent="0.25">
      <c r="A340" s="75">
        <v>40684</v>
      </c>
      <c r="B340" s="8" t="s">
        <v>321</v>
      </c>
      <c r="C340" s="8" t="s">
        <v>309</v>
      </c>
      <c r="D340" s="8" t="s">
        <v>328</v>
      </c>
      <c r="E340" s="8" t="s">
        <v>346</v>
      </c>
      <c r="F340" s="8">
        <v>18</v>
      </c>
      <c r="G340" s="22">
        <v>396</v>
      </c>
      <c r="H340" s="22">
        <v>180</v>
      </c>
    </row>
    <row r="341" spans="1:8" x14ac:dyDescent="0.25">
      <c r="A341" s="75">
        <v>40678</v>
      </c>
      <c r="B341" s="8" t="s">
        <v>319</v>
      </c>
      <c r="C341" s="8" t="s">
        <v>310</v>
      </c>
      <c r="D341" s="8" t="s">
        <v>7</v>
      </c>
      <c r="E341" s="8" t="s">
        <v>348</v>
      </c>
      <c r="F341" s="8">
        <v>61</v>
      </c>
      <c r="G341" s="22">
        <v>1647</v>
      </c>
      <c r="H341" s="22">
        <v>884.5</v>
      </c>
    </row>
    <row r="342" spans="1:8" x14ac:dyDescent="0.25">
      <c r="A342" s="75">
        <v>40610</v>
      </c>
      <c r="B342" s="8" t="s">
        <v>311</v>
      </c>
      <c r="C342" s="8" t="s">
        <v>308</v>
      </c>
      <c r="D342" s="8" t="s">
        <v>132</v>
      </c>
      <c r="E342" s="8" t="s">
        <v>322</v>
      </c>
      <c r="F342" s="8">
        <v>38</v>
      </c>
      <c r="G342" s="22">
        <v>722</v>
      </c>
      <c r="H342" s="22">
        <v>304</v>
      </c>
    </row>
    <row r="343" spans="1:8" x14ac:dyDescent="0.25">
      <c r="A343" s="75">
        <v>40652</v>
      </c>
      <c r="B343" s="8" t="s">
        <v>319</v>
      </c>
      <c r="C343" s="8" t="s">
        <v>307</v>
      </c>
      <c r="D343" s="8" t="s">
        <v>328</v>
      </c>
      <c r="E343" s="8" t="s">
        <v>429</v>
      </c>
      <c r="F343" s="8">
        <v>28</v>
      </c>
      <c r="G343" s="22">
        <v>756</v>
      </c>
      <c r="H343" s="22">
        <v>406</v>
      </c>
    </row>
    <row r="344" spans="1:8" x14ac:dyDescent="0.25">
      <c r="A344" s="75">
        <v>40651</v>
      </c>
      <c r="B344" s="8" t="s">
        <v>315</v>
      </c>
      <c r="C344" s="8" t="s">
        <v>309</v>
      </c>
      <c r="D344" s="8" t="s">
        <v>136</v>
      </c>
      <c r="E344" s="8" t="s">
        <v>313</v>
      </c>
      <c r="F344" s="8">
        <v>17</v>
      </c>
      <c r="G344" s="22">
        <v>391</v>
      </c>
      <c r="H344" s="22">
        <v>187</v>
      </c>
    </row>
    <row r="345" spans="1:8" x14ac:dyDescent="0.25">
      <c r="A345" s="75">
        <v>40624</v>
      </c>
      <c r="B345" s="8" t="s">
        <v>315</v>
      </c>
      <c r="C345" s="8" t="s">
        <v>308</v>
      </c>
      <c r="D345" s="8" t="s">
        <v>132</v>
      </c>
      <c r="E345" s="8" t="s">
        <v>342</v>
      </c>
      <c r="F345" s="8">
        <v>28</v>
      </c>
      <c r="G345" s="22">
        <v>644</v>
      </c>
      <c r="H345" s="22">
        <v>308</v>
      </c>
    </row>
    <row r="346" spans="1:8" x14ac:dyDescent="0.25">
      <c r="A346" s="75">
        <v>40588</v>
      </c>
      <c r="B346" s="8" t="s">
        <v>319</v>
      </c>
      <c r="C346" s="8" t="s">
        <v>308</v>
      </c>
      <c r="D346" s="8" t="s">
        <v>3</v>
      </c>
      <c r="E346" s="8" t="s">
        <v>330</v>
      </c>
      <c r="F346" s="8">
        <v>37</v>
      </c>
      <c r="G346" s="22">
        <v>999</v>
      </c>
      <c r="H346" s="22">
        <v>536.5</v>
      </c>
    </row>
    <row r="347" spans="1:8" x14ac:dyDescent="0.25">
      <c r="A347" s="75">
        <v>40601</v>
      </c>
      <c r="B347" s="8" t="s">
        <v>317</v>
      </c>
      <c r="C347" s="8" t="s">
        <v>308</v>
      </c>
      <c r="D347" s="8" t="s">
        <v>132</v>
      </c>
      <c r="E347" s="8" t="s">
        <v>327</v>
      </c>
      <c r="F347" s="8">
        <v>51</v>
      </c>
      <c r="G347" s="22">
        <v>1071</v>
      </c>
      <c r="H347" s="22">
        <v>471.75</v>
      </c>
    </row>
    <row r="348" spans="1:8" x14ac:dyDescent="0.25">
      <c r="A348" s="75">
        <v>40672</v>
      </c>
      <c r="B348" s="8" t="s">
        <v>317</v>
      </c>
      <c r="C348" s="8" t="s">
        <v>308</v>
      </c>
      <c r="D348" s="8" t="s">
        <v>3</v>
      </c>
      <c r="E348" s="8" t="s">
        <v>347</v>
      </c>
      <c r="F348" s="8">
        <v>51</v>
      </c>
      <c r="G348" s="22">
        <v>1071</v>
      </c>
      <c r="H348" s="22">
        <v>471.75</v>
      </c>
    </row>
    <row r="349" spans="1:8" x14ac:dyDescent="0.25">
      <c r="A349" s="75">
        <v>40647</v>
      </c>
      <c r="B349" s="8" t="s">
        <v>311</v>
      </c>
      <c r="C349" s="8" t="s">
        <v>309</v>
      </c>
      <c r="D349" s="8" t="s">
        <v>136</v>
      </c>
      <c r="E349" s="8" t="s">
        <v>329</v>
      </c>
      <c r="F349" s="8">
        <v>32</v>
      </c>
      <c r="G349" s="22">
        <v>608</v>
      </c>
      <c r="H349" s="22">
        <v>256</v>
      </c>
    </row>
    <row r="350" spans="1:8" x14ac:dyDescent="0.25">
      <c r="A350" s="75">
        <v>40706</v>
      </c>
      <c r="B350" s="8" t="s">
        <v>319</v>
      </c>
      <c r="C350" s="8" t="s">
        <v>308</v>
      </c>
      <c r="D350" s="8" t="s">
        <v>312</v>
      </c>
      <c r="E350" s="8" t="s">
        <v>334</v>
      </c>
      <c r="F350" s="8">
        <v>34</v>
      </c>
      <c r="G350" s="22">
        <v>918</v>
      </c>
      <c r="H350" s="22">
        <v>493</v>
      </c>
    </row>
    <row r="351" spans="1:8" x14ac:dyDescent="0.25">
      <c r="A351" s="75">
        <v>40721</v>
      </c>
      <c r="B351" s="8" t="s">
        <v>321</v>
      </c>
      <c r="C351" s="8" t="s">
        <v>309</v>
      </c>
      <c r="D351" s="8" t="s">
        <v>312</v>
      </c>
      <c r="E351" s="8" t="s">
        <v>344</v>
      </c>
      <c r="F351" s="8">
        <v>35</v>
      </c>
      <c r="G351" s="22">
        <v>770</v>
      </c>
      <c r="H351" s="22">
        <v>350</v>
      </c>
    </row>
    <row r="352" spans="1:8" x14ac:dyDescent="0.25">
      <c r="A352" s="75">
        <v>40691</v>
      </c>
      <c r="B352" s="8" t="s">
        <v>319</v>
      </c>
      <c r="C352" s="8" t="s">
        <v>310</v>
      </c>
      <c r="D352" s="8" t="s">
        <v>7</v>
      </c>
      <c r="E352" s="8" t="s">
        <v>341</v>
      </c>
      <c r="F352" s="8">
        <v>10</v>
      </c>
      <c r="G352" s="22">
        <v>270</v>
      </c>
      <c r="H352" s="22">
        <v>145</v>
      </c>
    </row>
    <row r="353" spans="1:8" x14ac:dyDescent="0.25">
      <c r="A353" s="75">
        <v>40642</v>
      </c>
      <c r="B353" s="8" t="s">
        <v>321</v>
      </c>
      <c r="C353" s="8" t="s">
        <v>308</v>
      </c>
      <c r="D353" s="8" t="s">
        <v>312</v>
      </c>
      <c r="E353" s="8" t="s">
        <v>334</v>
      </c>
      <c r="F353" s="8">
        <v>16</v>
      </c>
      <c r="G353" s="22">
        <v>352</v>
      </c>
      <c r="H353" s="22">
        <v>160</v>
      </c>
    </row>
    <row r="354" spans="1:8" x14ac:dyDescent="0.25">
      <c r="A354" s="75">
        <v>40717</v>
      </c>
      <c r="B354" s="8" t="s">
        <v>319</v>
      </c>
      <c r="C354" s="8" t="s">
        <v>307</v>
      </c>
      <c r="D354" s="8" t="s">
        <v>7</v>
      </c>
      <c r="E354" s="8" t="s">
        <v>340</v>
      </c>
      <c r="F354" s="8">
        <v>26</v>
      </c>
      <c r="G354" s="22">
        <v>702</v>
      </c>
      <c r="H354" s="22">
        <v>377</v>
      </c>
    </row>
    <row r="355" spans="1:8" x14ac:dyDescent="0.25">
      <c r="A355" s="75">
        <v>40653</v>
      </c>
      <c r="B355" s="8" t="s">
        <v>319</v>
      </c>
      <c r="C355" s="8" t="s">
        <v>308</v>
      </c>
      <c r="D355" s="8" t="s">
        <v>132</v>
      </c>
      <c r="E355" s="8" t="s">
        <v>330</v>
      </c>
      <c r="F355" s="8">
        <v>64</v>
      </c>
      <c r="G355" s="22">
        <v>1728</v>
      </c>
      <c r="H355" s="22">
        <v>928</v>
      </c>
    </row>
    <row r="356" spans="1:8" x14ac:dyDescent="0.25">
      <c r="A356" s="75">
        <v>40621</v>
      </c>
      <c r="B356" s="8" t="s">
        <v>317</v>
      </c>
      <c r="C356" s="8" t="s">
        <v>309</v>
      </c>
      <c r="D356" s="8" t="s">
        <v>328</v>
      </c>
      <c r="E356" s="8" t="s">
        <v>429</v>
      </c>
      <c r="F356" s="8">
        <v>45</v>
      </c>
      <c r="G356" s="22">
        <v>945</v>
      </c>
      <c r="H356" s="22">
        <v>416.25</v>
      </c>
    </row>
    <row r="357" spans="1:8" x14ac:dyDescent="0.25">
      <c r="A357" s="75">
        <v>40544</v>
      </c>
      <c r="B357" s="8" t="s">
        <v>317</v>
      </c>
      <c r="C357" s="8" t="s">
        <v>309</v>
      </c>
      <c r="D357" s="8" t="s">
        <v>7</v>
      </c>
      <c r="E357" s="8" t="s">
        <v>346</v>
      </c>
      <c r="F357" s="8">
        <v>40</v>
      </c>
      <c r="G357" s="22">
        <v>840</v>
      </c>
      <c r="H357" s="22">
        <v>370</v>
      </c>
    </row>
    <row r="358" spans="1:8" x14ac:dyDescent="0.25">
      <c r="A358" s="75">
        <v>40562</v>
      </c>
      <c r="B358" s="8" t="s">
        <v>317</v>
      </c>
      <c r="C358" s="8" t="s">
        <v>308</v>
      </c>
      <c r="D358" s="8" t="s">
        <v>132</v>
      </c>
      <c r="E358" s="8" t="s">
        <v>331</v>
      </c>
      <c r="F358" s="8">
        <v>32</v>
      </c>
      <c r="G358" s="22">
        <v>672</v>
      </c>
      <c r="H358" s="22">
        <v>296</v>
      </c>
    </row>
    <row r="359" spans="1:8" x14ac:dyDescent="0.25">
      <c r="A359" s="75">
        <v>40564</v>
      </c>
      <c r="B359" s="8" t="s">
        <v>319</v>
      </c>
      <c r="C359" s="8" t="s">
        <v>309</v>
      </c>
      <c r="D359" s="8" t="s">
        <v>328</v>
      </c>
      <c r="E359" s="8" t="s">
        <v>335</v>
      </c>
      <c r="F359" s="8">
        <v>36</v>
      </c>
      <c r="G359" s="22">
        <v>972</v>
      </c>
      <c r="H359" s="22">
        <v>522</v>
      </c>
    </row>
    <row r="360" spans="1:8" x14ac:dyDescent="0.25">
      <c r="A360" s="75">
        <v>40577</v>
      </c>
      <c r="B360" s="8" t="s">
        <v>317</v>
      </c>
      <c r="C360" s="8" t="s">
        <v>308</v>
      </c>
      <c r="D360" s="8" t="s">
        <v>132</v>
      </c>
      <c r="E360" s="8" t="s">
        <v>432</v>
      </c>
      <c r="F360" s="8">
        <v>17</v>
      </c>
      <c r="G360" s="22">
        <v>357</v>
      </c>
      <c r="H360" s="22">
        <v>157.25</v>
      </c>
    </row>
    <row r="361" spans="1:8" x14ac:dyDescent="0.25">
      <c r="A361" s="75">
        <v>40643</v>
      </c>
      <c r="B361" s="8" t="s">
        <v>321</v>
      </c>
      <c r="C361" s="8" t="s">
        <v>308</v>
      </c>
      <c r="D361" s="8" t="s">
        <v>328</v>
      </c>
      <c r="E361" s="8" t="s">
        <v>343</v>
      </c>
      <c r="F361" s="8">
        <v>7</v>
      </c>
      <c r="G361" s="22">
        <v>154</v>
      </c>
      <c r="H361" s="22">
        <v>70</v>
      </c>
    </row>
    <row r="362" spans="1:8" x14ac:dyDescent="0.25">
      <c r="A362" s="75">
        <v>40567</v>
      </c>
      <c r="B362" s="8" t="s">
        <v>317</v>
      </c>
      <c r="C362" s="8" t="s">
        <v>309</v>
      </c>
      <c r="D362" s="8" t="s">
        <v>312</v>
      </c>
      <c r="E362" s="8" t="s">
        <v>348</v>
      </c>
      <c r="F362" s="8">
        <v>49</v>
      </c>
      <c r="G362" s="22">
        <v>1029</v>
      </c>
      <c r="H362" s="22">
        <v>453.25</v>
      </c>
    </row>
    <row r="363" spans="1:8" x14ac:dyDescent="0.25">
      <c r="A363" s="75">
        <v>40605</v>
      </c>
      <c r="B363" s="8" t="s">
        <v>319</v>
      </c>
      <c r="C363" s="8" t="s">
        <v>309</v>
      </c>
      <c r="D363" s="8" t="s">
        <v>328</v>
      </c>
      <c r="E363" s="8" t="s">
        <v>342</v>
      </c>
      <c r="F363" s="8">
        <v>33</v>
      </c>
      <c r="G363" s="22">
        <v>891</v>
      </c>
      <c r="H363" s="22">
        <v>478.5</v>
      </c>
    </row>
    <row r="364" spans="1:8" x14ac:dyDescent="0.25">
      <c r="A364" s="75">
        <v>40601</v>
      </c>
      <c r="B364" s="8" t="s">
        <v>321</v>
      </c>
      <c r="C364" s="8" t="s">
        <v>309</v>
      </c>
      <c r="D364" s="8" t="s">
        <v>312</v>
      </c>
      <c r="E364" s="8" t="s">
        <v>330</v>
      </c>
      <c r="F364" s="8">
        <v>22</v>
      </c>
      <c r="G364" s="22">
        <v>484</v>
      </c>
      <c r="H364" s="22">
        <v>220</v>
      </c>
    </row>
    <row r="365" spans="1:8" x14ac:dyDescent="0.25">
      <c r="A365" s="75">
        <v>40699</v>
      </c>
      <c r="B365" s="8" t="s">
        <v>319</v>
      </c>
      <c r="C365" s="8" t="s">
        <v>310</v>
      </c>
      <c r="D365" s="8" t="s">
        <v>328</v>
      </c>
      <c r="E365" s="8" t="s">
        <v>348</v>
      </c>
      <c r="F365" s="8">
        <v>16</v>
      </c>
      <c r="G365" s="22">
        <v>432</v>
      </c>
      <c r="H365" s="22">
        <v>232</v>
      </c>
    </row>
    <row r="366" spans="1:8" x14ac:dyDescent="0.25">
      <c r="A366" s="75">
        <v>40627</v>
      </c>
      <c r="B366" s="8" t="s">
        <v>317</v>
      </c>
      <c r="C366" s="8" t="s">
        <v>308</v>
      </c>
      <c r="D366" s="8" t="s">
        <v>328</v>
      </c>
      <c r="E366" s="8" t="s">
        <v>329</v>
      </c>
      <c r="F366" s="8">
        <v>18</v>
      </c>
      <c r="G366" s="22">
        <v>378</v>
      </c>
      <c r="H366" s="22">
        <v>166.5</v>
      </c>
    </row>
    <row r="367" spans="1:8" x14ac:dyDescent="0.25">
      <c r="A367" s="75">
        <v>40626</v>
      </c>
      <c r="B367" s="8" t="s">
        <v>315</v>
      </c>
      <c r="C367" s="8" t="s">
        <v>307</v>
      </c>
      <c r="D367" s="8" t="s">
        <v>328</v>
      </c>
      <c r="E367" s="8" t="s">
        <v>320</v>
      </c>
      <c r="F367" s="8">
        <v>51</v>
      </c>
      <c r="G367" s="22">
        <v>1173</v>
      </c>
      <c r="H367" s="22">
        <v>561</v>
      </c>
    </row>
    <row r="368" spans="1:8" x14ac:dyDescent="0.25">
      <c r="A368" s="75">
        <v>40710</v>
      </c>
      <c r="B368" s="8" t="s">
        <v>311</v>
      </c>
      <c r="C368" s="8" t="s">
        <v>310</v>
      </c>
      <c r="D368" s="8" t="s">
        <v>312</v>
      </c>
      <c r="E368" s="8" t="s">
        <v>341</v>
      </c>
      <c r="F368" s="8">
        <v>34</v>
      </c>
      <c r="G368" s="22">
        <v>646</v>
      </c>
      <c r="H368" s="22">
        <v>272</v>
      </c>
    </row>
    <row r="369" spans="1:8" x14ac:dyDescent="0.25">
      <c r="A369" s="75">
        <v>40596</v>
      </c>
      <c r="B369" s="8" t="s">
        <v>315</v>
      </c>
      <c r="C369" s="8" t="s">
        <v>307</v>
      </c>
      <c r="D369" s="8" t="s">
        <v>328</v>
      </c>
      <c r="E369" s="8" t="s">
        <v>336</v>
      </c>
      <c r="F369" s="8">
        <v>63</v>
      </c>
      <c r="G369" s="22">
        <v>1449</v>
      </c>
      <c r="H369" s="22">
        <v>693</v>
      </c>
    </row>
    <row r="370" spans="1:8" x14ac:dyDescent="0.25">
      <c r="A370" s="75">
        <v>40676</v>
      </c>
      <c r="B370" s="8" t="s">
        <v>315</v>
      </c>
      <c r="C370" s="8" t="s">
        <v>307</v>
      </c>
      <c r="D370" s="8" t="s">
        <v>3</v>
      </c>
      <c r="E370" s="8" t="s">
        <v>428</v>
      </c>
      <c r="F370" s="8">
        <v>28</v>
      </c>
      <c r="G370" s="22">
        <v>644</v>
      </c>
      <c r="H370" s="22">
        <v>308</v>
      </c>
    </row>
    <row r="371" spans="1:8" x14ac:dyDescent="0.25">
      <c r="A371" s="75">
        <v>40712</v>
      </c>
      <c r="B371" s="8" t="s">
        <v>319</v>
      </c>
      <c r="C371" s="8" t="s">
        <v>309</v>
      </c>
      <c r="D371" s="8" t="s">
        <v>328</v>
      </c>
      <c r="E371" s="8" t="s">
        <v>322</v>
      </c>
      <c r="F371" s="8">
        <v>44</v>
      </c>
      <c r="G371" s="22">
        <v>1188</v>
      </c>
      <c r="H371" s="22">
        <v>638</v>
      </c>
    </row>
    <row r="372" spans="1:8" x14ac:dyDescent="0.25">
      <c r="A372" s="75">
        <v>40617</v>
      </c>
      <c r="B372" s="8" t="s">
        <v>315</v>
      </c>
      <c r="C372" s="8" t="s">
        <v>308</v>
      </c>
      <c r="D372" s="8" t="s">
        <v>3</v>
      </c>
      <c r="E372" s="8" t="s">
        <v>318</v>
      </c>
      <c r="F372" s="8">
        <v>55</v>
      </c>
      <c r="G372" s="22">
        <v>1265</v>
      </c>
      <c r="H372" s="22">
        <v>605</v>
      </c>
    </row>
    <row r="373" spans="1:8" x14ac:dyDescent="0.25">
      <c r="A373" s="75">
        <v>40597</v>
      </c>
      <c r="B373" s="8" t="s">
        <v>315</v>
      </c>
      <c r="C373" s="8" t="s">
        <v>308</v>
      </c>
      <c r="D373" s="8" t="s">
        <v>136</v>
      </c>
      <c r="E373" s="8" t="s">
        <v>324</v>
      </c>
      <c r="F373" s="8">
        <v>63</v>
      </c>
      <c r="G373" s="22">
        <v>1449</v>
      </c>
      <c r="H373" s="22">
        <v>693</v>
      </c>
    </row>
    <row r="374" spans="1:8" x14ac:dyDescent="0.25">
      <c r="A374" s="75">
        <v>40622</v>
      </c>
      <c r="B374" s="8" t="s">
        <v>321</v>
      </c>
      <c r="C374" s="8" t="s">
        <v>308</v>
      </c>
      <c r="D374" s="8" t="s">
        <v>3</v>
      </c>
      <c r="E374" s="8" t="s">
        <v>340</v>
      </c>
      <c r="F374" s="8">
        <v>6</v>
      </c>
      <c r="G374" s="22">
        <v>132</v>
      </c>
      <c r="H374" s="22">
        <v>60</v>
      </c>
    </row>
    <row r="375" spans="1:8" x14ac:dyDescent="0.25">
      <c r="A375" s="75">
        <v>40629</v>
      </c>
      <c r="B375" s="8" t="s">
        <v>315</v>
      </c>
      <c r="C375" s="8" t="s">
        <v>307</v>
      </c>
      <c r="D375" s="8" t="s">
        <v>312</v>
      </c>
      <c r="E375" s="8" t="s">
        <v>341</v>
      </c>
      <c r="F375" s="8">
        <v>22</v>
      </c>
      <c r="G375" s="22">
        <v>506</v>
      </c>
      <c r="H375" s="22">
        <v>242</v>
      </c>
    </row>
    <row r="376" spans="1:8" x14ac:dyDescent="0.25">
      <c r="A376" s="75">
        <v>40559</v>
      </c>
      <c r="B376" s="8" t="s">
        <v>317</v>
      </c>
      <c r="C376" s="8" t="s">
        <v>309</v>
      </c>
      <c r="D376" s="8" t="s">
        <v>132</v>
      </c>
      <c r="E376" s="8" t="s">
        <v>322</v>
      </c>
      <c r="F376" s="8">
        <v>30</v>
      </c>
      <c r="G376" s="22">
        <v>630</v>
      </c>
      <c r="H376" s="22">
        <v>277.5</v>
      </c>
    </row>
    <row r="377" spans="1:8" x14ac:dyDescent="0.25">
      <c r="A377" s="75">
        <v>40614</v>
      </c>
      <c r="B377" s="8" t="s">
        <v>317</v>
      </c>
      <c r="C377" s="8" t="s">
        <v>310</v>
      </c>
      <c r="D377" s="8" t="s">
        <v>136</v>
      </c>
      <c r="E377" s="8" t="s">
        <v>330</v>
      </c>
      <c r="F377" s="8">
        <v>31</v>
      </c>
      <c r="G377" s="22">
        <v>651</v>
      </c>
      <c r="H377" s="22">
        <v>286.75</v>
      </c>
    </row>
    <row r="378" spans="1:8" x14ac:dyDescent="0.25">
      <c r="A378" s="75">
        <v>40639</v>
      </c>
      <c r="B378" s="8" t="s">
        <v>317</v>
      </c>
      <c r="C378" s="8" t="s">
        <v>308</v>
      </c>
      <c r="D378" s="8" t="s">
        <v>7</v>
      </c>
      <c r="E378" s="8" t="s">
        <v>322</v>
      </c>
      <c r="F378" s="8">
        <v>55</v>
      </c>
      <c r="G378" s="22">
        <v>1155</v>
      </c>
      <c r="H378" s="22">
        <v>508.75</v>
      </c>
    </row>
    <row r="379" spans="1:8" x14ac:dyDescent="0.25">
      <c r="A379" s="75">
        <v>40626</v>
      </c>
      <c r="B379" s="8" t="s">
        <v>321</v>
      </c>
      <c r="C379" s="8" t="s">
        <v>310</v>
      </c>
      <c r="D379" s="8" t="s">
        <v>7</v>
      </c>
      <c r="E379" s="8" t="s">
        <v>314</v>
      </c>
      <c r="F379" s="8">
        <v>50</v>
      </c>
      <c r="G379" s="22">
        <v>1100</v>
      </c>
      <c r="H379" s="22">
        <v>500</v>
      </c>
    </row>
    <row r="380" spans="1:8" x14ac:dyDescent="0.25">
      <c r="A380" s="75">
        <v>40663</v>
      </c>
      <c r="B380" s="8" t="s">
        <v>319</v>
      </c>
      <c r="C380" s="8" t="s">
        <v>310</v>
      </c>
      <c r="D380" s="8" t="s">
        <v>328</v>
      </c>
      <c r="E380" s="8" t="s">
        <v>332</v>
      </c>
      <c r="F380" s="8">
        <v>55</v>
      </c>
      <c r="G380" s="22">
        <v>1485</v>
      </c>
      <c r="H380" s="22">
        <v>797.5</v>
      </c>
    </row>
    <row r="381" spans="1:8" x14ac:dyDescent="0.25">
      <c r="A381" s="75">
        <v>40685</v>
      </c>
      <c r="B381" s="8" t="s">
        <v>311</v>
      </c>
      <c r="C381" s="8" t="s">
        <v>310</v>
      </c>
      <c r="D381" s="8" t="s">
        <v>7</v>
      </c>
      <c r="E381" s="8" t="s">
        <v>329</v>
      </c>
      <c r="F381" s="8">
        <v>64</v>
      </c>
      <c r="G381" s="22">
        <v>1216</v>
      </c>
      <c r="H381" s="22">
        <v>512</v>
      </c>
    </row>
    <row r="382" spans="1:8" x14ac:dyDescent="0.25">
      <c r="A382" s="75">
        <v>40626</v>
      </c>
      <c r="B382" s="8" t="s">
        <v>315</v>
      </c>
      <c r="C382" s="8" t="s">
        <v>307</v>
      </c>
      <c r="D382" s="8" t="s">
        <v>312</v>
      </c>
      <c r="E382" s="8" t="s">
        <v>347</v>
      </c>
      <c r="F382" s="8">
        <v>45</v>
      </c>
      <c r="G382" s="22">
        <v>1035</v>
      </c>
      <c r="H382" s="22">
        <v>495</v>
      </c>
    </row>
    <row r="383" spans="1:8" x14ac:dyDescent="0.25">
      <c r="A383" s="75">
        <v>40592</v>
      </c>
      <c r="B383" s="8" t="s">
        <v>311</v>
      </c>
      <c r="C383" s="8" t="s">
        <v>310</v>
      </c>
      <c r="D383" s="8" t="s">
        <v>136</v>
      </c>
      <c r="E383" s="8" t="s">
        <v>324</v>
      </c>
      <c r="F383" s="8">
        <v>31</v>
      </c>
      <c r="G383" s="22">
        <v>589</v>
      </c>
      <c r="H383" s="22">
        <v>248</v>
      </c>
    </row>
    <row r="384" spans="1:8" x14ac:dyDescent="0.25">
      <c r="A384" s="75">
        <v>40609</v>
      </c>
      <c r="B384" s="8" t="s">
        <v>321</v>
      </c>
      <c r="C384" s="8" t="s">
        <v>307</v>
      </c>
      <c r="D384" s="8" t="s">
        <v>7</v>
      </c>
      <c r="E384" s="8" t="s">
        <v>327</v>
      </c>
      <c r="F384" s="8">
        <v>14</v>
      </c>
      <c r="G384" s="22">
        <v>308</v>
      </c>
      <c r="H384" s="22">
        <v>140</v>
      </c>
    </row>
    <row r="385" spans="1:8" x14ac:dyDescent="0.25">
      <c r="A385" s="75">
        <v>40635</v>
      </c>
      <c r="B385" s="8" t="s">
        <v>311</v>
      </c>
      <c r="C385" s="8" t="s">
        <v>309</v>
      </c>
      <c r="D385" s="8" t="s">
        <v>328</v>
      </c>
      <c r="E385" s="8" t="s">
        <v>432</v>
      </c>
      <c r="F385" s="8">
        <v>49</v>
      </c>
      <c r="G385" s="22">
        <v>931</v>
      </c>
      <c r="H385" s="22">
        <v>392</v>
      </c>
    </row>
    <row r="386" spans="1:8" x14ac:dyDescent="0.25">
      <c r="A386" s="75">
        <v>40689</v>
      </c>
      <c r="B386" s="8" t="s">
        <v>315</v>
      </c>
      <c r="C386" s="8" t="s">
        <v>307</v>
      </c>
      <c r="D386" s="8" t="s">
        <v>328</v>
      </c>
      <c r="E386" s="8" t="s">
        <v>341</v>
      </c>
      <c r="F386" s="8">
        <v>41</v>
      </c>
      <c r="G386" s="22">
        <v>943</v>
      </c>
      <c r="H386" s="22">
        <v>451</v>
      </c>
    </row>
    <row r="387" spans="1:8" x14ac:dyDescent="0.25">
      <c r="A387" s="75">
        <v>40685</v>
      </c>
      <c r="B387" s="8" t="s">
        <v>321</v>
      </c>
      <c r="C387" s="8" t="s">
        <v>309</v>
      </c>
      <c r="D387" s="8" t="s">
        <v>3</v>
      </c>
      <c r="E387" s="8" t="s">
        <v>322</v>
      </c>
      <c r="F387" s="8">
        <v>56</v>
      </c>
      <c r="G387" s="22">
        <v>1232</v>
      </c>
      <c r="H387" s="22">
        <v>560</v>
      </c>
    </row>
    <row r="388" spans="1:8" x14ac:dyDescent="0.25">
      <c r="A388" s="75">
        <v>40572</v>
      </c>
      <c r="B388" s="8" t="s">
        <v>311</v>
      </c>
      <c r="C388" s="8" t="s">
        <v>309</v>
      </c>
      <c r="D388" s="8" t="s">
        <v>3</v>
      </c>
      <c r="E388" s="8" t="s">
        <v>336</v>
      </c>
      <c r="F388" s="8">
        <v>14</v>
      </c>
      <c r="G388" s="22">
        <v>266</v>
      </c>
      <c r="H388" s="22">
        <v>112</v>
      </c>
    </row>
    <row r="389" spans="1:8" x14ac:dyDescent="0.25">
      <c r="A389" s="75">
        <v>40616</v>
      </c>
      <c r="B389" s="8" t="s">
        <v>311</v>
      </c>
      <c r="C389" s="8" t="s">
        <v>309</v>
      </c>
      <c r="D389" s="8" t="s">
        <v>7</v>
      </c>
      <c r="E389" s="8" t="s">
        <v>346</v>
      </c>
      <c r="F389" s="8">
        <v>39</v>
      </c>
      <c r="G389" s="22">
        <v>741</v>
      </c>
      <c r="H389" s="22">
        <v>312</v>
      </c>
    </row>
    <row r="390" spans="1:8" x14ac:dyDescent="0.25">
      <c r="A390" s="75">
        <v>40693</v>
      </c>
      <c r="B390" s="8" t="s">
        <v>321</v>
      </c>
      <c r="C390" s="8" t="s">
        <v>307</v>
      </c>
      <c r="D390" s="8" t="s">
        <v>136</v>
      </c>
      <c r="E390" s="8" t="s">
        <v>325</v>
      </c>
      <c r="F390" s="8">
        <v>42</v>
      </c>
      <c r="G390" s="22">
        <v>924</v>
      </c>
      <c r="H390" s="22">
        <v>420</v>
      </c>
    </row>
    <row r="391" spans="1:8" x14ac:dyDescent="0.25">
      <c r="A391" s="75">
        <v>40619</v>
      </c>
      <c r="B391" s="8" t="s">
        <v>317</v>
      </c>
      <c r="C391" s="8" t="s">
        <v>308</v>
      </c>
      <c r="D391" s="8" t="s">
        <v>312</v>
      </c>
      <c r="E391" s="8" t="s">
        <v>325</v>
      </c>
      <c r="F391" s="8">
        <v>40</v>
      </c>
      <c r="G391" s="22">
        <v>840</v>
      </c>
      <c r="H391" s="22">
        <v>370</v>
      </c>
    </row>
    <row r="392" spans="1:8" x14ac:dyDescent="0.25">
      <c r="A392" s="75">
        <v>40602</v>
      </c>
      <c r="B392" s="8" t="s">
        <v>319</v>
      </c>
      <c r="C392" s="8" t="s">
        <v>310</v>
      </c>
      <c r="D392" s="8" t="s">
        <v>7</v>
      </c>
      <c r="E392" s="8" t="s">
        <v>347</v>
      </c>
      <c r="F392" s="8">
        <v>15</v>
      </c>
      <c r="G392" s="22">
        <v>405</v>
      </c>
      <c r="H392" s="22">
        <v>217.5</v>
      </c>
    </row>
    <row r="393" spans="1:8" x14ac:dyDescent="0.25">
      <c r="A393" s="75">
        <v>40576</v>
      </c>
      <c r="B393" s="8" t="s">
        <v>311</v>
      </c>
      <c r="C393" s="8" t="s">
        <v>309</v>
      </c>
      <c r="D393" s="8" t="s">
        <v>7</v>
      </c>
      <c r="E393" s="8" t="s">
        <v>331</v>
      </c>
      <c r="F393" s="8">
        <v>26</v>
      </c>
      <c r="G393" s="22">
        <v>494</v>
      </c>
      <c r="H393" s="22">
        <v>208</v>
      </c>
    </row>
    <row r="394" spans="1:8" x14ac:dyDescent="0.25">
      <c r="A394" s="75">
        <v>40601</v>
      </c>
      <c r="B394" s="8" t="s">
        <v>317</v>
      </c>
      <c r="C394" s="8" t="s">
        <v>310</v>
      </c>
      <c r="D394" s="8" t="s">
        <v>328</v>
      </c>
      <c r="E394" s="8" t="s">
        <v>428</v>
      </c>
      <c r="F394" s="8">
        <v>6</v>
      </c>
      <c r="G394" s="22">
        <v>126</v>
      </c>
      <c r="H394" s="22">
        <v>55.5</v>
      </c>
    </row>
    <row r="395" spans="1:8" x14ac:dyDescent="0.25">
      <c r="A395" s="75">
        <v>40606</v>
      </c>
      <c r="B395" s="8" t="s">
        <v>317</v>
      </c>
      <c r="C395" s="8" t="s">
        <v>310</v>
      </c>
      <c r="D395" s="8" t="s">
        <v>3</v>
      </c>
      <c r="E395" s="8" t="s">
        <v>329</v>
      </c>
      <c r="F395" s="8">
        <v>7</v>
      </c>
      <c r="G395" s="22">
        <v>147</v>
      </c>
      <c r="H395" s="22">
        <v>64.75</v>
      </c>
    </row>
    <row r="396" spans="1:8" x14ac:dyDescent="0.25">
      <c r="A396" s="75">
        <v>40708</v>
      </c>
      <c r="B396" s="8" t="s">
        <v>311</v>
      </c>
      <c r="C396" s="8" t="s">
        <v>310</v>
      </c>
      <c r="D396" s="8" t="s">
        <v>3</v>
      </c>
      <c r="E396" s="8" t="s">
        <v>348</v>
      </c>
      <c r="F396" s="8">
        <v>50</v>
      </c>
      <c r="G396" s="22">
        <v>950</v>
      </c>
      <c r="H396" s="22">
        <v>400</v>
      </c>
    </row>
    <row r="397" spans="1:8" x14ac:dyDescent="0.25">
      <c r="A397" s="75">
        <v>40717</v>
      </c>
      <c r="B397" s="8" t="s">
        <v>315</v>
      </c>
      <c r="C397" s="8" t="s">
        <v>309</v>
      </c>
      <c r="D397" s="8" t="s">
        <v>312</v>
      </c>
      <c r="E397" s="8" t="s">
        <v>331</v>
      </c>
      <c r="F397" s="8">
        <v>57</v>
      </c>
      <c r="G397" s="22">
        <v>1311</v>
      </c>
      <c r="H397" s="22">
        <v>627</v>
      </c>
    </row>
    <row r="398" spans="1:8" x14ac:dyDescent="0.25">
      <c r="A398" s="75">
        <v>40632</v>
      </c>
      <c r="B398" s="8" t="s">
        <v>317</v>
      </c>
      <c r="C398" s="8" t="s">
        <v>310</v>
      </c>
      <c r="D398" s="8" t="s">
        <v>7</v>
      </c>
      <c r="E398" s="8" t="s">
        <v>314</v>
      </c>
      <c r="F398" s="8">
        <v>31</v>
      </c>
      <c r="G398" s="22">
        <v>651</v>
      </c>
      <c r="H398" s="22">
        <v>286.75</v>
      </c>
    </row>
    <row r="399" spans="1:8" x14ac:dyDescent="0.25">
      <c r="A399" s="75">
        <v>40602</v>
      </c>
      <c r="B399" s="8" t="s">
        <v>311</v>
      </c>
      <c r="C399" s="8" t="s">
        <v>308</v>
      </c>
      <c r="D399" s="8" t="s">
        <v>7</v>
      </c>
      <c r="E399" s="8" t="s">
        <v>428</v>
      </c>
      <c r="F399" s="8">
        <v>40</v>
      </c>
      <c r="G399" s="22">
        <v>760</v>
      </c>
      <c r="H399" s="22">
        <v>320</v>
      </c>
    </row>
    <row r="400" spans="1:8" x14ac:dyDescent="0.25">
      <c r="A400" s="75">
        <v>40669</v>
      </c>
      <c r="B400" s="8" t="s">
        <v>319</v>
      </c>
      <c r="C400" s="8" t="s">
        <v>308</v>
      </c>
      <c r="D400" s="8" t="s">
        <v>3</v>
      </c>
      <c r="E400" s="8" t="s">
        <v>325</v>
      </c>
      <c r="F400" s="8">
        <v>61</v>
      </c>
      <c r="G400" s="22">
        <v>1647</v>
      </c>
      <c r="H400" s="22">
        <v>884.5</v>
      </c>
    </row>
    <row r="401" spans="1:8" x14ac:dyDescent="0.25">
      <c r="A401" s="75">
        <v>40580</v>
      </c>
      <c r="B401" s="8" t="s">
        <v>317</v>
      </c>
      <c r="C401" s="8" t="s">
        <v>307</v>
      </c>
      <c r="D401" s="8" t="s">
        <v>312</v>
      </c>
      <c r="E401" s="8" t="s">
        <v>340</v>
      </c>
      <c r="F401" s="8">
        <v>27</v>
      </c>
      <c r="G401" s="22">
        <v>567</v>
      </c>
      <c r="H401" s="22">
        <v>249.75</v>
      </c>
    </row>
    <row r="402" spans="1:8" x14ac:dyDescent="0.25">
      <c r="A402" s="75">
        <v>40569</v>
      </c>
      <c r="B402" s="8" t="s">
        <v>317</v>
      </c>
      <c r="C402" s="8" t="s">
        <v>307</v>
      </c>
      <c r="D402" s="8" t="s">
        <v>132</v>
      </c>
      <c r="E402" s="8" t="s">
        <v>336</v>
      </c>
      <c r="F402" s="8">
        <v>41</v>
      </c>
      <c r="G402" s="22">
        <v>861</v>
      </c>
      <c r="H402" s="22">
        <v>379.25</v>
      </c>
    </row>
    <row r="403" spans="1:8" x14ac:dyDescent="0.25">
      <c r="A403" s="75">
        <v>40688</v>
      </c>
      <c r="B403" s="8" t="s">
        <v>321</v>
      </c>
      <c r="C403" s="8" t="s">
        <v>307</v>
      </c>
      <c r="D403" s="8" t="s">
        <v>312</v>
      </c>
      <c r="E403" s="8" t="s">
        <v>324</v>
      </c>
      <c r="F403" s="8">
        <v>51</v>
      </c>
      <c r="G403" s="22">
        <v>1122</v>
      </c>
      <c r="H403" s="22">
        <v>510</v>
      </c>
    </row>
    <row r="404" spans="1:8" x14ac:dyDescent="0.25">
      <c r="A404" s="75">
        <v>40615</v>
      </c>
      <c r="B404" s="8" t="s">
        <v>319</v>
      </c>
      <c r="C404" s="8" t="s">
        <v>310</v>
      </c>
      <c r="D404" s="8" t="s">
        <v>3</v>
      </c>
      <c r="E404" s="8" t="s">
        <v>344</v>
      </c>
      <c r="F404" s="8">
        <v>61</v>
      </c>
      <c r="G404" s="22">
        <v>1647</v>
      </c>
      <c r="H404" s="22">
        <v>884.5</v>
      </c>
    </row>
    <row r="405" spans="1:8" x14ac:dyDescent="0.25">
      <c r="A405" s="75">
        <v>40672</v>
      </c>
      <c r="B405" s="8" t="s">
        <v>311</v>
      </c>
      <c r="C405" s="8" t="s">
        <v>310</v>
      </c>
      <c r="D405" s="8" t="s">
        <v>132</v>
      </c>
      <c r="E405" s="8" t="s">
        <v>330</v>
      </c>
      <c r="F405" s="8">
        <v>30</v>
      </c>
      <c r="G405" s="22">
        <v>570</v>
      </c>
      <c r="H405" s="22">
        <v>240</v>
      </c>
    </row>
    <row r="406" spans="1:8" x14ac:dyDescent="0.25">
      <c r="A406" s="75">
        <v>40548</v>
      </c>
      <c r="B406" s="8" t="s">
        <v>317</v>
      </c>
      <c r="C406" s="8" t="s">
        <v>309</v>
      </c>
      <c r="D406" s="8" t="s">
        <v>136</v>
      </c>
      <c r="E406" s="8" t="s">
        <v>314</v>
      </c>
      <c r="F406" s="8">
        <v>28</v>
      </c>
      <c r="G406" s="22">
        <v>588</v>
      </c>
      <c r="H406" s="22">
        <v>259</v>
      </c>
    </row>
    <row r="407" spans="1:8" x14ac:dyDescent="0.25">
      <c r="A407" s="75">
        <v>40655</v>
      </c>
      <c r="B407" s="8" t="s">
        <v>319</v>
      </c>
      <c r="C407" s="8" t="s">
        <v>307</v>
      </c>
      <c r="D407" s="8" t="s">
        <v>132</v>
      </c>
      <c r="E407" s="8" t="s">
        <v>432</v>
      </c>
      <c r="F407" s="8">
        <v>63</v>
      </c>
      <c r="G407" s="22">
        <v>1701</v>
      </c>
      <c r="H407" s="22">
        <v>913.5</v>
      </c>
    </row>
    <row r="408" spans="1:8" x14ac:dyDescent="0.25">
      <c r="A408" s="75">
        <v>40556</v>
      </c>
      <c r="B408" s="8" t="s">
        <v>311</v>
      </c>
      <c r="C408" s="8" t="s">
        <v>310</v>
      </c>
      <c r="D408" s="8" t="s">
        <v>3</v>
      </c>
      <c r="E408" s="8" t="s">
        <v>429</v>
      </c>
      <c r="F408" s="8">
        <v>61</v>
      </c>
      <c r="G408" s="22">
        <v>1159</v>
      </c>
      <c r="H408" s="22">
        <v>488</v>
      </c>
    </row>
    <row r="409" spans="1:8" x14ac:dyDescent="0.25">
      <c r="A409" s="75">
        <v>40551</v>
      </c>
      <c r="B409" s="8" t="s">
        <v>311</v>
      </c>
      <c r="C409" s="8" t="s">
        <v>308</v>
      </c>
      <c r="D409" s="8" t="s">
        <v>132</v>
      </c>
      <c r="E409" s="8" t="s">
        <v>337</v>
      </c>
      <c r="F409" s="8">
        <v>45</v>
      </c>
      <c r="G409" s="22">
        <v>855</v>
      </c>
      <c r="H409" s="22">
        <v>360</v>
      </c>
    </row>
    <row r="410" spans="1:8" x14ac:dyDescent="0.25">
      <c r="A410" s="75">
        <v>40553</v>
      </c>
      <c r="B410" s="8" t="s">
        <v>319</v>
      </c>
      <c r="C410" s="8" t="s">
        <v>308</v>
      </c>
      <c r="D410" s="8" t="s">
        <v>312</v>
      </c>
      <c r="E410" s="8" t="s">
        <v>331</v>
      </c>
      <c r="F410" s="8">
        <v>49</v>
      </c>
      <c r="G410" s="22">
        <v>1323</v>
      </c>
      <c r="H410" s="22">
        <v>710.5</v>
      </c>
    </row>
    <row r="411" spans="1:8" x14ac:dyDescent="0.25">
      <c r="A411" s="75">
        <v>40670</v>
      </c>
      <c r="B411" s="8" t="s">
        <v>321</v>
      </c>
      <c r="C411" s="8" t="s">
        <v>310</v>
      </c>
      <c r="D411" s="8" t="s">
        <v>132</v>
      </c>
      <c r="E411" s="8" t="s">
        <v>313</v>
      </c>
      <c r="F411" s="8">
        <v>16</v>
      </c>
      <c r="G411" s="22">
        <v>352</v>
      </c>
      <c r="H411" s="22">
        <v>160</v>
      </c>
    </row>
    <row r="412" spans="1:8" x14ac:dyDescent="0.25">
      <c r="A412" s="75">
        <v>40655</v>
      </c>
      <c r="B412" s="8" t="s">
        <v>319</v>
      </c>
      <c r="C412" s="8" t="s">
        <v>307</v>
      </c>
      <c r="D412" s="8" t="s">
        <v>3</v>
      </c>
      <c r="E412" s="8" t="s">
        <v>348</v>
      </c>
      <c r="F412" s="8">
        <v>16</v>
      </c>
      <c r="G412" s="22">
        <v>432</v>
      </c>
      <c r="H412" s="22">
        <v>232</v>
      </c>
    </row>
    <row r="413" spans="1:8" x14ac:dyDescent="0.25">
      <c r="A413" s="75">
        <v>40674</v>
      </c>
      <c r="B413" s="8" t="s">
        <v>311</v>
      </c>
      <c r="C413" s="8" t="s">
        <v>308</v>
      </c>
      <c r="D413" s="8" t="s">
        <v>312</v>
      </c>
      <c r="E413" s="8" t="s">
        <v>428</v>
      </c>
      <c r="F413" s="8">
        <v>15</v>
      </c>
      <c r="G413" s="22">
        <v>285</v>
      </c>
      <c r="H413" s="22">
        <v>120</v>
      </c>
    </row>
    <row r="414" spans="1:8" x14ac:dyDescent="0.25">
      <c r="A414" s="75">
        <v>40693</v>
      </c>
      <c r="B414" s="8" t="s">
        <v>321</v>
      </c>
      <c r="C414" s="8" t="s">
        <v>307</v>
      </c>
      <c r="D414" s="8" t="s">
        <v>328</v>
      </c>
      <c r="E414" s="8" t="s">
        <v>429</v>
      </c>
      <c r="F414" s="8">
        <v>20</v>
      </c>
      <c r="G414" s="22">
        <v>440</v>
      </c>
      <c r="H414" s="22">
        <v>200</v>
      </c>
    </row>
    <row r="415" spans="1:8" x14ac:dyDescent="0.25">
      <c r="A415" s="75">
        <v>40649</v>
      </c>
      <c r="B415" s="8" t="s">
        <v>311</v>
      </c>
      <c r="C415" s="8" t="s">
        <v>309</v>
      </c>
      <c r="D415" s="8" t="s">
        <v>132</v>
      </c>
      <c r="E415" s="8" t="s">
        <v>327</v>
      </c>
      <c r="F415" s="8">
        <v>36</v>
      </c>
      <c r="G415" s="22">
        <v>684</v>
      </c>
      <c r="H415" s="22">
        <v>288</v>
      </c>
    </row>
    <row r="416" spans="1:8" x14ac:dyDescent="0.25">
      <c r="A416" s="75">
        <v>40707</v>
      </c>
      <c r="B416" s="8" t="s">
        <v>317</v>
      </c>
      <c r="C416" s="8" t="s">
        <v>307</v>
      </c>
      <c r="D416" s="8" t="s">
        <v>132</v>
      </c>
      <c r="E416" s="8" t="s">
        <v>323</v>
      </c>
      <c r="F416" s="8">
        <v>45</v>
      </c>
      <c r="G416" s="22">
        <v>945</v>
      </c>
      <c r="H416" s="22">
        <v>416.25</v>
      </c>
    </row>
    <row r="417" spans="1:8" x14ac:dyDescent="0.25">
      <c r="A417" s="75">
        <v>40646</v>
      </c>
      <c r="B417" s="8" t="s">
        <v>317</v>
      </c>
      <c r="C417" s="8" t="s">
        <v>307</v>
      </c>
      <c r="D417" s="8" t="s">
        <v>132</v>
      </c>
      <c r="E417" s="8" t="s">
        <v>343</v>
      </c>
      <c r="F417" s="8">
        <v>30</v>
      </c>
      <c r="G417" s="22">
        <v>630</v>
      </c>
      <c r="H417" s="22">
        <v>277.5</v>
      </c>
    </row>
    <row r="418" spans="1:8" x14ac:dyDescent="0.25">
      <c r="A418" s="75">
        <v>40597</v>
      </c>
      <c r="B418" s="8" t="s">
        <v>321</v>
      </c>
      <c r="C418" s="8" t="s">
        <v>307</v>
      </c>
      <c r="D418" s="8" t="s">
        <v>132</v>
      </c>
      <c r="E418" s="8" t="s">
        <v>336</v>
      </c>
      <c r="F418" s="8">
        <v>14</v>
      </c>
      <c r="G418" s="22">
        <v>308</v>
      </c>
      <c r="H418" s="22">
        <v>140</v>
      </c>
    </row>
    <row r="419" spans="1:8" x14ac:dyDescent="0.25">
      <c r="A419" s="75">
        <v>40705</v>
      </c>
      <c r="B419" s="8" t="s">
        <v>319</v>
      </c>
      <c r="C419" s="8" t="s">
        <v>310</v>
      </c>
      <c r="D419" s="8" t="s">
        <v>7</v>
      </c>
      <c r="E419" s="8" t="s">
        <v>339</v>
      </c>
      <c r="F419" s="8">
        <v>17</v>
      </c>
      <c r="G419" s="22">
        <v>459</v>
      </c>
      <c r="H419" s="22">
        <v>246.5</v>
      </c>
    </row>
    <row r="420" spans="1:8" x14ac:dyDescent="0.25">
      <c r="A420" s="75">
        <v>40590</v>
      </c>
      <c r="B420" s="8" t="s">
        <v>321</v>
      </c>
      <c r="C420" s="8" t="s">
        <v>309</v>
      </c>
      <c r="D420" s="8" t="s">
        <v>3</v>
      </c>
      <c r="E420" s="8" t="s">
        <v>314</v>
      </c>
      <c r="F420" s="8">
        <v>55</v>
      </c>
      <c r="G420" s="22">
        <v>1210</v>
      </c>
      <c r="H420" s="22">
        <v>550</v>
      </c>
    </row>
    <row r="421" spans="1:8" x14ac:dyDescent="0.25">
      <c r="A421" s="75">
        <v>40619</v>
      </c>
      <c r="B421" s="8" t="s">
        <v>321</v>
      </c>
      <c r="C421" s="8" t="s">
        <v>309</v>
      </c>
      <c r="D421" s="8" t="s">
        <v>328</v>
      </c>
      <c r="E421" s="8" t="s">
        <v>314</v>
      </c>
      <c r="F421" s="8">
        <v>23</v>
      </c>
      <c r="G421" s="22">
        <v>506</v>
      </c>
      <c r="H421" s="22">
        <v>230</v>
      </c>
    </row>
    <row r="422" spans="1:8" x14ac:dyDescent="0.25">
      <c r="A422" s="75">
        <v>40697</v>
      </c>
      <c r="B422" s="8" t="s">
        <v>317</v>
      </c>
      <c r="C422" s="8" t="s">
        <v>310</v>
      </c>
      <c r="D422" s="8" t="s">
        <v>132</v>
      </c>
      <c r="E422" s="8" t="s">
        <v>348</v>
      </c>
      <c r="F422" s="8">
        <v>55</v>
      </c>
      <c r="G422" s="22">
        <v>1155</v>
      </c>
      <c r="H422" s="22">
        <v>508.75</v>
      </c>
    </row>
    <row r="423" spans="1:8" x14ac:dyDescent="0.25">
      <c r="A423" s="75">
        <v>40658</v>
      </c>
      <c r="B423" s="8" t="s">
        <v>317</v>
      </c>
      <c r="C423" s="8" t="s">
        <v>308</v>
      </c>
      <c r="D423" s="8" t="s">
        <v>136</v>
      </c>
      <c r="E423" s="8" t="s">
        <v>327</v>
      </c>
      <c r="F423" s="8">
        <v>44</v>
      </c>
      <c r="G423" s="22">
        <v>924</v>
      </c>
      <c r="H423" s="22">
        <v>407</v>
      </c>
    </row>
    <row r="424" spans="1:8" x14ac:dyDescent="0.25">
      <c r="A424" s="75">
        <v>40689</v>
      </c>
      <c r="B424" s="8" t="s">
        <v>319</v>
      </c>
      <c r="C424" s="8" t="s">
        <v>307</v>
      </c>
      <c r="D424" s="8" t="s">
        <v>136</v>
      </c>
      <c r="E424" s="8" t="s">
        <v>320</v>
      </c>
      <c r="F424" s="8">
        <v>36</v>
      </c>
      <c r="G424" s="22">
        <v>972</v>
      </c>
      <c r="H424" s="22">
        <v>522</v>
      </c>
    </row>
    <row r="425" spans="1:8" x14ac:dyDescent="0.25">
      <c r="A425" s="75">
        <v>40671</v>
      </c>
      <c r="B425" s="8" t="s">
        <v>321</v>
      </c>
      <c r="C425" s="8" t="s">
        <v>310</v>
      </c>
      <c r="D425" s="8" t="s">
        <v>328</v>
      </c>
      <c r="E425" s="8" t="s">
        <v>322</v>
      </c>
      <c r="F425" s="8">
        <v>55</v>
      </c>
      <c r="G425" s="22">
        <v>1210</v>
      </c>
      <c r="H425" s="22">
        <v>550</v>
      </c>
    </row>
    <row r="426" spans="1:8" x14ac:dyDescent="0.25">
      <c r="A426" s="75">
        <v>40700</v>
      </c>
      <c r="B426" s="8" t="s">
        <v>311</v>
      </c>
      <c r="C426" s="8" t="s">
        <v>310</v>
      </c>
      <c r="D426" s="8" t="s">
        <v>136</v>
      </c>
      <c r="E426" s="8" t="s">
        <v>432</v>
      </c>
      <c r="F426" s="8">
        <v>32</v>
      </c>
      <c r="G426" s="22">
        <v>608</v>
      </c>
      <c r="H426" s="22">
        <v>256</v>
      </c>
    </row>
    <row r="427" spans="1:8" x14ac:dyDescent="0.25">
      <c r="A427" s="75">
        <v>40710</v>
      </c>
      <c r="B427" s="8" t="s">
        <v>317</v>
      </c>
      <c r="C427" s="8" t="s">
        <v>308</v>
      </c>
      <c r="D427" s="8" t="s">
        <v>7</v>
      </c>
      <c r="E427" s="8" t="s">
        <v>346</v>
      </c>
      <c r="F427" s="8">
        <v>21</v>
      </c>
      <c r="G427" s="22">
        <v>441</v>
      </c>
      <c r="H427" s="22">
        <v>194.25</v>
      </c>
    </row>
    <row r="428" spans="1:8" x14ac:dyDescent="0.25">
      <c r="A428" s="75">
        <v>40675</v>
      </c>
      <c r="B428" s="8" t="s">
        <v>317</v>
      </c>
      <c r="C428" s="8" t="s">
        <v>310</v>
      </c>
      <c r="D428" s="8" t="s">
        <v>132</v>
      </c>
      <c r="E428" s="8" t="s">
        <v>323</v>
      </c>
      <c r="F428" s="8">
        <v>46</v>
      </c>
      <c r="G428" s="22">
        <v>966</v>
      </c>
      <c r="H428" s="22">
        <v>425.5</v>
      </c>
    </row>
    <row r="429" spans="1:8" x14ac:dyDescent="0.25">
      <c r="A429" s="75">
        <v>40627</v>
      </c>
      <c r="B429" s="8" t="s">
        <v>321</v>
      </c>
      <c r="C429" s="8" t="s">
        <v>309</v>
      </c>
      <c r="D429" s="8" t="s">
        <v>328</v>
      </c>
      <c r="E429" s="8" t="s">
        <v>338</v>
      </c>
      <c r="F429" s="8">
        <v>32</v>
      </c>
      <c r="G429" s="22">
        <v>704</v>
      </c>
      <c r="H429" s="22">
        <v>320</v>
      </c>
    </row>
    <row r="430" spans="1:8" x14ac:dyDescent="0.25">
      <c r="A430" s="75">
        <v>40592</v>
      </c>
      <c r="B430" s="8" t="s">
        <v>319</v>
      </c>
      <c r="C430" s="8" t="s">
        <v>308</v>
      </c>
      <c r="D430" s="8" t="s">
        <v>136</v>
      </c>
      <c r="E430" s="8" t="s">
        <v>331</v>
      </c>
      <c r="F430" s="8">
        <v>22</v>
      </c>
      <c r="G430" s="22">
        <v>594</v>
      </c>
      <c r="H430" s="22">
        <v>319</v>
      </c>
    </row>
    <row r="431" spans="1:8" x14ac:dyDescent="0.25">
      <c r="A431" s="75">
        <v>40702</v>
      </c>
      <c r="B431" s="8" t="s">
        <v>319</v>
      </c>
      <c r="C431" s="8" t="s">
        <v>308</v>
      </c>
      <c r="D431" s="8" t="s">
        <v>328</v>
      </c>
      <c r="E431" s="8" t="s">
        <v>329</v>
      </c>
      <c r="F431" s="8">
        <v>48</v>
      </c>
      <c r="G431" s="22">
        <v>1296</v>
      </c>
      <c r="H431" s="22">
        <v>696</v>
      </c>
    </row>
    <row r="432" spans="1:8" x14ac:dyDescent="0.25">
      <c r="A432" s="75">
        <v>40655</v>
      </c>
      <c r="B432" s="8" t="s">
        <v>315</v>
      </c>
      <c r="C432" s="8" t="s">
        <v>309</v>
      </c>
      <c r="D432" s="8" t="s">
        <v>7</v>
      </c>
      <c r="E432" s="8" t="s">
        <v>332</v>
      </c>
      <c r="F432" s="8">
        <v>49</v>
      </c>
      <c r="G432" s="22">
        <v>1127</v>
      </c>
      <c r="H432" s="22">
        <v>539</v>
      </c>
    </row>
    <row r="433" spans="1:8" x14ac:dyDescent="0.25">
      <c r="A433" s="75">
        <v>40610</v>
      </c>
      <c r="B433" s="8" t="s">
        <v>321</v>
      </c>
      <c r="C433" s="8" t="s">
        <v>308</v>
      </c>
      <c r="D433" s="8" t="s">
        <v>136</v>
      </c>
      <c r="E433" s="8" t="s">
        <v>346</v>
      </c>
      <c r="F433" s="8">
        <v>21</v>
      </c>
      <c r="G433" s="22">
        <v>462</v>
      </c>
      <c r="H433" s="22">
        <v>210</v>
      </c>
    </row>
    <row r="434" spans="1:8" x14ac:dyDescent="0.25">
      <c r="A434" s="75">
        <v>40705</v>
      </c>
      <c r="B434" s="8" t="s">
        <v>315</v>
      </c>
      <c r="C434" s="8" t="s">
        <v>308</v>
      </c>
      <c r="D434" s="8" t="s">
        <v>7</v>
      </c>
      <c r="E434" s="8" t="s">
        <v>331</v>
      </c>
      <c r="F434" s="8">
        <v>23</v>
      </c>
      <c r="G434" s="22">
        <v>529</v>
      </c>
      <c r="H434" s="22">
        <v>253</v>
      </c>
    </row>
    <row r="435" spans="1:8" x14ac:dyDescent="0.25">
      <c r="A435" s="75">
        <v>40710</v>
      </c>
      <c r="B435" s="8" t="s">
        <v>317</v>
      </c>
      <c r="C435" s="8" t="s">
        <v>308</v>
      </c>
      <c r="D435" s="8" t="s">
        <v>3</v>
      </c>
      <c r="E435" s="8" t="s">
        <v>345</v>
      </c>
      <c r="F435" s="8">
        <v>38</v>
      </c>
      <c r="G435" s="22">
        <v>798</v>
      </c>
      <c r="H435" s="22">
        <v>351.5</v>
      </c>
    </row>
    <row r="436" spans="1:8" x14ac:dyDescent="0.25">
      <c r="A436" s="75">
        <v>40689</v>
      </c>
      <c r="B436" s="8" t="s">
        <v>315</v>
      </c>
      <c r="C436" s="8" t="s">
        <v>308</v>
      </c>
      <c r="D436" s="8" t="s">
        <v>132</v>
      </c>
      <c r="E436" s="8" t="s">
        <v>322</v>
      </c>
      <c r="F436" s="8">
        <v>9</v>
      </c>
      <c r="G436" s="22">
        <v>207</v>
      </c>
      <c r="H436" s="22">
        <v>99</v>
      </c>
    </row>
    <row r="437" spans="1:8" x14ac:dyDescent="0.25">
      <c r="A437" s="75">
        <v>40650</v>
      </c>
      <c r="B437" s="8" t="s">
        <v>317</v>
      </c>
      <c r="C437" s="8" t="s">
        <v>309</v>
      </c>
      <c r="D437" s="8" t="s">
        <v>312</v>
      </c>
      <c r="E437" s="8" t="s">
        <v>345</v>
      </c>
      <c r="F437" s="8">
        <v>37</v>
      </c>
      <c r="G437" s="22">
        <v>777</v>
      </c>
      <c r="H437" s="22">
        <v>342.25</v>
      </c>
    </row>
    <row r="438" spans="1:8" x14ac:dyDescent="0.25">
      <c r="A438" s="75">
        <v>40675</v>
      </c>
      <c r="B438" s="8" t="s">
        <v>315</v>
      </c>
      <c r="C438" s="8" t="s">
        <v>307</v>
      </c>
      <c r="D438" s="8" t="s">
        <v>136</v>
      </c>
      <c r="E438" s="8" t="s">
        <v>346</v>
      </c>
      <c r="F438" s="8">
        <v>19</v>
      </c>
      <c r="G438" s="22">
        <v>437</v>
      </c>
      <c r="H438" s="22">
        <v>209</v>
      </c>
    </row>
    <row r="439" spans="1:8" x14ac:dyDescent="0.25">
      <c r="A439" s="75">
        <v>40583</v>
      </c>
      <c r="B439" s="8" t="s">
        <v>317</v>
      </c>
      <c r="C439" s="8" t="s">
        <v>307</v>
      </c>
      <c r="D439" s="8" t="s">
        <v>312</v>
      </c>
      <c r="E439" s="8" t="s">
        <v>334</v>
      </c>
      <c r="F439" s="8">
        <v>8</v>
      </c>
      <c r="G439" s="22">
        <v>168</v>
      </c>
      <c r="H439" s="22">
        <v>74</v>
      </c>
    </row>
    <row r="440" spans="1:8" x14ac:dyDescent="0.25">
      <c r="A440" s="75">
        <v>40564</v>
      </c>
      <c r="B440" s="8" t="s">
        <v>311</v>
      </c>
      <c r="C440" s="8" t="s">
        <v>310</v>
      </c>
      <c r="D440" s="8" t="s">
        <v>132</v>
      </c>
      <c r="E440" s="8" t="s">
        <v>346</v>
      </c>
      <c r="F440" s="8">
        <v>63</v>
      </c>
      <c r="G440" s="22">
        <v>1197</v>
      </c>
      <c r="H440" s="22">
        <v>504</v>
      </c>
    </row>
    <row r="441" spans="1:8" x14ac:dyDescent="0.25">
      <c r="A441" s="75">
        <v>40586</v>
      </c>
      <c r="B441" s="8" t="s">
        <v>319</v>
      </c>
      <c r="C441" s="8" t="s">
        <v>307</v>
      </c>
      <c r="D441" s="8" t="s">
        <v>3</v>
      </c>
      <c r="E441" s="8" t="s">
        <v>322</v>
      </c>
      <c r="F441" s="8">
        <v>24</v>
      </c>
      <c r="G441" s="22">
        <v>648</v>
      </c>
      <c r="H441" s="22">
        <v>348</v>
      </c>
    </row>
    <row r="442" spans="1:8" x14ac:dyDescent="0.25">
      <c r="A442" s="75">
        <v>40618</v>
      </c>
      <c r="B442" s="8" t="s">
        <v>321</v>
      </c>
      <c r="C442" s="8" t="s">
        <v>308</v>
      </c>
      <c r="D442" s="8" t="s">
        <v>136</v>
      </c>
      <c r="E442" s="8" t="s">
        <v>325</v>
      </c>
      <c r="F442" s="8">
        <v>25</v>
      </c>
      <c r="G442" s="22">
        <v>550</v>
      </c>
      <c r="H442" s="22">
        <v>250</v>
      </c>
    </row>
    <row r="443" spans="1:8" x14ac:dyDescent="0.25">
      <c r="A443" s="75">
        <v>40566</v>
      </c>
      <c r="B443" s="8" t="s">
        <v>321</v>
      </c>
      <c r="C443" s="8" t="s">
        <v>309</v>
      </c>
      <c r="D443" s="8" t="s">
        <v>132</v>
      </c>
      <c r="E443" s="8" t="s">
        <v>343</v>
      </c>
      <c r="F443" s="8">
        <v>12</v>
      </c>
      <c r="G443" s="22">
        <v>264</v>
      </c>
      <c r="H443" s="22">
        <v>120</v>
      </c>
    </row>
    <row r="444" spans="1:8" x14ac:dyDescent="0.25">
      <c r="A444" s="75">
        <v>40622</v>
      </c>
      <c r="B444" s="8" t="s">
        <v>315</v>
      </c>
      <c r="C444" s="8" t="s">
        <v>309</v>
      </c>
      <c r="D444" s="8" t="s">
        <v>312</v>
      </c>
      <c r="E444" s="8" t="s">
        <v>314</v>
      </c>
      <c r="F444" s="8">
        <v>65</v>
      </c>
      <c r="G444" s="22">
        <v>1495</v>
      </c>
      <c r="H444" s="22">
        <v>715</v>
      </c>
    </row>
    <row r="445" spans="1:8" x14ac:dyDescent="0.25">
      <c r="A445" s="75">
        <v>40661</v>
      </c>
      <c r="B445" s="8" t="s">
        <v>317</v>
      </c>
      <c r="C445" s="8" t="s">
        <v>309</v>
      </c>
      <c r="D445" s="8" t="s">
        <v>136</v>
      </c>
      <c r="E445" s="8" t="s">
        <v>330</v>
      </c>
      <c r="F445" s="8">
        <v>12</v>
      </c>
      <c r="G445" s="22">
        <v>252</v>
      </c>
      <c r="H445" s="22">
        <v>111</v>
      </c>
    </row>
    <row r="446" spans="1:8" x14ac:dyDescent="0.25">
      <c r="A446" s="75">
        <v>40711</v>
      </c>
      <c r="B446" s="8" t="s">
        <v>319</v>
      </c>
      <c r="C446" s="8" t="s">
        <v>310</v>
      </c>
      <c r="D446" s="8" t="s">
        <v>136</v>
      </c>
      <c r="E446" s="8" t="s">
        <v>322</v>
      </c>
      <c r="F446" s="8">
        <v>49</v>
      </c>
      <c r="G446" s="22">
        <v>1323</v>
      </c>
      <c r="H446" s="22">
        <v>710.5</v>
      </c>
    </row>
    <row r="447" spans="1:8" x14ac:dyDescent="0.25">
      <c r="A447" s="75">
        <v>40578</v>
      </c>
      <c r="B447" s="8" t="s">
        <v>317</v>
      </c>
      <c r="C447" s="8" t="s">
        <v>308</v>
      </c>
      <c r="D447" s="8" t="s">
        <v>328</v>
      </c>
      <c r="E447" s="8" t="s">
        <v>332</v>
      </c>
      <c r="F447" s="8">
        <v>32</v>
      </c>
      <c r="G447" s="22">
        <v>672</v>
      </c>
      <c r="H447" s="22">
        <v>296</v>
      </c>
    </row>
    <row r="448" spans="1:8" x14ac:dyDescent="0.25">
      <c r="A448" s="75">
        <v>40673</v>
      </c>
      <c r="B448" s="8" t="s">
        <v>317</v>
      </c>
      <c r="C448" s="8" t="s">
        <v>308</v>
      </c>
      <c r="D448" s="8" t="s">
        <v>312</v>
      </c>
      <c r="E448" s="8" t="s">
        <v>345</v>
      </c>
      <c r="F448" s="8">
        <v>13</v>
      </c>
      <c r="G448" s="22">
        <v>273</v>
      </c>
      <c r="H448" s="22">
        <v>120.25</v>
      </c>
    </row>
    <row r="449" spans="1:8" x14ac:dyDescent="0.25">
      <c r="A449" s="75">
        <v>40711</v>
      </c>
      <c r="B449" s="8" t="s">
        <v>315</v>
      </c>
      <c r="C449" s="8" t="s">
        <v>309</v>
      </c>
      <c r="D449" s="8" t="s">
        <v>136</v>
      </c>
      <c r="E449" s="8" t="s">
        <v>314</v>
      </c>
      <c r="F449" s="8">
        <v>8</v>
      </c>
      <c r="G449" s="22">
        <v>184</v>
      </c>
      <c r="H449" s="22">
        <v>88</v>
      </c>
    </row>
    <row r="450" spans="1:8" x14ac:dyDescent="0.25">
      <c r="A450" s="75">
        <v>40582</v>
      </c>
      <c r="B450" s="8" t="s">
        <v>319</v>
      </c>
      <c r="C450" s="8" t="s">
        <v>307</v>
      </c>
      <c r="D450" s="8" t="s">
        <v>3</v>
      </c>
      <c r="E450" s="8" t="s">
        <v>318</v>
      </c>
      <c r="F450" s="8">
        <v>19</v>
      </c>
      <c r="G450" s="22">
        <v>513</v>
      </c>
      <c r="H450" s="22">
        <v>275.5</v>
      </c>
    </row>
    <row r="451" spans="1:8" x14ac:dyDescent="0.25">
      <c r="A451" s="75">
        <v>40632</v>
      </c>
      <c r="B451" s="8" t="s">
        <v>315</v>
      </c>
      <c r="C451" s="8" t="s">
        <v>310</v>
      </c>
      <c r="D451" s="8" t="s">
        <v>312</v>
      </c>
      <c r="E451" s="8" t="s">
        <v>325</v>
      </c>
      <c r="F451" s="8">
        <v>36</v>
      </c>
      <c r="G451" s="22">
        <v>828</v>
      </c>
      <c r="H451" s="22">
        <v>396</v>
      </c>
    </row>
    <row r="452" spans="1:8" x14ac:dyDescent="0.25">
      <c r="A452" s="75">
        <v>40652</v>
      </c>
      <c r="B452" s="8" t="s">
        <v>311</v>
      </c>
      <c r="C452" s="8" t="s">
        <v>309</v>
      </c>
      <c r="D452" s="8" t="s">
        <v>7</v>
      </c>
      <c r="E452" s="8" t="s">
        <v>330</v>
      </c>
      <c r="F452" s="8">
        <v>24</v>
      </c>
      <c r="G452" s="22">
        <v>456</v>
      </c>
      <c r="H452" s="22">
        <v>192</v>
      </c>
    </row>
    <row r="453" spans="1:8" x14ac:dyDescent="0.25">
      <c r="A453" s="75">
        <v>40700</v>
      </c>
      <c r="B453" s="8" t="s">
        <v>317</v>
      </c>
      <c r="C453" s="8" t="s">
        <v>308</v>
      </c>
      <c r="D453" s="8" t="s">
        <v>3</v>
      </c>
      <c r="E453" s="8" t="s">
        <v>348</v>
      </c>
      <c r="F453" s="8">
        <v>8</v>
      </c>
      <c r="G453" s="22">
        <v>168</v>
      </c>
      <c r="H453" s="22">
        <v>74</v>
      </c>
    </row>
    <row r="454" spans="1:8" x14ac:dyDescent="0.25">
      <c r="A454" s="75">
        <v>40626</v>
      </c>
      <c r="B454" s="8" t="s">
        <v>317</v>
      </c>
      <c r="C454" s="8" t="s">
        <v>310</v>
      </c>
      <c r="D454" s="8" t="s">
        <v>136</v>
      </c>
      <c r="E454" s="8" t="s">
        <v>327</v>
      </c>
      <c r="F454" s="8">
        <v>45</v>
      </c>
      <c r="G454" s="22">
        <v>945</v>
      </c>
      <c r="H454" s="22">
        <v>416.25</v>
      </c>
    </row>
    <row r="455" spans="1:8" x14ac:dyDescent="0.25">
      <c r="A455" s="75">
        <v>40619</v>
      </c>
      <c r="B455" s="8" t="s">
        <v>319</v>
      </c>
      <c r="C455" s="8" t="s">
        <v>310</v>
      </c>
      <c r="D455" s="8" t="s">
        <v>3</v>
      </c>
      <c r="E455" s="8" t="s">
        <v>318</v>
      </c>
      <c r="F455" s="8">
        <v>64</v>
      </c>
      <c r="G455" s="22">
        <v>1728</v>
      </c>
      <c r="H455" s="22">
        <v>928</v>
      </c>
    </row>
    <row r="456" spans="1:8" x14ac:dyDescent="0.25">
      <c r="A456" s="75">
        <v>40620</v>
      </c>
      <c r="B456" s="8" t="s">
        <v>311</v>
      </c>
      <c r="C456" s="8" t="s">
        <v>310</v>
      </c>
      <c r="D456" s="8" t="s">
        <v>7</v>
      </c>
      <c r="E456" s="8" t="s">
        <v>318</v>
      </c>
      <c r="F456" s="8">
        <v>27</v>
      </c>
      <c r="G456" s="22">
        <v>513</v>
      </c>
      <c r="H456" s="22">
        <v>216</v>
      </c>
    </row>
    <row r="457" spans="1:8" x14ac:dyDescent="0.25">
      <c r="A457" s="75">
        <v>40571</v>
      </c>
      <c r="B457" s="8" t="s">
        <v>319</v>
      </c>
      <c r="C457" s="8" t="s">
        <v>308</v>
      </c>
      <c r="D457" s="8" t="s">
        <v>3</v>
      </c>
      <c r="E457" s="8" t="s">
        <v>327</v>
      </c>
      <c r="F457" s="8">
        <v>60</v>
      </c>
      <c r="G457" s="22">
        <v>1620</v>
      </c>
      <c r="H457" s="22">
        <v>870</v>
      </c>
    </row>
    <row r="458" spans="1:8" x14ac:dyDescent="0.25">
      <c r="A458" s="75">
        <v>40682</v>
      </c>
      <c r="B458" s="8" t="s">
        <v>319</v>
      </c>
      <c r="C458" s="8" t="s">
        <v>310</v>
      </c>
      <c r="D458" s="8" t="s">
        <v>132</v>
      </c>
      <c r="E458" s="8" t="s">
        <v>322</v>
      </c>
      <c r="F458" s="8">
        <v>54</v>
      </c>
      <c r="G458" s="22">
        <v>1458</v>
      </c>
      <c r="H458" s="22">
        <v>783</v>
      </c>
    </row>
    <row r="459" spans="1:8" x14ac:dyDescent="0.25">
      <c r="A459" s="75">
        <v>40574</v>
      </c>
      <c r="B459" s="8" t="s">
        <v>311</v>
      </c>
      <c r="C459" s="8" t="s">
        <v>309</v>
      </c>
      <c r="D459" s="8" t="s">
        <v>7</v>
      </c>
      <c r="E459" s="8" t="s">
        <v>335</v>
      </c>
      <c r="F459" s="8">
        <v>21</v>
      </c>
      <c r="G459" s="22">
        <v>399</v>
      </c>
      <c r="H459" s="22">
        <v>168</v>
      </c>
    </row>
    <row r="460" spans="1:8" x14ac:dyDescent="0.25">
      <c r="A460" s="75">
        <v>40650</v>
      </c>
      <c r="B460" s="8" t="s">
        <v>319</v>
      </c>
      <c r="C460" s="8" t="s">
        <v>309</v>
      </c>
      <c r="D460" s="8" t="s">
        <v>3</v>
      </c>
      <c r="E460" s="8" t="s">
        <v>331</v>
      </c>
      <c r="F460" s="8">
        <v>63</v>
      </c>
      <c r="G460" s="22">
        <v>1701</v>
      </c>
      <c r="H460" s="22">
        <v>913.5</v>
      </c>
    </row>
    <row r="461" spans="1:8" x14ac:dyDescent="0.25">
      <c r="A461" s="75">
        <v>40713</v>
      </c>
      <c r="B461" s="8" t="s">
        <v>319</v>
      </c>
      <c r="C461" s="8" t="s">
        <v>310</v>
      </c>
      <c r="D461" s="8" t="s">
        <v>328</v>
      </c>
      <c r="E461" s="8" t="s">
        <v>348</v>
      </c>
      <c r="F461" s="8">
        <v>52</v>
      </c>
      <c r="G461" s="22">
        <v>1404</v>
      </c>
      <c r="H461" s="22">
        <v>754</v>
      </c>
    </row>
    <row r="462" spans="1:8" x14ac:dyDescent="0.25">
      <c r="A462" s="75">
        <v>40641</v>
      </c>
      <c r="B462" s="8" t="s">
        <v>317</v>
      </c>
      <c r="C462" s="8" t="s">
        <v>307</v>
      </c>
      <c r="D462" s="8" t="s">
        <v>312</v>
      </c>
      <c r="E462" s="8" t="s">
        <v>337</v>
      </c>
      <c r="F462" s="8">
        <v>39</v>
      </c>
      <c r="G462" s="22">
        <v>819</v>
      </c>
      <c r="H462" s="22">
        <v>360.75</v>
      </c>
    </row>
    <row r="463" spans="1:8" x14ac:dyDescent="0.25">
      <c r="A463" s="75">
        <v>40570</v>
      </c>
      <c r="B463" s="8" t="s">
        <v>317</v>
      </c>
      <c r="C463" s="8" t="s">
        <v>310</v>
      </c>
      <c r="D463" s="8" t="s">
        <v>132</v>
      </c>
      <c r="E463" s="8" t="s">
        <v>331</v>
      </c>
      <c r="F463" s="8">
        <v>15</v>
      </c>
      <c r="G463" s="22">
        <v>315</v>
      </c>
      <c r="H463" s="22">
        <v>138.75</v>
      </c>
    </row>
    <row r="464" spans="1:8" x14ac:dyDescent="0.25">
      <c r="A464" s="75">
        <v>40678</v>
      </c>
      <c r="B464" s="8" t="s">
        <v>317</v>
      </c>
      <c r="C464" s="8" t="s">
        <v>310</v>
      </c>
      <c r="D464" s="8" t="s">
        <v>132</v>
      </c>
      <c r="E464" s="8" t="s">
        <v>313</v>
      </c>
      <c r="F464" s="8">
        <v>34</v>
      </c>
      <c r="G464" s="22">
        <v>714</v>
      </c>
      <c r="H464" s="22">
        <v>314.5</v>
      </c>
    </row>
    <row r="465" spans="1:8" x14ac:dyDescent="0.25">
      <c r="A465" s="75">
        <v>40550</v>
      </c>
      <c r="B465" s="8" t="s">
        <v>321</v>
      </c>
      <c r="C465" s="8" t="s">
        <v>308</v>
      </c>
      <c r="D465" s="8" t="s">
        <v>328</v>
      </c>
      <c r="E465" s="8" t="s">
        <v>326</v>
      </c>
      <c r="F465" s="8">
        <v>54</v>
      </c>
      <c r="G465" s="22">
        <v>1188</v>
      </c>
      <c r="H465" s="22">
        <v>540</v>
      </c>
    </row>
    <row r="466" spans="1:8" x14ac:dyDescent="0.25">
      <c r="A466" s="75">
        <v>40613</v>
      </c>
      <c r="B466" s="8" t="s">
        <v>315</v>
      </c>
      <c r="C466" s="8" t="s">
        <v>309</v>
      </c>
      <c r="D466" s="8" t="s">
        <v>3</v>
      </c>
      <c r="E466" s="8" t="s">
        <v>313</v>
      </c>
      <c r="F466" s="8">
        <v>57</v>
      </c>
      <c r="G466" s="22">
        <v>1311</v>
      </c>
      <c r="H466" s="22">
        <v>627</v>
      </c>
    </row>
    <row r="467" spans="1:8" x14ac:dyDescent="0.25">
      <c r="A467" s="75">
        <v>40563</v>
      </c>
      <c r="B467" s="8" t="s">
        <v>319</v>
      </c>
      <c r="C467" s="8" t="s">
        <v>308</v>
      </c>
      <c r="D467" s="8" t="s">
        <v>7</v>
      </c>
      <c r="E467" s="8" t="s">
        <v>344</v>
      </c>
      <c r="F467" s="8">
        <v>7</v>
      </c>
      <c r="G467" s="22">
        <v>189</v>
      </c>
      <c r="H467" s="22">
        <v>101.5</v>
      </c>
    </row>
    <row r="468" spans="1:8" x14ac:dyDescent="0.25">
      <c r="A468" s="75">
        <v>40706</v>
      </c>
      <c r="B468" s="8" t="s">
        <v>321</v>
      </c>
      <c r="C468" s="8" t="s">
        <v>307</v>
      </c>
      <c r="D468" s="8" t="s">
        <v>136</v>
      </c>
      <c r="E468" s="8" t="s">
        <v>327</v>
      </c>
      <c r="F468" s="8">
        <v>20</v>
      </c>
      <c r="G468" s="22">
        <v>440</v>
      </c>
      <c r="H468" s="22">
        <v>200</v>
      </c>
    </row>
    <row r="469" spans="1:8" x14ac:dyDescent="0.25">
      <c r="A469" s="75">
        <v>40641</v>
      </c>
      <c r="B469" s="8" t="s">
        <v>311</v>
      </c>
      <c r="C469" s="8" t="s">
        <v>307</v>
      </c>
      <c r="D469" s="8" t="s">
        <v>136</v>
      </c>
      <c r="E469" s="8" t="s">
        <v>341</v>
      </c>
      <c r="F469" s="8">
        <v>55</v>
      </c>
      <c r="G469" s="22">
        <v>1045</v>
      </c>
      <c r="H469" s="22">
        <v>440</v>
      </c>
    </row>
    <row r="470" spans="1:8" x14ac:dyDescent="0.25">
      <c r="A470" s="75">
        <v>40558</v>
      </c>
      <c r="B470" s="8" t="s">
        <v>321</v>
      </c>
      <c r="C470" s="8" t="s">
        <v>310</v>
      </c>
      <c r="D470" s="8" t="s">
        <v>132</v>
      </c>
      <c r="E470" s="8" t="s">
        <v>346</v>
      </c>
      <c r="F470" s="8">
        <v>27</v>
      </c>
      <c r="G470" s="22">
        <v>594</v>
      </c>
      <c r="H470" s="22">
        <v>270</v>
      </c>
    </row>
    <row r="471" spans="1:8" x14ac:dyDescent="0.25">
      <c r="A471" s="75">
        <v>40568</v>
      </c>
      <c r="B471" s="8" t="s">
        <v>317</v>
      </c>
      <c r="C471" s="8" t="s">
        <v>307</v>
      </c>
      <c r="D471" s="8" t="s">
        <v>328</v>
      </c>
      <c r="E471" s="8" t="s">
        <v>344</v>
      </c>
      <c r="F471" s="8">
        <v>54</v>
      </c>
      <c r="G471" s="22">
        <v>1134</v>
      </c>
      <c r="H471" s="22">
        <v>499.5</v>
      </c>
    </row>
    <row r="472" spans="1:8" x14ac:dyDescent="0.25">
      <c r="A472" s="75">
        <v>40653</v>
      </c>
      <c r="B472" s="8" t="s">
        <v>321</v>
      </c>
      <c r="C472" s="8" t="s">
        <v>309</v>
      </c>
      <c r="D472" s="8" t="s">
        <v>136</v>
      </c>
      <c r="E472" s="8" t="s">
        <v>432</v>
      </c>
      <c r="F472" s="8">
        <v>10</v>
      </c>
      <c r="G472" s="22">
        <v>220</v>
      </c>
      <c r="H472" s="22">
        <v>100</v>
      </c>
    </row>
    <row r="473" spans="1:8" x14ac:dyDescent="0.25">
      <c r="A473" s="75">
        <v>40705</v>
      </c>
      <c r="B473" s="8" t="s">
        <v>317</v>
      </c>
      <c r="C473" s="8" t="s">
        <v>309</v>
      </c>
      <c r="D473" s="8" t="s">
        <v>7</v>
      </c>
      <c r="E473" s="8" t="s">
        <v>318</v>
      </c>
      <c r="F473" s="8">
        <v>20</v>
      </c>
      <c r="G473" s="22">
        <v>420</v>
      </c>
      <c r="H473" s="22">
        <v>185</v>
      </c>
    </row>
    <row r="474" spans="1:8" x14ac:dyDescent="0.25">
      <c r="A474" s="75">
        <v>40648</v>
      </c>
      <c r="B474" s="8" t="s">
        <v>319</v>
      </c>
      <c r="C474" s="8" t="s">
        <v>308</v>
      </c>
      <c r="D474" s="8" t="s">
        <v>312</v>
      </c>
      <c r="E474" s="8" t="s">
        <v>345</v>
      </c>
      <c r="F474" s="8">
        <v>47</v>
      </c>
      <c r="G474" s="22">
        <v>1269</v>
      </c>
      <c r="H474" s="22">
        <v>681.5</v>
      </c>
    </row>
    <row r="475" spans="1:8" x14ac:dyDescent="0.25">
      <c r="A475" s="75">
        <v>40687</v>
      </c>
      <c r="B475" s="8" t="s">
        <v>317</v>
      </c>
      <c r="C475" s="8" t="s">
        <v>310</v>
      </c>
      <c r="D475" s="8" t="s">
        <v>328</v>
      </c>
      <c r="E475" s="8" t="s">
        <v>347</v>
      </c>
      <c r="F475" s="8">
        <v>15</v>
      </c>
      <c r="G475" s="22">
        <v>315</v>
      </c>
      <c r="H475" s="22">
        <v>138.75</v>
      </c>
    </row>
    <row r="476" spans="1:8" x14ac:dyDescent="0.25">
      <c r="A476" s="75">
        <v>40547</v>
      </c>
      <c r="B476" s="8" t="s">
        <v>317</v>
      </c>
      <c r="C476" s="8" t="s">
        <v>309</v>
      </c>
      <c r="D476" s="8" t="s">
        <v>312</v>
      </c>
      <c r="E476" s="8" t="s">
        <v>346</v>
      </c>
      <c r="F476" s="8">
        <v>28</v>
      </c>
      <c r="G476" s="22">
        <v>588</v>
      </c>
      <c r="H476" s="22">
        <v>259</v>
      </c>
    </row>
    <row r="477" spans="1:8" x14ac:dyDescent="0.25">
      <c r="A477" s="75">
        <v>40686</v>
      </c>
      <c r="B477" s="8" t="s">
        <v>317</v>
      </c>
      <c r="C477" s="8" t="s">
        <v>309</v>
      </c>
      <c r="D477" s="8" t="s">
        <v>136</v>
      </c>
      <c r="E477" s="8" t="s">
        <v>313</v>
      </c>
      <c r="F477" s="8">
        <v>30</v>
      </c>
      <c r="G477" s="22">
        <v>630</v>
      </c>
      <c r="H477" s="22">
        <v>277.5</v>
      </c>
    </row>
    <row r="478" spans="1:8" x14ac:dyDescent="0.25">
      <c r="A478" s="75">
        <v>40681</v>
      </c>
      <c r="B478" s="8" t="s">
        <v>315</v>
      </c>
      <c r="C478" s="8" t="s">
        <v>309</v>
      </c>
      <c r="D478" s="8" t="s">
        <v>312</v>
      </c>
      <c r="E478" s="8" t="s">
        <v>322</v>
      </c>
      <c r="F478" s="8">
        <v>57</v>
      </c>
      <c r="G478" s="22">
        <v>1311</v>
      </c>
      <c r="H478" s="22">
        <v>627</v>
      </c>
    </row>
    <row r="479" spans="1:8" x14ac:dyDescent="0.25">
      <c r="A479" s="75">
        <v>40546</v>
      </c>
      <c r="B479" s="8" t="s">
        <v>315</v>
      </c>
      <c r="C479" s="8" t="s">
        <v>307</v>
      </c>
      <c r="D479" s="8" t="s">
        <v>136</v>
      </c>
      <c r="E479" s="8" t="s">
        <v>318</v>
      </c>
      <c r="F479" s="8">
        <v>24</v>
      </c>
      <c r="G479" s="22">
        <v>552</v>
      </c>
      <c r="H479" s="22">
        <v>264</v>
      </c>
    </row>
    <row r="480" spans="1:8" x14ac:dyDescent="0.25">
      <c r="A480" s="75">
        <v>40605</v>
      </c>
      <c r="B480" s="8" t="s">
        <v>321</v>
      </c>
      <c r="C480" s="8" t="s">
        <v>309</v>
      </c>
      <c r="D480" s="8" t="s">
        <v>136</v>
      </c>
      <c r="E480" s="8" t="s">
        <v>337</v>
      </c>
      <c r="F480" s="8">
        <v>16</v>
      </c>
      <c r="G480" s="22">
        <v>352</v>
      </c>
      <c r="H480" s="22">
        <v>160</v>
      </c>
    </row>
    <row r="481" spans="1:8" x14ac:dyDescent="0.25">
      <c r="A481" s="75">
        <v>40675</v>
      </c>
      <c r="B481" s="8" t="s">
        <v>321</v>
      </c>
      <c r="C481" s="8" t="s">
        <v>309</v>
      </c>
      <c r="D481" s="8" t="s">
        <v>328</v>
      </c>
      <c r="E481" s="8" t="s">
        <v>429</v>
      </c>
      <c r="F481" s="8">
        <v>46</v>
      </c>
      <c r="G481" s="22">
        <v>1012</v>
      </c>
      <c r="H481" s="22">
        <v>460</v>
      </c>
    </row>
    <row r="482" spans="1:8" x14ac:dyDescent="0.25">
      <c r="A482" s="75">
        <v>40582</v>
      </c>
      <c r="B482" s="8" t="s">
        <v>319</v>
      </c>
      <c r="C482" s="8" t="s">
        <v>309</v>
      </c>
      <c r="D482" s="8" t="s">
        <v>7</v>
      </c>
      <c r="E482" s="8" t="s">
        <v>348</v>
      </c>
      <c r="F482" s="8">
        <v>52</v>
      </c>
      <c r="G482" s="22">
        <v>1404</v>
      </c>
      <c r="H482" s="22">
        <v>754</v>
      </c>
    </row>
    <row r="483" spans="1:8" x14ac:dyDescent="0.25">
      <c r="A483" s="75">
        <v>40683</v>
      </c>
      <c r="B483" s="8" t="s">
        <v>321</v>
      </c>
      <c r="C483" s="8" t="s">
        <v>310</v>
      </c>
      <c r="D483" s="8" t="s">
        <v>328</v>
      </c>
      <c r="E483" s="8" t="s">
        <v>323</v>
      </c>
      <c r="F483" s="8">
        <v>29</v>
      </c>
      <c r="G483" s="22">
        <v>638</v>
      </c>
      <c r="H483" s="22">
        <v>290</v>
      </c>
    </row>
    <row r="484" spans="1:8" x14ac:dyDescent="0.25">
      <c r="A484" s="75">
        <v>40618</v>
      </c>
      <c r="B484" s="8" t="s">
        <v>321</v>
      </c>
      <c r="C484" s="8" t="s">
        <v>309</v>
      </c>
      <c r="D484" s="8" t="s">
        <v>7</v>
      </c>
      <c r="E484" s="8" t="s">
        <v>322</v>
      </c>
      <c r="F484" s="8">
        <v>9</v>
      </c>
      <c r="G484" s="22">
        <v>198</v>
      </c>
      <c r="H484" s="22">
        <v>90</v>
      </c>
    </row>
    <row r="485" spans="1:8" x14ac:dyDescent="0.25">
      <c r="A485" s="75">
        <v>40622</v>
      </c>
      <c r="B485" s="8" t="s">
        <v>311</v>
      </c>
      <c r="C485" s="8" t="s">
        <v>309</v>
      </c>
      <c r="D485" s="8" t="s">
        <v>312</v>
      </c>
      <c r="E485" s="8" t="s">
        <v>316</v>
      </c>
      <c r="F485" s="8">
        <v>13</v>
      </c>
      <c r="G485" s="22">
        <v>247</v>
      </c>
      <c r="H485" s="22">
        <v>104</v>
      </c>
    </row>
    <row r="486" spans="1:8" x14ac:dyDescent="0.25">
      <c r="A486" s="75">
        <v>40643</v>
      </c>
      <c r="B486" s="8" t="s">
        <v>317</v>
      </c>
      <c r="C486" s="8" t="s">
        <v>310</v>
      </c>
      <c r="D486" s="8" t="s">
        <v>136</v>
      </c>
      <c r="E486" s="8" t="s">
        <v>323</v>
      </c>
      <c r="F486" s="8">
        <v>8</v>
      </c>
      <c r="G486" s="22">
        <v>168</v>
      </c>
      <c r="H486" s="22">
        <v>74</v>
      </c>
    </row>
    <row r="487" spans="1:8" x14ac:dyDescent="0.25">
      <c r="A487" s="75">
        <v>40648</v>
      </c>
      <c r="B487" s="8" t="s">
        <v>311</v>
      </c>
      <c r="C487" s="8" t="s">
        <v>310</v>
      </c>
      <c r="D487" s="8" t="s">
        <v>132</v>
      </c>
      <c r="E487" s="8" t="s">
        <v>334</v>
      </c>
      <c r="F487" s="8">
        <v>26</v>
      </c>
      <c r="G487" s="22">
        <v>494</v>
      </c>
      <c r="H487" s="22">
        <v>208</v>
      </c>
    </row>
    <row r="488" spans="1:8" x14ac:dyDescent="0.25">
      <c r="A488" s="75">
        <v>40628</v>
      </c>
      <c r="B488" s="8" t="s">
        <v>317</v>
      </c>
      <c r="C488" s="8" t="s">
        <v>310</v>
      </c>
      <c r="D488" s="8" t="s">
        <v>3</v>
      </c>
      <c r="E488" s="8" t="s">
        <v>341</v>
      </c>
      <c r="F488" s="8">
        <v>12</v>
      </c>
      <c r="G488" s="22">
        <v>252</v>
      </c>
      <c r="H488" s="22">
        <v>111</v>
      </c>
    </row>
    <row r="489" spans="1:8" x14ac:dyDescent="0.25">
      <c r="A489" s="75">
        <v>40587</v>
      </c>
      <c r="B489" s="8" t="s">
        <v>311</v>
      </c>
      <c r="C489" s="8" t="s">
        <v>307</v>
      </c>
      <c r="D489" s="8" t="s">
        <v>312</v>
      </c>
      <c r="E489" s="8" t="s">
        <v>338</v>
      </c>
      <c r="F489" s="8">
        <v>24</v>
      </c>
      <c r="G489" s="22">
        <v>456</v>
      </c>
      <c r="H489" s="22">
        <v>192</v>
      </c>
    </row>
    <row r="490" spans="1:8" x14ac:dyDescent="0.25">
      <c r="A490" s="75">
        <v>40721</v>
      </c>
      <c r="B490" s="8" t="s">
        <v>319</v>
      </c>
      <c r="C490" s="8" t="s">
        <v>310</v>
      </c>
      <c r="D490" s="8" t="s">
        <v>132</v>
      </c>
      <c r="E490" s="8" t="s">
        <v>336</v>
      </c>
      <c r="F490" s="8">
        <v>47</v>
      </c>
      <c r="G490" s="22">
        <v>1269</v>
      </c>
      <c r="H490" s="22">
        <v>681.5</v>
      </c>
    </row>
    <row r="491" spans="1:8" x14ac:dyDescent="0.25">
      <c r="A491" s="75">
        <v>40706</v>
      </c>
      <c r="B491" s="8" t="s">
        <v>321</v>
      </c>
      <c r="C491" s="8" t="s">
        <v>307</v>
      </c>
      <c r="D491" s="8" t="s">
        <v>312</v>
      </c>
      <c r="E491" s="8" t="s">
        <v>331</v>
      </c>
      <c r="F491" s="8">
        <v>11</v>
      </c>
      <c r="G491" s="22">
        <v>242</v>
      </c>
      <c r="H491" s="22">
        <v>110</v>
      </c>
    </row>
    <row r="492" spans="1:8" x14ac:dyDescent="0.25">
      <c r="A492" s="75">
        <v>40672</v>
      </c>
      <c r="B492" s="8" t="s">
        <v>317</v>
      </c>
      <c r="C492" s="8" t="s">
        <v>310</v>
      </c>
      <c r="D492" s="8" t="s">
        <v>3</v>
      </c>
      <c r="E492" s="8" t="s">
        <v>345</v>
      </c>
      <c r="F492" s="8">
        <v>45</v>
      </c>
      <c r="G492" s="22">
        <v>945</v>
      </c>
      <c r="H492" s="22">
        <v>416.25</v>
      </c>
    </row>
    <row r="493" spans="1:8" x14ac:dyDescent="0.25">
      <c r="A493" s="75">
        <v>40652</v>
      </c>
      <c r="B493" s="8" t="s">
        <v>319</v>
      </c>
      <c r="C493" s="8" t="s">
        <v>307</v>
      </c>
      <c r="D493" s="8" t="s">
        <v>3</v>
      </c>
      <c r="E493" s="8" t="s">
        <v>339</v>
      </c>
      <c r="F493" s="8">
        <v>18</v>
      </c>
      <c r="G493" s="22">
        <v>486</v>
      </c>
      <c r="H493" s="22">
        <v>261</v>
      </c>
    </row>
    <row r="494" spans="1:8" x14ac:dyDescent="0.25">
      <c r="A494" s="75">
        <v>40682</v>
      </c>
      <c r="B494" s="8" t="s">
        <v>319</v>
      </c>
      <c r="C494" s="8" t="s">
        <v>309</v>
      </c>
      <c r="D494" s="8" t="s">
        <v>132</v>
      </c>
      <c r="E494" s="8" t="s">
        <v>320</v>
      </c>
      <c r="F494" s="8">
        <v>64</v>
      </c>
      <c r="G494" s="22">
        <v>1728</v>
      </c>
      <c r="H494" s="22">
        <v>928</v>
      </c>
    </row>
    <row r="495" spans="1:8" x14ac:dyDescent="0.25">
      <c r="A495" s="75">
        <v>40625</v>
      </c>
      <c r="B495" s="8" t="s">
        <v>321</v>
      </c>
      <c r="C495" s="8" t="s">
        <v>308</v>
      </c>
      <c r="D495" s="8" t="s">
        <v>7</v>
      </c>
      <c r="E495" s="8" t="s">
        <v>336</v>
      </c>
      <c r="F495" s="8">
        <v>42</v>
      </c>
      <c r="G495" s="22">
        <v>924</v>
      </c>
      <c r="H495" s="22">
        <v>420</v>
      </c>
    </row>
    <row r="496" spans="1:8" x14ac:dyDescent="0.25">
      <c r="A496" s="75">
        <v>40711</v>
      </c>
      <c r="B496" s="8" t="s">
        <v>311</v>
      </c>
      <c r="C496" s="8" t="s">
        <v>307</v>
      </c>
      <c r="D496" s="8" t="s">
        <v>7</v>
      </c>
      <c r="E496" s="8" t="s">
        <v>329</v>
      </c>
      <c r="F496" s="8">
        <v>41</v>
      </c>
      <c r="G496" s="22">
        <v>779</v>
      </c>
      <c r="H496" s="22">
        <v>328</v>
      </c>
    </row>
    <row r="497" spans="1:8" x14ac:dyDescent="0.25">
      <c r="A497" s="75">
        <v>40637</v>
      </c>
      <c r="B497" s="8" t="s">
        <v>319</v>
      </c>
      <c r="C497" s="8" t="s">
        <v>309</v>
      </c>
      <c r="D497" s="8" t="s">
        <v>3</v>
      </c>
      <c r="E497" s="8" t="s">
        <v>347</v>
      </c>
      <c r="F497" s="8">
        <v>10</v>
      </c>
      <c r="G497" s="22">
        <v>270</v>
      </c>
      <c r="H497" s="22">
        <v>145</v>
      </c>
    </row>
    <row r="498" spans="1:8" x14ac:dyDescent="0.25">
      <c r="A498" s="75">
        <v>40573</v>
      </c>
      <c r="B498" s="8" t="s">
        <v>319</v>
      </c>
      <c r="C498" s="8" t="s">
        <v>309</v>
      </c>
      <c r="D498" s="8" t="s">
        <v>7</v>
      </c>
      <c r="E498" s="8" t="s">
        <v>324</v>
      </c>
      <c r="F498" s="8">
        <v>59</v>
      </c>
      <c r="G498" s="22">
        <v>1593</v>
      </c>
      <c r="H498" s="22">
        <v>855.5</v>
      </c>
    </row>
    <row r="499" spans="1:8" x14ac:dyDescent="0.25">
      <c r="A499" s="75">
        <v>40665</v>
      </c>
      <c r="B499" s="8" t="s">
        <v>319</v>
      </c>
      <c r="C499" s="8" t="s">
        <v>310</v>
      </c>
      <c r="D499" s="8" t="s">
        <v>3</v>
      </c>
      <c r="E499" s="8" t="s">
        <v>344</v>
      </c>
      <c r="F499" s="8">
        <v>45</v>
      </c>
      <c r="G499" s="22">
        <v>1215</v>
      </c>
      <c r="H499" s="22">
        <v>652.5</v>
      </c>
    </row>
    <row r="500" spans="1:8" x14ac:dyDescent="0.25">
      <c r="A500" s="75">
        <v>40673</v>
      </c>
      <c r="B500" s="8" t="s">
        <v>311</v>
      </c>
      <c r="C500" s="8" t="s">
        <v>310</v>
      </c>
      <c r="D500" s="8" t="s">
        <v>132</v>
      </c>
      <c r="E500" s="8" t="s">
        <v>329</v>
      </c>
      <c r="F500" s="8">
        <v>26</v>
      </c>
      <c r="G500" s="22">
        <v>494</v>
      </c>
      <c r="H500" s="22">
        <v>208</v>
      </c>
    </row>
    <row r="501" spans="1:8" x14ac:dyDescent="0.25">
      <c r="A501" s="75">
        <v>40679</v>
      </c>
      <c r="B501" s="8" t="s">
        <v>319</v>
      </c>
      <c r="C501" s="8" t="s">
        <v>310</v>
      </c>
      <c r="D501" s="8" t="s">
        <v>7</v>
      </c>
      <c r="E501" s="8" t="s">
        <v>347</v>
      </c>
      <c r="F501" s="8">
        <v>9</v>
      </c>
      <c r="G501" s="22">
        <v>243</v>
      </c>
      <c r="H501" s="22">
        <v>130.5</v>
      </c>
    </row>
    <row r="502" spans="1:8" x14ac:dyDescent="0.25">
      <c r="A502" s="75">
        <v>40570</v>
      </c>
      <c r="B502" s="8" t="s">
        <v>315</v>
      </c>
      <c r="C502" s="8" t="s">
        <v>310</v>
      </c>
      <c r="D502" s="8" t="s">
        <v>132</v>
      </c>
      <c r="E502" s="8" t="s">
        <v>337</v>
      </c>
      <c r="F502" s="8">
        <v>20</v>
      </c>
      <c r="G502" s="22">
        <v>460</v>
      </c>
      <c r="H502" s="22">
        <v>220</v>
      </c>
    </row>
    <row r="503" spans="1:8" x14ac:dyDescent="0.25">
      <c r="A503" s="75">
        <v>40555</v>
      </c>
      <c r="B503" s="8" t="s">
        <v>321</v>
      </c>
      <c r="C503" s="8" t="s">
        <v>309</v>
      </c>
      <c r="D503" s="8" t="s">
        <v>3</v>
      </c>
      <c r="E503" s="8" t="s">
        <v>347</v>
      </c>
      <c r="F503" s="8">
        <v>18</v>
      </c>
      <c r="G503" s="22">
        <v>396</v>
      </c>
      <c r="H503" s="22">
        <v>180</v>
      </c>
    </row>
    <row r="504" spans="1:8" x14ac:dyDescent="0.25">
      <c r="A504" s="75">
        <v>40578</v>
      </c>
      <c r="B504" s="8" t="s">
        <v>319</v>
      </c>
      <c r="C504" s="8" t="s">
        <v>309</v>
      </c>
      <c r="D504" s="8" t="s">
        <v>328</v>
      </c>
      <c r="E504" s="8" t="s">
        <v>346</v>
      </c>
      <c r="F504" s="8">
        <v>12</v>
      </c>
      <c r="G504" s="22">
        <v>324</v>
      </c>
      <c r="H504" s="22">
        <v>174</v>
      </c>
    </row>
    <row r="505" spans="1:8" x14ac:dyDescent="0.25">
      <c r="A505" s="75">
        <v>40578</v>
      </c>
      <c r="B505" s="8" t="s">
        <v>321</v>
      </c>
      <c r="C505" s="8" t="s">
        <v>308</v>
      </c>
      <c r="D505" s="8" t="s">
        <v>132</v>
      </c>
      <c r="E505" s="8" t="s">
        <v>338</v>
      </c>
      <c r="F505" s="8">
        <v>65</v>
      </c>
      <c r="G505" s="22">
        <v>1430</v>
      </c>
      <c r="H505" s="22">
        <v>650</v>
      </c>
    </row>
    <row r="506" spans="1:8" x14ac:dyDescent="0.25">
      <c r="A506" s="75">
        <v>40686</v>
      </c>
      <c r="B506" s="8" t="s">
        <v>319</v>
      </c>
      <c r="C506" s="8" t="s">
        <v>310</v>
      </c>
      <c r="D506" s="8" t="s">
        <v>3</v>
      </c>
      <c r="E506" s="8" t="s">
        <v>318</v>
      </c>
      <c r="F506" s="8">
        <v>20</v>
      </c>
      <c r="G506" s="22">
        <v>540</v>
      </c>
      <c r="H506" s="22">
        <v>290</v>
      </c>
    </row>
    <row r="507" spans="1:8" x14ac:dyDescent="0.25">
      <c r="A507" s="75">
        <v>40708</v>
      </c>
      <c r="B507" s="8" t="s">
        <v>319</v>
      </c>
      <c r="C507" s="8" t="s">
        <v>310</v>
      </c>
      <c r="D507" s="8" t="s">
        <v>328</v>
      </c>
      <c r="E507" s="8" t="s">
        <v>339</v>
      </c>
      <c r="F507" s="8">
        <v>40</v>
      </c>
      <c r="G507" s="22">
        <v>1080</v>
      </c>
      <c r="H507" s="22">
        <v>580</v>
      </c>
    </row>
    <row r="508" spans="1:8" x14ac:dyDescent="0.25">
      <c r="A508" s="75">
        <v>40664</v>
      </c>
      <c r="B508" s="8" t="s">
        <v>311</v>
      </c>
      <c r="C508" s="8" t="s">
        <v>309</v>
      </c>
      <c r="D508" s="8" t="s">
        <v>136</v>
      </c>
      <c r="E508" s="8" t="s">
        <v>334</v>
      </c>
      <c r="F508" s="8">
        <v>52</v>
      </c>
      <c r="G508" s="22">
        <v>988</v>
      </c>
      <c r="H508" s="22">
        <v>416</v>
      </c>
    </row>
    <row r="509" spans="1:8" x14ac:dyDescent="0.25">
      <c r="A509" s="75">
        <v>40554</v>
      </c>
      <c r="B509" s="8" t="s">
        <v>315</v>
      </c>
      <c r="C509" s="8" t="s">
        <v>308</v>
      </c>
      <c r="D509" s="8" t="s">
        <v>312</v>
      </c>
      <c r="E509" s="8" t="s">
        <v>324</v>
      </c>
      <c r="F509" s="8">
        <v>53</v>
      </c>
      <c r="G509" s="22">
        <v>1219</v>
      </c>
      <c r="H509" s="22">
        <v>583</v>
      </c>
    </row>
    <row r="510" spans="1:8" x14ac:dyDescent="0.25">
      <c r="A510" s="75">
        <v>40711</v>
      </c>
      <c r="B510" s="8" t="s">
        <v>315</v>
      </c>
      <c r="C510" s="8" t="s">
        <v>310</v>
      </c>
      <c r="D510" s="8" t="s">
        <v>136</v>
      </c>
      <c r="E510" s="8" t="s">
        <v>318</v>
      </c>
      <c r="F510" s="8">
        <v>19</v>
      </c>
      <c r="G510" s="22">
        <v>437</v>
      </c>
      <c r="H510" s="22">
        <v>209</v>
      </c>
    </row>
    <row r="511" spans="1:8" x14ac:dyDescent="0.25">
      <c r="A511" s="75">
        <v>40549</v>
      </c>
      <c r="B511" s="8" t="s">
        <v>319</v>
      </c>
      <c r="C511" s="8" t="s">
        <v>309</v>
      </c>
      <c r="D511" s="8" t="s">
        <v>136</v>
      </c>
      <c r="E511" s="8" t="s">
        <v>318</v>
      </c>
      <c r="F511" s="8">
        <v>13</v>
      </c>
      <c r="G511" s="22">
        <v>351</v>
      </c>
      <c r="H511" s="22">
        <v>188.5</v>
      </c>
    </row>
    <row r="512" spans="1:8" x14ac:dyDescent="0.25">
      <c r="A512" s="75">
        <v>40642</v>
      </c>
      <c r="B512" s="8" t="s">
        <v>321</v>
      </c>
      <c r="C512" s="8" t="s">
        <v>309</v>
      </c>
      <c r="D512" s="8" t="s">
        <v>3</v>
      </c>
      <c r="E512" s="8" t="s">
        <v>345</v>
      </c>
      <c r="F512" s="8">
        <v>43</v>
      </c>
      <c r="G512" s="22">
        <v>946</v>
      </c>
      <c r="H512" s="22">
        <v>430</v>
      </c>
    </row>
    <row r="513" spans="1:8" x14ac:dyDescent="0.25">
      <c r="A513" s="75">
        <v>40678</v>
      </c>
      <c r="B513" s="8" t="s">
        <v>319</v>
      </c>
      <c r="C513" s="8" t="s">
        <v>308</v>
      </c>
      <c r="D513" s="8" t="s">
        <v>7</v>
      </c>
      <c r="E513" s="8" t="s">
        <v>336</v>
      </c>
      <c r="F513" s="8">
        <v>18</v>
      </c>
      <c r="G513" s="22">
        <v>486</v>
      </c>
      <c r="H513" s="22">
        <v>261</v>
      </c>
    </row>
    <row r="514" spans="1:8" x14ac:dyDescent="0.25">
      <c r="A514" s="75">
        <v>40544</v>
      </c>
      <c r="B514" s="8" t="s">
        <v>319</v>
      </c>
      <c r="C514" s="8" t="s">
        <v>310</v>
      </c>
      <c r="D514" s="8" t="s">
        <v>136</v>
      </c>
      <c r="E514" s="8" t="s">
        <v>313</v>
      </c>
      <c r="F514" s="8">
        <v>45</v>
      </c>
      <c r="G514" s="22">
        <v>1215</v>
      </c>
      <c r="H514" s="22">
        <v>652.5</v>
      </c>
    </row>
    <row r="515" spans="1:8" x14ac:dyDescent="0.25">
      <c r="A515" s="75">
        <v>40693</v>
      </c>
      <c r="B515" s="8" t="s">
        <v>319</v>
      </c>
      <c r="C515" s="8" t="s">
        <v>310</v>
      </c>
      <c r="D515" s="8" t="s">
        <v>132</v>
      </c>
      <c r="E515" s="8" t="s">
        <v>346</v>
      </c>
      <c r="F515" s="8">
        <v>50</v>
      </c>
      <c r="G515" s="22">
        <v>1350</v>
      </c>
      <c r="H515" s="22">
        <v>725</v>
      </c>
    </row>
    <row r="516" spans="1:8" x14ac:dyDescent="0.25">
      <c r="A516" s="75">
        <v>40583</v>
      </c>
      <c r="B516" s="8" t="s">
        <v>321</v>
      </c>
      <c r="C516" s="8" t="s">
        <v>308</v>
      </c>
      <c r="D516" s="8" t="s">
        <v>3</v>
      </c>
      <c r="E516" s="8" t="s">
        <v>334</v>
      </c>
      <c r="F516" s="8">
        <v>64</v>
      </c>
      <c r="G516" s="22">
        <v>1408</v>
      </c>
      <c r="H516" s="22">
        <v>640</v>
      </c>
    </row>
    <row r="517" spans="1:8" x14ac:dyDescent="0.25">
      <c r="A517" s="75">
        <v>40623</v>
      </c>
      <c r="B517" s="8" t="s">
        <v>315</v>
      </c>
      <c r="C517" s="8" t="s">
        <v>310</v>
      </c>
      <c r="D517" s="8" t="s">
        <v>3</v>
      </c>
      <c r="E517" s="8" t="s">
        <v>327</v>
      </c>
      <c r="F517" s="8">
        <v>28</v>
      </c>
      <c r="G517" s="22">
        <v>644</v>
      </c>
      <c r="H517" s="22">
        <v>308</v>
      </c>
    </row>
    <row r="518" spans="1:8" x14ac:dyDescent="0.25">
      <c r="A518" s="75">
        <v>40626</v>
      </c>
      <c r="B518" s="8" t="s">
        <v>321</v>
      </c>
      <c r="C518" s="8" t="s">
        <v>308</v>
      </c>
      <c r="D518" s="8" t="s">
        <v>3</v>
      </c>
      <c r="E518" s="8" t="s">
        <v>332</v>
      </c>
      <c r="F518" s="8">
        <v>30</v>
      </c>
      <c r="G518" s="22">
        <v>660</v>
      </c>
      <c r="H518" s="22">
        <v>300</v>
      </c>
    </row>
    <row r="519" spans="1:8" x14ac:dyDescent="0.25">
      <c r="A519" s="75">
        <v>40695</v>
      </c>
      <c r="B519" s="8" t="s">
        <v>319</v>
      </c>
      <c r="C519" s="8" t="s">
        <v>309</v>
      </c>
      <c r="D519" s="8" t="s">
        <v>7</v>
      </c>
      <c r="E519" s="8" t="s">
        <v>320</v>
      </c>
      <c r="F519" s="8">
        <v>28</v>
      </c>
      <c r="G519" s="22">
        <v>756</v>
      </c>
      <c r="H519" s="22">
        <v>406</v>
      </c>
    </row>
    <row r="520" spans="1:8" x14ac:dyDescent="0.25">
      <c r="A520" s="75">
        <v>40661</v>
      </c>
      <c r="B520" s="8" t="s">
        <v>315</v>
      </c>
      <c r="C520" s="8" t="s">
        <v>310</v>
      </c>
      <c r="D520" s="8" t="s">
        <v>328</v>
      </c>
      <c r="E520" s="8" t="s">
        <v>313</v>
      </c>
      <c r="F520" s="8">
        <v>15</v>
      </c>
      <c r="G520" s="22">
        <v>345</v>
      </c>
      <c r="H520" s="22">
        <v>165</v>
      </c>
    </row>
    <row r="521" spans="1:8" x14ac:dyDescent="0.25">
      <c r="A521" s="75">
        <v>40549</v>
      </c>
      <c r="B521" s="8" t="s">
        <v>317</v>
      </c>
      <c r="C521" s="8" t="s">
        <v>310</v>
      </c>
      <c r="D521" s="8" t="s">
        <v>132</v>
      </c>
      <c r="E521" s="8" t="s">
        <v>345</v>
      </c>
      <c r="F521" s="8">
        <v>64</v>
      </c>
      <c r="G521" s="22">
        <v>1344</v>
      </c>
      <c r="H521" s="22">
        <v>592</v>
      </c>
    </row>
    <row r="522" spans="1:8" x14ac:dyDescent="0.25">
      <c r="A522" s="75">
        <v>40702</v>
      </c>
      <c r="B522" s="8" t="s">
        <v>315</v>
      </c>
      <c r="C522" s="8" t="s">
        <v>309</v>
      </c>
      <c r="D522" s="8" t="s">
        <v>312</v>
      </c>
      <c r="E522" s="8" t="s">
        <v>332</v>
      </c>
      <c r="F522" s="8">
        <v>19</v>
      </c>
      <c r="G522" s="22">
        <v>437</v>
      </c>
      <c r="H522" s="22">
        <v>209</v>
      </c>
    </row>
    <row r="523" spans="1:8" x14ac:dyDescent="0.25">
      <c r="A523" s="75">
        <v>40666</v>
      </c>
      <c r="B523" s="8" t="s">
        <v>321</v>
      </c>
      <c r="C523" s="8" t="s">
        <v>308</v>
      </c>
      <c r="D523" s="8" t="s">
        <v>132</v>
      </c>
      <c r="E523" s="8" t="s">
        <v>337</v>
      </c>
      <c r="F523" s="8">
        <v>22</v>
      </c>
      <c r="G523" s="22">
        <v>484</v>
      </c>
      <c r="H523" s="22">
        <v>220</v>
      </c>
    </row>
    <row r="524" spans="1:8" x14ac:dyDescent="0.25">
      <c r="A524" s="75">
        <v>40680</v>
      </c>
      <c r="B524" s="8" t="s">
        <v>315</v>
      </c>
      <c r="C524" s="8" t="s">
        <v>309</v>
      </c>
      <c r="D524" s="8" t="s">
        <v>136</v>
      </c>
      <c r="E524" s="8" t="s">
        <v>333</v>
      </c>
      <c r="F524" s="8">
        <v>60</v>
      </c>
      <c r="G524" s="22">
        <v>1380</v>
      </c>
      <c r="H524" s="22">
        <v>660</v>
      </c>
    </row>
    <row r="525" spans="1:8" x14ac:dyDescent="0.25">
      <c r="A525" s="75">
        <v>40692</v>
      </c>
      <c r="B525" s="8" t="s">
        <v>311</v>
      </c>
      <c r="C525" s="8" t="s">
        <v>310</v>
      </c>
      <c r="D525" s="8" t="s">
        <v>328</v>
      </c>
      <c r="E525" s="8" t="s">
        <v>323</v>
      </c>
      <c r="F525" s="8">
        <v>63</v>
      </c>
      <c r="G525" s="22">
        <v>1197</v>
      </c>
      <c r="H525" s="22">
        <v>504</v>
      </c>
    </row>
    <row r="526" spans="1:8" x14ac:dyDescent="0.25">
      <c r="A526" s="75">
        <v>40593</v>
      </c>
      <c r="B526" s="8" t="s">
        <v>321</v>
      </c>
      <c r="C526" s="8" t="s">
        <v>310</v>
      </c>
      <c r="D526" s="8" t="s">
        <v>136</v>
      </c>
      <c r="E526" s="8" t="s">
        <v>325</v>
      </c>
      <c r="F526" s="8">
        <v>64</v>
      </c>
      <c r="G526" s="22">
        <v>1408</v>
      </c>
      <c r="H526" s="22">
        <v>640</v>
      </c>
    </row>
    <row r="527" spans="1:8" x14ac:dyDescent="0.25">
      <c r="A527" s="75">
        <v>40583</v>
      </c>
      <c r="B527" s="8" t="s">
        <v>321</v>
      </c>
      <c r="C527" s="8" t="s">
        <v>310</v>
      </c>
      <c r="D527" s="8" t="s">
        <v>136</v>
      </c>
      <c r="E527" s="8" t="s">
        <v>334</v>
      </c>
      <c r="F527" s="8">
        <v>40</v>
      </c>
      <c r="G527" s="22">
        <v>880</v>
      </c>
      <c r="H527" s="22">
        <v>400</v>
      </c>
    </row>
    <row r="528" spans="1:8" x14ac:dyDescent="0.25">
      <c r="A528" s="75">
        <v>40682</v>
      </c>
      <c r="B528" s="8" t="s">
        <v>317</v>
      </c>
      <c r="C528" s="8" t="s">
        <v>309</v>
      </c>
      <c r="D528" s="8" t="s">
        <v>312</v>
      </c>
      <c r="E528" s="8" t="s">
        <v>330</v>
      </c>
      <c r="F528" s="8">
        <v>19</v>
      </c>
      <c r="G528" s="22">
        <v>399</v>
      </c>
      <c r="H528" s="22">
        <v>175.75</v>
      </c>
    </row>
    <row r="529" spans="1:8" x14ac:dyDescent="0.25">
      <c r="A529" s="75">
        <v>40714</v>
      </c>
      <c r="B529" s="8" t="s">
        <v>317</v>
      </c>
      <c r="C529" s="8" t="s">
        <v>310</v>
      </c>
      <c r="D529" s="8" t="s">
        <v>132</v>
      </c>
      <c r="E529" s="8" t="s">
        <v>327</v>
      </c>
      <c r="F529" s="8">
        <v>14</v>
      </c>
      <c r="G529" s="22">
        <v>294</v>
      </c>
      <c r="H529" s="22">
        <v>129.5</v>
      </c>
    </row>
    <row r="530" spans="1:8" x14ac:dyDescent="0.25">
      <c r="A530" s="75">
        <v>40574</v>
      </c>
      <c r="B530" s="8" t="s">
        <v>319</v>
      </c>
      <c r="C530" s="8" t="s">
        <v>308</v>
      </c>
      <c r="D530" s="8" t="s">
        <v>7</v>
      </c>
      <c r="E530" s="8" t="s">
        <v>343</v>
      </c>
      <c r="F530" s="8">
        <v>40</v>
      </c>
      <c r="G530" s="22">
        <v>1080</v>
      </c>
      <c r="H530" s="22">
        <v>580</v>
      </c>
    </row>
    <row r="531" spans="1:8" x14ac:dyDescent="0.25">
      <c r="A531" s="75">
        <v>40550</v>
      </c>
      <c r="B531" s="8" t="s">
        <v>321</v>
      </c>
      <c r="C531" s="8" t="s">
        <v>310</v>
      </c>
      <c r="D531" s="8" t="s">
        <v>312</v>
      </c>
      <c r="E531" s="8" t="s">
        <v>337</v>
      </c>
      <c r="F531" s="8">
        <v>18</v>
      </c>
      <c r="G531" s="22">
        <v>396</v>
      </c>
      <c r="H531" s="22">
        <v>180</v>
      </c>
    </row>
    <row r="532" spans="1:8" x14ac:dyDescent="0.25">
      <c r="A532" s="75">
        <v>40634</v>
      </c>
      <c r="B532" s="8" t="s">
        <v>315</v>
      </c>
      <c r="C532" s="8" t="s">
        <v>308</v>
      </c>
      <c r="D532" s="8" t="s">
        <v>7</v>
      </c>
      <c r="E532" s="8" t="s">
        <v>340</v>
      </c>
      <c r="F532" s="8">
        <v>22</v>
      </c>
      <c r="G532" s="22">
        <v>506</v>
      </c>
      <c r="H532" s="22">
        <v>242</v>
      </c>
    </row>
    <row r="533" spans="1:8" x14ac:dyDescent="0.25">
      <c r="A533" s="75">
        <v>40699</v>
      </c>
      <c r="B533" s="8" t="s">
        <v>317</v>
      </c>
      <c r="C533" s="8" t="s">
        <v>309</v>
      </c>
      <c r="D533" s="8" t="s">
        <v>136</v>
      </c>
      <c r="E533" s="8" t="s">
        <v>322</v>
      </c>
      <c r="F533" s="8">
        <v>20</v>
      </c>
      <c r="G533" s="22">
        <v>420</v>
      </c>
      <c r="H533" s="22">
        <v>185</v>
      </c>
    </row>
    <row r="534" spans="1:8" x14ac:dyDescent="0.25">
      <c r="A534" s="75">
        <v>40627</v>
      </c>
      <c r="B534" s="8" t="s">
        <v>317</v>
      </c>
      <c r="C534" s="8" t="s">
        <v>308</v>
      </c>
      <c r="D534" s="8" t="s">
        <v>312</v>
      </c>
      <c r="E534" s="8" t="s">
        <v>331</v>
      </c>
      <c r="F534" s="8">
        <v>13</v>
      </c>
      <c r="G534" s="22">
        <v>273</v>
      </c>
      <c r="H534" s="22">
        <v>120.25</v>
      </c>
    </row>
    <row r="535" spans="1:8" x14ac:dyDescent="0.25">
      <c r="A535" s="75">
        <v>40592</v>
      </c>
      <c r="B535" s="8" t="s">
        <v>321</v>
      </c>
      <c r="C535" s="8" t="s">
        <v>309</v>
      </c>
      <c r="D535" s="8" t="s">
        <v>132</v>
      </c>
      <c r="E535" s="8" t="s">
        <v>342</v>
      </c>
      <c r="F535" s="8">
        <v>50</v>
      </c>
      <c r="G535" s="22">
        <v>1100</v>
      </c>
      <c r="H535" s="22">
        <v>500</v>
      </c>
    </row>
    <row r="536" spans="1:8" x14ac:dyDescent="0.25">
      <c r="A536" s="75">
        <v>40652</v>
      </c>
      <c r="B536" s="8" t="s">
        <v>311</v>
      </c>
      <c r="C536" s="8" t="s">
        <v>308</v>
      </c>
      <c r="D536" s="8" t="s">
        <v>7</v>
      </c>
      <c r="E536" s="8" t="s">
        <v>330</v>
      </c>
      <c r="F536" s="8">
        <v>9</v>
      </c>
      <c r="G536" s="22">
        <v>171</v>
      </c>
      <c r="H536" s="22">
        <v>72</v>
      </c>
    </row>
    <row r="537" spans="1:8" x14ac:dyDescent="0.25">
      <c r="A537" s="75">
        <v>40668</v>
      </c>
      <c r="B537" s="8" t="s">
        <v>311</v>
      </c>
      <c r="C537" s="8" t="s">
        <v>308</v>
      </c>
      <c r="D537" s="8" t="s">
        <v>328</v>
      </c>
      <c r="E537" s="8" t="s">
        <v>344</v>
      </c>
      <c r="F537" s="8">
        <v>58</v>
      </c>
      <c r="G537" s="22">
        <v>1102</v>
      </c>
      <c r="H537" s="22">
        <v>464</v>
      </c>
    </row>
    <row r="538" spans="1:8" x14ac:dyDescent="0.25">
      <c r="A538" s="75">
        <v>40696</v>
      </c>
      <c r="B538" s="8" t="s">
        <v>321</v>
      </c>
      <c r="C538" s="8" t="s">
        <v>308</v>
      </c>
      <c r="D538" s="8" t="s">
        <v>3</v>
      </c>
      <c r="E538" s="8" t="s">
        <v>331</v>
      </c>
      <c r="F538" s="8">
        <v>57</v>
      </c>
      <c r="G538" s="22">
        <v>1254</v>
      </c>
      <c r="H538" s="22">
        <v>570</v>
      </c>
    </row>
    <row r="539" spans="1:8" x14ac:dyDescent="0.25">
      <c r="A539" s="75">
        <v>40715</v>
      </c>
      <c r="B539" s="8" t="s">
        <v>315</v>
      </c>
      <c r="C539" s="8" t="s">
        <v>308</v>
      </c>
      <c r="D539" s="8" t="s">
        <v>7</v>
      </c>
      <c r="E539" s="8" t="s">
        <v>327</v>
      </c>
      <c r="F539" s="8">
        <v>30</v>
      </c>
      <c r="G539" s="22">
        <v>690</v>
      </c>
      <c r="H539" s="22">
        <v>330</v>
      </c>
    </row>
    <row r="540" spans="1:8" x14ac:dyDescent="0.25">
      <c r="A540" s="75">
        <v>40579</v>
      </c>
      <c r="B540" s="8" t="s">
        <v>317</v>
      </c>
      <c r="C540" s="8" t="s">
        <v>308</v>
      </c>
      <c r="D540" s="8" t="s">
        <v>312</v>
      </c>
      <c r="E540" s="8" t="s">
        <v>340</v>
      </c>
      <c r="F540" s="8">
        <v>27</v>
      </c>
      <c r="G540" s="22">
        <v>567</v>
      </c>
      <c r="H540" s="22">
        <v>249.75</v>
      </c>
    </row>
    <row r="541" spans="1:8" x14ac:dyDescent="0.25">
      <c r="A541" s="75">
        <v>40566</v>
      </c>
      <c r="B541" s="8" t="s">
        <v>319</v>
      </c>
      <c r="C541" s="8" t="s">
        <v>310</v>
      </c>
      <c r="D541" s="8" t="s">
        <v>312</v>
      </c>
      <c r="E541" s="8" t="s">
        <v>337</v>
      </c>
      <c r="F541" s="8">
        <v>60</v>
      </c>
      <c r="G541" s="22">
        <v>1620</v>
      </c>
      <c r="H541" s="22">
        <v>870</v>
      </c>
    </row>
    <row r="542" spans="1:8" x14ac:dyDescent="0.25">
      <c r="A542" s="75">
        <v>40592</v>
      </c>
      <c r="B542" s="8" t="s">
        <v>321</v>
      </c>
      <c r="C542" s="8" t="s">
        <v>309</v>
      </c>
      <c r="D542" s="8" t="s">
        <v>3</v>
      </c>
      <c r="E542" s="8" t="s">
        <v>428</v>
      </c>
      <c r="F542" s="8">
        <v>30</v>
      </c>
      <c r="G542" s="22">
        <v>660</v>
      </c>
      <c r="H542" s="22">
        <v>300</v>
      </c>
    </row>
    <row r="543" spans="1:8" x14ac:dyDescent="0.25">
      <c r="A543" s="75">
        <v>40550</v>
      </c>
      <c r="B543" s="8" t="s">
        <v>319</v>
      </c>
      <c r="C543" s="8" t="s">
        <v>308</v>
      </c>
      <c r="D543" s="8" t="s">
        <v>7</v>
      </c>
      <c r="E543" s="8" t="s">
        <v>326</v>
      </c>
      <c r="F543" s="8">
        <v>15</v>
      </c>
      <c r="G543" s="22">
        <v>405</v>
      </c>
      <c r="H543" s="22">
        <v>217.5</v>
      </c>
    </row>
    <row r="544" spans="1:8" x14ac:dyDescent="0.25">
      <c r="A544" s="75">
        <v>40592</v>
      </c>
      <c r="B544" s="8" t="s">
        <v>317</v>
      </c>
      <c r="C544" s="8" t="s">
        <v>308</v>
      </c>
      <c r="D544" s="8" t="s">
        <v>132</v>
      </c>
      <c r="E544" s="8" t="s">
        <v>342</v>
      </c>
      <c r="F544" s="8">
        <v>11</v>
      </c>
      <c r="G544" s="22">
        <v>231</v>
      </c>
      <c r="H544" s="22">
        <v>101.75</v>
      </c>
    </row>
    <row r="545" spans="1:8" x14ac:dyDescent="0.25">
      <c r="A545" s="75">
        <v>40630</v>
      </c>
      <c r="B545" s="8" t="s">
        <v>311</v>
      </c>
      <c r="C545" s="8" t="s">
        <v>308</v>
      </c>
      <c r="D545" s="8" t="s">
        <v>132</v>
      </c>
      <c r="E545" s="8" t="s">
        <v>335</v>
      </c>
      <c r="F545" s="8">
        <v>34</v>
      </c>
      <c r="G545" s="22">
        <v>646</v>
      </c>
      <c r="H545" s="22">
        <v>272</v>
      </c>
    </row>
    <row r="546" spans="1:8" x14ac:dyDescent="0.25">
      <c r="A546" s="75">
        <v>40653</v>
      </c>
      <c r="B546" s="8" t="s">
        <v>321</v>
      </c>
      <c r="C546" s="8" t="s">
        <v>307</v>
      </c>
      <c r="D546" s="8" t="s">
        <v>7</v>
      </c>
      <c r="E546" s="8" t="s">
        <v>322</v>
      </c>
      <c r="F546" s="8">
        <v>56</v>
      </c>
      <c r="G546" s="22">
        <v>1232</v>
      </c>
      <c r="H546" s="22">
        <v>560</v>
      </c>
    </row>
    <row r="547" spans="1:8" x14ac:dyDescent="0.25">
      <c r="A547" s="75">
        <v>40546</v>
      </c>
      <c r="B547" s="8" t="s">
        <v>319</v>
      </c>
      <c r="C547" s="8" t="s">
        <v>310</v>
      </c>
      <c r="D547" s="8" t="s">
        <v>3</v>
      </c>
      <c r="E547" s="8" t="s">
        <v>323</v>
      </c>
      <c r="F547" s="8">
        <v>41</v>
      </c>
      <c r="G547" s="22">
        <v>1107</v>
      </c>
      <c r="H547" s="22">
        <v>594.5</v>
      </c>
    </row>
    <row r="548" spans="1:8" x14ac:dyDescent="0.25">
      <c r="A548" s="75">
        <v>40646</v>
      </c>
      <c r="B548" s="8" t="s">
        <v>319</v>
      </c>
      <c r="C548" s="8" t="s">
        <v>309</v>
      </c>
      <c r="D548" s="8" t="s">
        <v>328</v>
      </c>
      <c r="E548" s="8" t="s">
        <v>337</v>
      </c>
      <c r="F548" s="8">
        <v>46</v>
      </c>
      <c r="G548" s="22">
        <v>1242</v>
      </c>
      <c r="H548" s="22">
        <v>667</v>
      </c>
    </row>
    <row r="549" spans="1:8" x14ac:dyDescent="0.25">
      <c r="A549" s="75">
        <v>40592</v>
      </c>
      <c r="B549" s="8" t="s">
        <v>317</v>
      </c>
      <c r="C549" s="8" t="s">
        <v>309</v>
      </c>
      <c r="D549" s="8" t="s">
        <v>136</v>
      </c>
      <c r="E549" s="8" t="s">
        <v>318</v>
      </c>
      <c r="F549" s="8">
        <v>32</v>
      </c>
      <c r="G549" s="22">
        <v>672</v>
      </c>
      <c r="H549" s="22">
        <v>296</v>
      </c>
    </row>
    <row r="550" spans="1:8" x14ac:dyDescent="0.25">
      <c r="A550" s="75">
        <v>40653</v>
      </c>
      <c r="B550" s="8" t="s">
        <v>321</v>
      </c>
      <c r="C550" s="8" t="s">
        <v>308</v>
      </c>
      <c r="D550" s="8" t="s">
        <v>312</v>
      </c>
      <c r="E550" s="8" t="s">
        <v>313</v>
      </c>
      <c r="F550" s="8">
        <v>55</v>
      </c>
      <c r="G550" s="22">
        <v>1210</v>
      </c>
      <c r="H550" s="22">
        <v>550</v>
      </c>
    </row>
    <row r="551" spans="1:8" x14ac:dyDescent="0.25">
      <c r="A551" s="75">
        <v>40682</v>
      </c>
      <c r="B551" s="8" t="s">
        <v>321</v>
      </c>
      <c r="C551" s="8" t="s">
        <v>310</v>
      </c>
      <c r="D551" s="8" t="s">
        <v>132</v>
      </c>
      <c r="E551" s="8" t="s">
        <v>314</v>
      </c>
      <c r="F551" s="8">
        <v>56</v>
      </c>
      <c r="G551" s="22">
        <v>1232</v>
      </c>
      <c r="H551" s="22">
        <v>560</v>
      </c>
    </row>
    <row r="552" spans="1:8" x14ac:dyDescent="0.25">
      <c r="A552" s="75">
        <v>40601</v>
      </c>
      <c r="B552" s="8" t="s">
        <v>321</v>
      </c>
      <c r="C552" s="8" t="s">
        <v>307</v>
      </c>
      <c r="D552" s="8" t="s">
        <v>7</v>
      </c>
      <c r="E552" s="8" t="s">
        <v>320</v>
      </c>
      <c r="F552" s="8">
        <v>34</v>
      </c>
      <c r="G552" s="22">
        <v>748</v>
      </c>
      <c r="H552" s="22">
        <v>340</v>
      </c>
    </row>
    <row r="553" spans="1:8" x14ac:dyDescent="0.25">
      <c r="A553" s="75">
        <v>40679</v>
      </c>
      <c r="B553" s="8" t="s">
        <v>311</v>
      </c>
      <c r="C553" s="8" t="s">
        <v>307</v>
      </c>
      <c r="D553" s="8" t="s">
        <v>312</v>
      </c>
      <c r="E553" s="8" t="s">
        <v>344</v>
      </c>
      <c r="F553" s="8">
        <v>37</v>
      </c>
      <c r="G553" s="22">
        <v>703</v>
      </c>
      <c r="H553" s="22">
        <v>296</v>
      </c>
    </row>
    <row r="554" spans="1:8" x14ac:dyDescent="0.25">
      <c r="A554" s="75">
        <v>40692</v>
      </c>
      <c r="B554" s="8" t="s">
        <v>321</v>
      </c>
      <c r="C554" s="8" t="s">
        <v>309</v>
      </c>
      <c r="D554" s="8" t="s">
        <v>312</v>
      </c>
      <c r="E554" s="8" t="s">
        <v>322</v>
      </c>
      <c r="F554" s="8">
        <v>11</v>
      </c>
      <c r="G554" s="22">
        <v>242</v>
      </c>
      <c r="H554" s="22">
        <v>110</v>
      </c>
    </row>
    <row r="555" spans="1:8" x14ac:dyDescent="0.25">
      <c r="A555" s="75">
        <v>40593</v>
      </c>
      <c r="B555" s="8" t="s">
        <v>315</v>
      </c>
      <c r="C555" s="8" t="s">
        <v>307</v>
      </c>
      <c r="D555" s="8" t="s">
        <v>328</v>
      </c>
      <c r="E555" s="8" t="s">
        <v>340</v>
      </c>
      <c r="F555" s="8">
        <v>56</v>
      </c>
      <c r="G555" s="22">
        <v>1288</v>
      </c>
      <c r="H555" s="22">
        <v>616</v>
      </c>
    </row>
    <row r="556" spans="1:8" x14ac:dyDescent="0.25">
      <c r="A556" s="75">
        <v>40615</v>
      </c>
      <c r="B556" s="8" t="s">
        <v>321</v>
      </c>
      <c r="C556" s="8" t="s">
        <v>310</v>
      </c>
      <c r="D556" s="8" t="s">
        <v>328</v>
      </c>
      <c r="E556" s="8" t="s">
        <v>327</v>
      </c>
      <c r="F556" s="8">
        <v>36</v>
      </c>
      <c r="G556" s="22">
        <v>792</v>
      </c>
      <c r="H556" s="22">
        <v>360</v>
      </c>
    </row>
    <row r="557" spans="1:8" x14ac:dyDescent="0.25">
      <c r="A557" s="75">
        <v>40594</v>
      </c>
      <c r="B557" s="8" t="s">
        <v>317</v>
      </c>
      <c r="C557" s="8" t="s">
        <v>307</v>
      </c>
      <c r="D557" s="8" t="s">
        <v>3</v>
      </c>
      <c r="E557" s="8" t="s">
        <v>432</v>
      </c>
      <c r="F557" s="8">
        <v>27</v>
      </c>
      <c r="G557" s="22">
        <v>567</v>
      </c>
      <c r="H557" s="22">
        <v>249.75</v>
      </c>
    </row>
    <row r="558" spans="1:8" x14ac:dyDescent="0.25">
      <c r="A558" s="75">
        <v>40678</v>
      </c>
      <c r="B558" s="8" t="s">
        <v>319</v>
      </c>
      <c r="C558" s="8" t="s">
        <v>308</v>
      </c>
      <c r="D558" s="8" t="s">
        <v>136</v>
      </c>
      <c r="E558" s="8" t="s">
        <v>322</v>
      </c>
      <c r="F558" s="8">
        <v>55</v>
      </c>
      <c r="G558" s="22">
        <v>1485</v>
      </c>
      <c r="H558" s="22">
        <v>797.5</v>
      </c>
    </row>
    <row r="559" spans="1:8" x14ac:dyDescent="0.25">
      <c r="A559" s="75">
        <v>40559</v>
      </c>
      <c r="B559" s="8" t="s">
        <v>321</v>
      </c>
      <c r="C559" s="8" t="s">
        <v>307</v>
      </c>
      <c r="D559" s="8" t="s">
        <v>132</v>
      </c>
      <c r="E559" s="8" t="s">
        <v>330</v>
      </c>
      <c r="F559" s="8">
        <v>54</v>
      </c>
      <c r="G559" s="22">
        <v>1188</v>
      </c>
      <c r="H559" s="22">
        <v>540</v>
      </c>
    </row>
    <row r="560" spans="1:8" x14ac:dyDescent="0.25">
      <c r="A560" s="75">
        <v>40551</v>
      </c>
      <c r="B560" s="8" t="s">
        <v>321</v>
      </c>
      <c r="C560" s="8" t="s">
        <v>308</v>
      </c>
      <c r="D560" s="8" t="s">
        <v>328</v>
      </c>
      <c r="E560" s="8" t="s">
        <v>339</v>
      </c>
      <c r="F560" s="8">
        <v>60</v>
      </c>
      <c r="G560" s="22">
        <v>1320</v>
      </c>
      <c r="H560" s="22">
        <v>600</v>
      </c>
    </row>
    <row r="561" spans="1:8" x14ac:dyDescent="0.25">
      <c r="A561" s="75">
        <v>40669</v>
      </c>
      <c r="B561" s="8" t="s">
        <v>319</v>
      </c>
      <c r="C561" s="8" t="s">
        <v>307</v>
      </c>
      <c r="D561" s="8" t="s">
        <v>328</v>
      </c>
      <c r="E561" s="8" t="s">
        <v>329</v>
      </c>
      <c r="F561" s="8">
        <v>28</v>
      </c>
      <c r="G561" s="22">
        <v>756</v>
      </c>
      <c r="H561" s="22">
        <v>406</v>
      </c>
    </row>
    <row r="562" spans="1:8" x14ac:dyDescent="0.25">
      <c r="A562" s="75">
        <v>40692</v>
      </c>
      <c r="B562" s="8" t="s">
        <v>321</v>
      </c>
      <c r="C562" s="8" t="s">
        <v>309</v>
      </c>
      <c r="D562" s="8" t="s">
        <v>312</v>
      </c>
      <c r="E562" s="8" t="s">
        <v>348</v>
      </c>
      <c r="F562" s="8">
        <v>37</v>
      </c>
      <c r="G562" s="22">
        <v>814</v>
      </c>
      <c r="H562" s="22">
        <v>370</v>
      </c>
    </row>
    <row r="563" spans="1:8" x14ac:dyDescent="0.25">
      <c r="A563" s="75">
        <v>40628</v>
      </c>
      <c r="B563" s="8" t="s">
        <v>311</v>
      </c>
      <c r="C563" s="8" t="s">
        <v>309</v>
      </c>
      <c r="D563" s="8" t="s">
        <v>132</v>
      </c>
      <c r="E563" s="8" t="s">
        <v>318</v>
      </c>
      <c r="F563" s="8">
        <v>6</v>
      </c>
      <c r="G563" s="22">
        <v>114</v>
      </c>
      <c r="H563" s="22">
        <v>48</v>
      </c>
    </row>
    <row r="564" spans="1:8" x14ac:dyDescent="0.25">
      <c r="A564" s="75">
        <v>40713</v>
      </c>
      <c r="B564" s="8" t="s">
        <v>321</v>
      </c>
      <c r="C564" s="8" t="s">
        <v>309</v>
      </c>
      <c r="D564" s="8" t="s">
        <v>136</v>
      </c>
      <c r="E564" s="8" t="s">
        <v>336</v>
      </c>
      <c r="F564" s="8">
        <v>33</v>
      </c>
      <c r="G564" s="22">
        <v>726</v>
      </c>
      <c r="H564" s="22">
        <v>330</v>
      </c>
    </row>
    <row r="565" spans="1:8" x14ac:dyDescent="0.25">
      <c r="A565" s="75">
        <v>40561</v>
      </c>
      <c r="B565" s="8" t="s">
        <v>311</v>
      </c>
      <c r="C565" s="8" t="s">
        <v>310</v>
      </c>
      <c r="D565" s="8" t="s">
        <v>328</v>
      </c>
      <c r="E565" s="8" t="s">
        <v>337</v>
      </c>
      <c r="F565" s="8">
        <v>21</v>
      </c>
      <c r="G565" s="22">
        <v>399</v>
      </c>
      <c r="H565" s="22">
        <v>168</v>
      </c>
    </row>
    <row r="566" spans="1:8" x14ac:dyDescent="0.25">
      <c r="A566" s="75">
        <v>40683</v>
      </c>
      <c r="B566" s="8" t="s">
        <v>319</v>
      </c>
      <c r="C566" s="8" t="s">
        <v>307</v>
      </c>
      <c r="D566" s="8" t="s">
        <v>328</v>
      </c>
      <c r="E566" s="8" t="s">
        <v>339</v>
      </c>
      <c r="F566" s="8">
        <v>39</v>
      </c>
      <c r="G566" s="22">
        <v>1053</v>
      </c>
      <c r="H566" s="22">
        <v>565.5</v>
      </c>
    </row>
    <row r="567" spans="1:8" x14ac:dyDescent="0.25">
      <c r="A567" s="75">
        <v>40641</v>
      </c>
      <c r="B567" s="8" t="s">
        <v>311</v>
      </c>
      <c r="C567" s="8" t="s">
        <v>309</v>
      </c>
      <c r="D567" s="8" t="s">
        <v>328</v>
      </c>
      <c r="E567" s="8" t="s">
        <v>429</v>
      </c>
      <c r="F567" s="8">
        <v>59</v>
      </c>
      <c r="G567" s="22">
        <v>1121</v>
      </c>
      <c r="H567" s="22">
        <v>472</v>
      </c>
    </row>
    <row r="568" spans="1:8" x14ac:dyDescent="0.25">
      <c r="A568" s="75">
        <v>40668</v>
      </c>
      <c r="B568" s="8" t="s">
        <v>315</v>
      </c>
      <c r="C568" s="8" t="s">
        <v>309</v>
      </c>
      <c r="D568" s="8" t="s">
        <v>328</v>
      </c>
      <c r="E568" s="8" t="s">
        <v>333</v>
      </c>
      <c r="F568" s="8">
        <v>43</v>
      </c>
      <c r="G568" s="22">
        <v>989</v>
      </c>
      <c r="H568" s="22">
        <v>473</v>
      </c>
    </row>
    <row r="569" spans="1:8" x14ac:dyDescent="0.25">
      <c r="A569" s="75">
        <v>40595</v>
      </c>
      <c r="B569" s="8" t="s">
        <v>315</v>
      </c>
      <c r="C569" s="8" t="s">
        <v>309</v>
      </c>
      <c r="D569" s="8" t="s">
        <v>132</v>
      </c>
      <c r="E569" s="8" t="s">
        <v>343</v>
      </c>
      <c r="F569" s="8">
        <v>64</v>
      </c>
      <c r="G569" s="22">
        <v>1472</v>
      </c>
      <c r="H569" s="22">
        <v>704</v>
      </c>
    </row>
    <row r="570" spans="1:8" x14ac:dyDescent="0.25">
      <c r="A570" s="75">
        <v>40617</v>
      </c>
      <c r="B570" s="8" t="s">
        <v>317</v>
      </c>
      <c r="C570" s="8" t="s">
        <v>307</v>
      </c>
      <c r="D570" s="8" t="s">
        <v>3</v>
      </c>
      <c r="E570" s="8" t="s">
        <v>324</v>
      </c>
      <c r="F570" s="8">
        <v>48</v>
      </c>
      <c r="G570" s="22">
        <v>1008</v>
      </c>
      <c r="H570" s="22">
        <v>444</v>
      </c>
    </row>
    <row r="571" spans="1:8" x14ac:dyDescent="0.25">
      <c r="A571" s="75">
        <v>40583</v>
      </c>
      <c r="B571" s="8" t="s">
        <v>311</v>
      </c>
      <c r="C571" s="8" t="s">
        <v>309</v>
      </c>
      <c r="D571" s="8" t="s">
        <v>3</v>
      </c>
      <c r="E571" s="8" t="s">
        <v>322</v>
      </c>
      <c r="F571" s="8">
        <v>33</v>
      </c>
      <c r="G571" s="22">
        <v>627</v>
      </c>
      <c r="H571" s="22">
        <v>264</v>
      </c>
    </row>
    <row r="572" spans="1:8" x14ac:dyDescent="0.25">
      <c r="A572" s="75">
        <v>40547</v>
      </c>
      <c r="B572" s="8" t="s">
        <v>315</v>
      </c>
      <c r="C572" s="8" t="s">
        <v>310</v>
      </c>
      <c r="D572" s="8" t="s">
        <v>132</v>
      </c>
      <c r="E572" s="8" t="s">
        <v>345</v>
      </c>
      <c r="F572" s="8">
        <v>50</v>
      </c>
      <c r="G572" s="22">
        <v>1150</v>
      </c>
      <c r="H572" s="22">
        <v>550</v>
      </c>
    </row>
    <row r="573" spans="1:8" x14ac:dyDescent="0.25">
      <c r="A573" s="75">
        <v>40577</v>
      </c>
      <c r="B573" s="8" t="s">
        <v>319</v>
      </c>
      <c r="C573" s="8" t="s">
        <v>309</v>
      </c>
      <c r="D573" s="8" t="s">
        <v>136</v>
      </c>
      <c r="E573" s="8" t="s">
        <v>342</v>
      </c>
      <c r="F573" s="8">
        <v>43</v>
      </c>
      <c r="G573" s="22">
        <v>1161</v>
      </c>
      <c r="H573" s="22">
        <v>623.5</v>
      </c>
    </row>
    <row r="574" spans="1:8" x14ac:dyDescent="0.25">
      <c r="A574" s="75">
        <v>40562</v>
      </c>
      <c r="B574" s="8" t="s">
        <v>311</v>
      </c>
      <c r="C574" s="8" t="s">
        <v>307</v>
      </c>
      <c r="D574" s="8" t="s">
        <v>136</v>
      </c>
      <c r="E574" s="8" t="s">
        <v>331</v>
      </c>
      <c r="F574" s="8">
        <v>37</v>
      </c>
      <c r="G574" s="22">
        <v>703</v>
      </c>
      <c r="H574" s="22">
        <v>296</v>
      </c>
    </row>
    <row r="575" spans="1:8" x14ac:dyDescent="0.25">
      <c r="A575" s="75">
        <v>40561</v>
      </c>
      <c r="B575" s="8" t="s">
        <v>311</v>
      </c>
      <c r="C575" s="8" t="s">
        <v>310</v>
      </c>
      <c r="D575" s="8" t="s">
        <v>7</v>
      </c>
      <c r="E575" s="8" t="s">
        <v>335</v>
      </c>
      <c r="F575" s="8">
        <v>14</v>
      </c>
      <c r="G575" s="22">
        <v>266</v>
      </c>
      <c r="H575" s="22">
        <v>112</v>
      </c>
    </row>
    <row r="576" spans="1:8" x14ac:dyDescent="0.25">
      <c r="A576" s="75">
        <v>40699</v>
      </c>
      <c r="B576" s="8" t="s">
        <v>317</v>
      </c>
      <c r="C576" s="8" t="s">
        <v>307</v>
      </c>
      <c r="D576" s="8" t="s">
        <v>132</v>
      </c>
      <c r="E576" s="8" t="s">
        <v>337</v>
      </c>
      <c r="F576" s="8">
        <v>19</v>
      </c>
      <c r="G576" s="22">
        <v>399</v>
      </c>
      <c r="H576" s="22">
        <v>175.75</v>
      </c>
    </row>
    <row r="577" spans="1:8" x14ac:dyDescent="0.25">
      <c r="A577" s="75">
        <v>40553</v>
      </c>
      <c r="B577" s="8" t="s">
        <v>319</v>
      </c>
      <c r="C577" s="8" t="s">
        <v>309</v>
      </c>
      <c r="D577" s="8" t="s">
        <v>7</v>
      </c>
      <c r="E577" s="8" t="s">
        <v>339</v>
      </c>
      <c r="F577" s="8">
        <v>33</v>
      </c>
      <c r="G577" s="22">
        <v>891</v>
      </c>
      <c r="H577" s="22">
        <v>478.5</v>
      </c>
    </row>
    <row r="578" spans="1:8" x14ac:dyDescent="0.25">
      <c r="A578" s="75">
        <v>40616</v>
      </c>
      <c r="B578" s="8" t="s">
        <v>319</v>
      </c>
      <c r="C578" s="8" t="s">
        <v>309</v>
      </c>
      <c r="D578" s="8" t="s">
        <v>3</v>
      </c>
      <c r="E578" s="8" t="s">
        <v>331</v>
      </c>
      <c r="F578" s="8">
        <v>62</v>
      </c>
      <c r="G578" s="22">
        <v>1674</v>
      </c>
      <c r="H578" s="22">
        <v>899</v>
      </c>
    </row>
    <row r="579" spans="1:8" x14ac:dyDescent="0.25">
      <c r="A579" s="75">
        <v>40546</v>
      </c>
      <c r="B579" s="8" t="s">
        <v>315</v>
      </c>
      <c r="C579" s="8" t="s">
        <v>310</v>
      </c>
      <c r="D579" s="8" t="s">
        <v>312</v>
      </c>
      <c r="E579" s="8" t="s">
        <v>338</v>
      </c>
      <c r="F579" s="8">
        <v>56</v>
      </c>
      <c r="G579" s="22">
        <v>1288</v>
      </c>
      <c r="H579" s="22">
        <v>616</v>
      </c>
    </row>
    <row r="580" spans="1:8" x14ac:dyDescent="0.25">
      <c r="A580" s="75">
        <v>40549</v>
      </c>
      <c r="B580" s="8" t="s">
        <v>311</v>
      </c>
      <c r="C580" s="8" t="s">
        <v>310</v>
      </c>
      <c r="D580" s="8" t="s">
        <v>7</v>
      </c>
      <c r="E580" s="8" t="s">
        <v>327</v>
      </c>
      <c r="F580" s="8">
        <v>20</v>
      </c>
      <c r="G580" s="22">
        <v>380</v>
      </c>
      <c r="H580" s="22">
        <v>160</v>
      </c>
    </row>
    <row r="581" spans="1:8" x14ac:dyDescent="0.25">
      <c r="A581" s="75">
        <v>40606</v>
      </c>
      <c r="B581" s="8" t="s">
        <v>319</v>
      </c>
      <c r="C581" s="8" t="s">
        <v>308</v>
      </c>
      <c r="D581" s="8" t="s">
        <v>136</v>
      </c>
      <c r="E581" s="8" t="s">
        <v>348</v>
      </c>
      <c r="F581" s="8">
        <v>45</v>
      </c>
      <c r="G581" s="22">
        <v>1215</v>
      </c>
      <c r="H581" s="22">
        <v>652.5</v>
      </c>
    </row>
    <row r="582" spans="1:8" x14ac:dyDescent="0.25">
      <c r="A582" s="75">
        <v>40623</v>
      </c>
      <c r="B582" s="8" t="s">
        <v>315</v>
      </c>
      <c r="C582" s="8" t="s">
        <v>309</v>
      </c>
      <c r="D582" s="8" t="s">
        <v>136</v>
      </c>
      <c r="E582" s="8" t="s">
        <v>313</v>
      </c>
      <c r="F582" s="8">
        <v>26</v>
      </c>
      <c r="G582" s="22">
        <v>598</v>
      </c>
      <c r="H582" s="22">
        <v>286</v>
      </c>
    </row>
    <row r="583" spans="1:8" x14ac:dyDescent="0.25">
      <c r="A583" s="75">
        <v>40602</v>
      </c>
      <c r="B583" s="8" t="s">
        <v>319</v>
      </c>
      <c r="C583" s="8" t="s">
        <v>309</v>
      </c>
      <c r="D583" s="8" t="s">
        <v>312</v>
      </c>
      <c r="E583" s="8" t="s">
        <v>329</v>
      </c>
      <c r="F583" s="8">
        <v>14</v>
      </c>
      <c r="G583" s="22">
        <v>378</v>
      </c>
      <c r="H583" s="22">
        <v>203</v>
      </c>
    </row>
    <row r="584" spans="1:8" x14ac:dyDescent="0.25">
      <c r="A584" s="75">
        <v>40690</v>
      </c>
      <c r="B584" s="8" t="s">
        <v>321</v>
      </c>
      <c r="C584" s="8" t="s">
        <v>307</v>
      </c>
      <c r="D584" s="8" t="s">
        <v>136</v>
      </c>
      <c r="E584" s="8" t="s">
        <v>327</v>
      </c>
      <c r="F584" s="8">
        <v>46</v>
      </c>
      <c r="G584" s="22">
        <v>1012</v>
      </c>
      <c r="H584" s="22">
        <v>460</v>
      </c>
    </row>
    <row r="585" spans="1:8" x14ac:dyDescent="0.25">
      <c r="A585" s="75">
        <v>40683</v>
      </c>
      <c r="B585" s="8" t="s">
        <v>315</v>
      </c>
      <c r="C585" s="8" t="s">
        <v>310</v>
      </c>
      <c r="D585" s="8" t="s">
        <v>132</v>
      </c>
      <c r="E585" s="8" t="s">
        <v>338</v>
      </c>
      <c r="F585" s="8">
        <v>10</v>
      </c>
      <c r="G585" s="22">
        <v>230</v>
      </c>
      <c r="H585" s="22">
        <v>110</v>
      </c>
    </row>
    <row r="586" spans="1:8" x14ac:dyDescent="0.25">
      <c r="A586" s="75">
        <v>40698</v>
      </c>
      <c r="B586" s="8" t="s">
        <v>317</v>
      </c>
      <c r="C586" s="8" t="s">
        <v>309</v>
      </c>
      <c r="D586" s="8" t="s">
        <v>132</v>
      </c>
      <c r="E586" s="8" t="s">
        <v>432</v>
      </c>
      <c r="F586" s="8">
        <v>56</v>
      </c>
      <c r="G586" s="22">
        <v>1176</v>
      </c>
      <c r="H586" s="22">
        <v>518</v>
      </c>
    </row>
    <row r="587" spans="1:8" x14ac:dyDescent="0.25">
      <c r="A587" s="75">
        <v>40599</v>
      </c>
      <c r="B587" s="8" t="s">
        <v>317</v>
      </c>
      <c r="C587" s="8" t="s">
        <v>308</v>
      </c>
      <c r="D587" s="8" t="s">
        <v>3</v>
      </c>
      <c r="E587" s="8" t="s">
        <v>336</v>
      </c>
      <c r="F587" s="8">
        <v>31</v>
      </c>
      <c r="G587" s="22">
        <v>651</v>
      </c>
      <c r="H587" s="22">
        <v>286.75</v>
      </c>
    </row>
    <row r="588" spans="1:8" x14ac:dyDescent="0.25">
      <c r="A588" s="75">
        <v>40590</v>
      </c>
      <c r="B588" s="8" t="s">
        <v>317</v>
      </c>
      <c r="C588" s="8" t="s">
        <v>307</v>
      </c>
      <c r="D588" s="8" t="s">
        <v>136</v>
      </c>
      <c r="E588" s="8" t="s">
        <v>318</v>
      </c>
      <c r="F588" s="8">
        <v>51</v>
      </c>
      <c r="G588" s="22">
        <v>1071</v>
      </c>
      <c r="H588" s="22">
        <v>471.75</v>
      </c>
    </row>
    <row r="589" spans="1:8" x14ac:dyDescent="0.25">
      <c r="A589" s="75">
        <v>40721</v>
      </c>
      <c r="B589" s="8" t="s">
        <v>321</v>
      </c>
      <c r="C589" s="8" t="s">
        <v>309</v>
      </c>
      <c r="D589" s="8" t="s">
        <v>136</v>
      </c>
      <c r="E589" s="8" t="s">
        <v>322</v>
      </c>
      <c r="F589" s="8">
        <v>52</v>
      </c>
      <c r="G589" s="22">
        <v>1144</v>
      </c>
      <c r="H589" s="22">
        <v>520</v>
      </c>
    </row>
    <row r="590" spans="1:8" x14ac:dyDescent="0.25">
      <c r="A590" s="75">
        <v>40641</v>
      </c>
      <c r="B590" s="8" t="s">
        <v>321</v>
      </c>
      <c r="C590" s="8" t="s">
        <v>307</v>
      </c>
      <c r="D590" s="8" t="s">
        <v>312</v>
      </c>
      <c r="E590" s="8" t="s">
        <v>322</v>
      </c>
      <c r="F590" s="8">
        <v>65</v>
      </c>
      <c r="G590" s="22">
        <v>1430</v>
      </c>
      <c r="H590" s="22">
        <v>650</v>
      </c>
    </row>
    <row r="591" spans="1:8" x14ac:dyDescent="0.25">
      <c r="A591" s="75">
        <v>40558</v>
      </c>
      <c r="B591" s="8" t="s">
        <v>321</v>
      </c>
      <c r="C591" s="8" t="s">
        <v>307</v>
      </c>
      <c r="D591" s="8" t="s">
        <v>132</v>
      </c>
      <c r="E591" s="8" t="s">
        <v>322</v>
      </c>
      <c r="F591" s="8">
        <v>52</v>
      </c>
      <c r="G591" s="22">
        <v>1144</v>
      </c>
      <c r="H591" s="22">
        <v>520</v>
      </c>
    </row>
    <row r="592" spans="1:8" x14ac:dyDescent="0.25">
      <c r="A592" s="75">
        <v>40659</v>
      </c>
      <c r="B592" s="8" t="s">
        <v>317</v>
      </c>
      <c r="C592" s="8" t="s">
        <v>308</v>
      </c>
      <c r="D592" s="8" t="s">
        <v>3</v>
      </c>
      <c r="E592" s="8" t="s">
        <v>327</v>
      </c>
      <c r="F592" s="8">
        <v>42</v>
      </c>
      <c r="G592" s="22">
        <v>882</v>
      </c>
      <c r="H592" s="22">
        <v>388.5</v>
      </c>
    </row>
    <row r="593" spans="1:8" x14ac:dyDescent="0.25">
      <c r="A593" s="75">
        <v>40657</v>
      </c>
      <c r="B593" s="8" t="s">
        <v>321</v>
      </c>
      <c r="C593" s="8" t="s">
        <v>308</v>
      </c>
      <c r="D593" s="8" t="s">
        <v>7</v>
      </c>
      <c r="E593" s="8" t="s">
        <v>329</v>
      </c>
      <c r="F593" s="8">
        <v>55</v>
      </c>
      <c r="G593" s="22">
        <v>1210</v>
      </c>
      <c r="H593" s="22">
        <v>550</v>
      </c>
    </row>
    <row r="594" spans="1:8" x14ac:dyDescent="0.25">
      <c r="A594" s="75">
        <v>40688</v>
      </c>
      <c r="B594" s="8" t="s">
        <v>319</v>
      </c>
      <c r="C594" s="8" t="s">
        <v>308</v>
      </c>
      <c r="D594" s="8" t="s">
        <v>3</v>
      </c>
      <c r="E594" s="8" t="s">
        <v>337</v>
      </c>
      <c r="F594" s="8">
        <v>27</v>
      </c>
      <c r="G594" s="22">
        <v>729</v>
      </c>
      <c r="H594" s="22">
        <v>391.5</v>
      </c>
    </row>
    <row r="595" spans="1:8" x14ac:dyDescent="0.25">
      <c r="A595" s="75">
        <v>40686</v>
      </c>
      <c r="B595" s="8" t="s">
        <v>311</v>
      </c>
      <c r="C595" s="8" t="s">
        <v>307</v>
      </c>
      <c r="D595" s="8" t="s">
        <v>312</v>
      </c>
      <c r="E595" s="8" t="s">
        <v>324</v>
      </c>
      <c r="F595" s="8">
        <v>29</v>
      </c>
      <c r="G595" s="22">
        <v>551</v>
      </c>
      <c r="H595" s="22">
        <v>232</v>
      </c>
    </row>
    <row r="596" spans="1:8" x14ac:dyDescent="0.25">
      <c r="A596" s="75">
        <v>40580</v>
      </c>
      <c r="B596" s="8" t="s">
        <v>315</v>
      </c>
      <c r="C596" s="8" t="s">
        <v>308</v>
      </c>
      <c r="D596" s="8" t="s">
        <v>136</v>
      </c>
      <c r="E596" s="8" t="s">
        <v>313</v>
      </c>
      <c r="F596" s="8">
        <v>41</v>
      </c>
      <c r="G596" s="22">
        <v>943</v>
      </c>
      <c r="H596" s="22">
        <v>451</v>
      </c>
    </row>
    <row r="597" spans="1:8" x14ac:dyDescent="0.25">
      <c r="A597" s="75">
        <v>40657</v>
      </c>
      <c r="B597" s="8" t="s">
        <v>321</v>
      </c>
      <c r="C597" s="8" t="s">
        <v>307</v>
      </c>
      <c r="D597" s="8" t="s">
        <v>328</v>
      </c>
      <c r="E597" s="8" t="s">
        <v>429</v>
      </c>
      <c r="F597" s="8">
        <v>42</v>
      </c>
      <c r="G597" s="22">
        <v>924</v>
      </c>
      <c r="H597" s="22">
        <v>420</v>
      </c>
    </row>
    <row r="598" spans="1:8" x14ac:dyDescent="0.25">
      <c r="A598" s="75">
        <v>40658</v>
      </c>
      <c r="B598" s="8" t="s">
        <v>311</v>
      </c>
      <c r="C598" s="8" t="s">
        <v>307</v>
      </c>
      <c r="D598" s="8" t="s">
        <v>328</v>
      </c>
      <c r="E598" s="8" t="s">
        <v>318</v>
      </c>
      <c r="F598" s="8">
        <v>57</v>
      </c>
      <c r="G598" s="22">
        <v>1083</v>
      </c>
      <c r="H598" s="22">
        <v>456</v>
      </c>
    </row>
    <row r="599" spans="1:8" x14ac:dyDescent="0.25">
      <c r="A599" s="75">
        <v>40593</v>
      </c>
      <c r="B599" s="8" t="s">
        <v>315</v>
      </c>
      <c r="C599" s="8" t="s">
        <v>307</v>
      </c>
      <c r="D599" s="8" t="s">
        <v>7</v>
      </c>
      <c r="E599" s="8" t="s">
        <v>346</v>
      </c>
      <c r="F599" s="8">
        <v>35</v>
      </c>
      <c r="G599" s="22">
        <v>805</v>
      </c>
      <c r="H599" s="22">
        <v>385</v>
      </c>
    </row>
    <row r="600" spans="1:8" x14ac:dyDescent="0.25">
      <c r="A600" s="75">
        <v>40565</v>
      </c>
      <c r="B600" s="8" t="s">
        <v>321</v>
      </c>
      <c r="C600" s="8" t="s">
        <v>310</v>
      </c>
      <c r="D600" s="8" t="s">
        <v>132</v>
      </c>
      <c r="E600" s="8" t="s">
        <v>339</v>
      </c>
      <c r="F600" s="8">
        <v>42</v>
      </c>
      <c r="G600" s="22">
        <v>924</v>
      </c>
      <c r="H600" s="22">
        <v>420</v>
      </c>
    </row>
    <row r="601" spans="1:8" x14ac:dyDescent="0.25">
      <c r="A601" s="75">
        <v>40594</v>
      </c>
      <c r="B601" s="8" t="s">
        <v>321</v>
      </c>
      <c r="C601" s="8" t="s">
        <v>308</v>
      </c>
      <c r="D601" s="8" t="s">
        <v>7</v>
      </c>
      <c r="E601" s="8" t="s">
        <v>336</v>
      </c>
      <c r="F601" s="8">
        <v>9</v>
      </c>
      <c r="G601" s="22">
        <v>198</v>
      </c>
      <c r="H601" s="22">
        <v>90</v>
      </c>
    </row>
    <row r="602" spans="1:8" x14ac:dyDescent="0.25">
      <c r="A602" s="75">
        <v>40625</v>
      </c>
      <c r="B602" s="8" t="s">
        <v>319</v>
      </c>
      <c r="C602" s="8" t="s">
        <v>310</v>
      </c>
      <c r="D602" s="8" t="s">
        <v>7</v>
      </c>
      <c r="E602" s="8" t="s">
        <v>326</v>
      </c>
      <c r="F602" s="8">
        <v>58</v>
      </c>
      <c r="G602" s="22">
        <v>1566</v>
      </c>
      <c r="H602" s="22">
        <v>841</v>
      </c>
    </row>
    <row r="603" spans="1:8" x14ac:dyDescent="0.25">
      <c r="A603" s="75">
        <v>40666</v>
      </c>
      <c r="B603" s="8" t="s">
        <v>317</v>
      </c>
      <c r="C603" s="8" t="s">
        <v>308</v>
      </c>
      <c r="D603" s="8" t="s">
        <v>132</v>
      </c>
      <c r="E603" s="8" t="s">
        <v>338</v>
      </c>
      <c r="F603" s="8">
        <v>17</v>
      </c>
      <c r="G603" s="22">
        <v>357</v>
      </c>
      <c r="H603" s="22">
        <v>157.25</v>
      </c>
    </row>
    <row r="604" spans="1:8" x14ac:dyDescent="0.25">
      <c r="A604" s="75">
        <v>40586</v>
      </c>
      <c r="B604" s="8" t="s">
        <v>321</v>
      </c>
      <c r="C604" s="8" t="s">
        <v>308</v>
      </c>
      <c r="D604" s="8" t="s">
        <v>3</v>
      </c>
      <c r="E604" s="8" t="s">
        <v>330</v>
      </c>
      <c r="F604" s="8">
        <v>30</v>
      </c>
      <c r="G604" s="22">
        <v>660</v>
      </c>
      <c r="H604" s="22">
        <v>300</v>
      </c>
    </row>
    <row r="605" spans="1:8" x14ac:dyDescent="0.25">
      <c r="A605" s="75">
        <v>40672</v>
      </c>
      <c r="B605" s="8" t="s">
        <v>321</v>
      </c>
      <c r="C605" s="8" t="s">
        <v>310</v>
      </c>
      <c r="D605" s="8" t="s">
        <v>3</v>
      </c>
      <c r="E605" s="8" t="s">
        <v>333</v>
      </c>
      <c r="F605" s="8">
        <v>44</v>
      </c>
      <c r="G605" s="22">
        <v>968</v>
      </c>
      <c r="H605" s="22">
        <v>440</v>
      </c>
    </row>
    <row r="606" spans="1:8" x14ac:dyDescent="0.25">
      <c r="A606" s="75">
        <v>40709</v>
      </c>
      <c r="B606" s="8" t="s">
        <v>311</v>
      </c>
      <c r="C606" s="8" t="s">
        <v>310</v>
      </c>
      <c r="D606" s="8" t="s">
        <v>328</v>
      </c>
      <c r="E606" s="8" t="s">
        <v>344</v>
      </c>
      <c r="F606" s="8">
        <v>38</v>
      </c>
      <c r="G606" s="22">
        <v>722</v>
      </c>
      <c r="H606" s="22">
        <v>304</v>
      </c>
    </row>
    <row r="607" spans="1:8" x14ac:dyDescent="0.25">
      <c r="A607" s="75">
        <v>40560</v>
      </c>
      <c r="B607" s="8" t="s">
        <v>311</v>
      </c>
      <c r="C607" s="8" t="s">
        <v>308</v>
      </c>
      <c r="D607" s="8" t="s">
        <v>136</v>
      </c>
      <c r="E607" s="8" t="s">
        <v>339</v>
      </c>
      <c r="F607" s="8">
        <v>29</v>
      </c>
      <c r="G607" s="22">
        <v>551</v>
      </c>
      <c r="H607" s="22">
        <v>232</v>
      </c>
    </row>
    <row r="608" spans="1:8" x14ac:dyDescent="0.25">
      <c r="A608" s="75">
        <v>40567</v>
      </c>
      <c r="B608" s="8" t="s">
        <v>319</v>
      </c>
      <c r="C608" s="8" t="s">
        <v>307</v>
      </c>
      <c r="D608" s="8" t="s">
        <v>7</v>
      </c>
      <c r="E608" s="8" t="s">
        <v>336</v>
      </c>
      <c r="F608" s="8">
        <v>14</v>
      </c>
      <c r="G608" s="22">
        <v>378</v>
      </c>
      <c r="H608" s="22">
        <v>203</v>
      </c>
    </row>
    <row r="609" spans="1:8" x14ac:dyDescent="0.25">
      <c r="A609" s="75">
        <v>40553</v>
      </c>
      <c r="B609" s="8" t="s">
        <v>321</v>
      </c>
      <c r="C609" s="8" t="s">
        <v>309</v>
      </c>
      <c r="D609" s="8" t="s">
        <v>312</v>
      </c>
      <c r="E609" s="8" t="s">
        <v>324</v>
      </c>
      <c r="F609" s="8">
        <v>31</v>
      </c>
      <c r="G609" s="22">
        <v>682</v>
      </c>
      <c r="H609" s="22">
        <v>310</v>
      </c>
    </row>
    <row r="610" spans="1:8" x14ac:dyDescent="0.25">
      <c r="A610" s="75">
        <v>40716</v>
      </c>
      <c r="B610" s="8" t="s">
        <v>317</v>
      </c>
      <c r="C610" s="8" t="s">
        <v>307</v>
      </c>
      <c r="D610" s="8" t="s">
        <v>132</v>
      </c>
      <c r="E610" s="8" t="s">
        <v>343</v>
      </c>
      <c r="F610" s="8">
        <v>63</v>
      </c>
      <c r="G610" s="22">
        <v>1323</v>
      </c>
      <c r="H610" s="22">
        <v>582.75</v>
      </c>
    </row>
    <row r="611" spans="1:8" x14ac:dyDescent="0.25">
      <c r="A611" s="75">
        <v>40579</v>
      </c>
      <c r="B611" s="8" t="s">
        <v>321</v>
      </c>
      <c r="C611" s="8" t="s">
        <v>310</v>
      </c>
      <c r="D611" s="8" t="s">
        <v>136</v>
      </c>
      <c r="E611" s="8" t="s">
        <v>432</v>
      </c>
      <c r="F611" s="8">
        <v>21</v>
      </c>
      <c r="G611" s="22">
        <v>462</v>
      </c>
      <c r="H611" s="22">
        <v>210</v>
      </c>
    </row>
    <row r="612" spans="1:8" x14ac:dyDescent="0.25">
      <c r="A612" s="75">
        <v>40545</v>
      </c>
      <c r="B612" s="8" t="s">
        <v>319</v>
      </c>
      <c r="C612" s="8" t="s">
        <v>309</v>
      </c>
      <c r="D612" s="8" t="s">
        <v>136</v>
      </c>
      <c r="E612" s="8" t="s">
        <v>334</v>
      </c>
      <c r="F612" s="8">
        <v>27</v>
      </c>
      <c r="G612" s="22">
        <v>729</v>
      </c>
      <c r="H612" s="22">
        <v>391.5</v>
      </c>
    </row>
    <row r="613" spans="1:8" x14ac:dyDescent="0.25">
      <c r="A613" s="75">
        <v>40560</v>
      </c>
      <c r="B613" s="8" t="s">
        <v>319</v>
      </c>
      <c r="C613" s="8" t="s">
        <v>308</v>
      </c>
      <c r="D613" s="8" t="s">
        <v>7</v>
      </c>
      <c r="E613" s="8" t="s">
        <v>428</v>
      </c>
      <c r="F613" s="8">
        <v>58</v>
      </c>
      <c r="G613" s="22">
        <v>1566</v>
      </c>
      <c r="H613" s="22">
        <v>841</v>
      </c>
    </row>
    <row r="614" spans="1:8" x14ac:dyDescent="0.25">
      <c r="A614" s="75">
        <v>40712</v>
      </c>
      <c r="B614" s="8" t="s">
        <v>311</v>
      </c>
      <c r="C614" s="8" t="s">
        <v>307</v>
      </c>
      <c r="D614" s="8" t="s">
        <v>136</v>
      </c>
      <c r="E614" s="8" t="s">
        <v>339</v>
      </c>
      <c r="F614" s="8">
        <v>42</v>
      </c>
      <c r="G614" s="22">
        <v>798</v>
      </c>
      <c r="H614" s="22">
        <v>336</v>
      </c>
    </row>
    <row r="615" spans="1:8" x14ac:dyDescent="0.25">
      <c r="A615" s="75">
        <v>40710</v>
      </c>
      <c r="B615" s="8" t="s">
        <v>315</v>
      </c>
      <c r="C615" s="8" t="s">
        <v>307</v>
      </c>
      <c r="D615" s="8" t="s">
        <v>132</v>
      </c>
      <c r="E615" s="8" t="s">
        <v>332</v>
      </c>
      <c r="F615" s="8">
        <v>39</v>
      </c>
      <c r="G615" s="22">
        <v>897</v>
      </c>
      <c r="H615" s="22">
        <v>429</v>
      </c>
    </row>
    <row r="616" spans="1:8" x14ac:dyDescent="0.25">
      <c r="A616" s="75">
        <v>40700</v>
      </c>
      <c r="B616" s="8" t="s">
        <v>311</v>
      </c>
      <c r="C616" s="8" t="s">
        <v>307</v>
      </c>
      <c r="D616" s="8" t="s">
        <v>312</v>
      </c>
      <c r="E616" s="8" t="s">
        <v>339</v>
      </c>
      <c r="F616" s="8">
        <v>9</v>
      </c>
      <c r="G616" s="22">
        <v>171</v>
      </c>
      <c r="H616" s="22">
        <v>72</v>
      </c>
    </row>
    <row r="617" spans="1:8" x14ac:dyDescent="0.25">
      <c r="A617" s="75">
        <v>40684</v>
      </c>
      <c r="B617" s="8" t="s">
        <v>317</v>
      </c>
      <c r="C617" s="8" t="s">
        <v>310</v>
      </c>
      <c r="D617" s="8" t="s">
        <v>312</v>
      </c>
      <c r="E617" s="8" t="s">
        <v>326</v>
      </c>
      <c r="F617" s="8">
        <v>31</v>
      </c>
      <c r="G617" s="22">
        <v>651</v>
      </c>
      <c r="H617" s="22">
        <v>286.75</v>
      </c>
    </row>
    <row r="618" spans="1:8" x14ac:dyDescent="0.25">
      <c r="A618" s="75">
        <v>40652</v>
      </c>
      <c r="B618" s="8" t="s">
        <v>315</v>
      </c>
      <c r="C618" s="8" t="s">
        <v>310</v>
      </c>
      <c r="D618" s="8" t="s">
        <v>136</v>
      </c>
      <c r="E618" s="8" t="s">
        <v>346</v>
      </c>
      <c r="F618" s="8">
        <v>60</v>
      </c>
      <c r="G618" s="22">
        <v>1380</v>
      </c>
      <c r="H618" s="22">
        <v>660</v>
      </c>
    </row>
    <row r="619" spans="1:8" x14ac:dyDescent="0.25">
      <c r="A619" s="75">
        <v>40603</v>
      </c>
      <c r="B619" s="8" t="s">
        <v>319</v>
      </c>
      <c r="C619" s="8" t="s">
        <v>310</v>
      </c>
      <c r="D619" s="8" t="s">
        <v>312</v>
      </c>
      <c r="E619" s="8" t="s">
        <v>429</v>
      </c>
      <c r="F619" s="8">
        <v>14</v>
      </c>
      <c r="G619" s="22">
        <v>378</v>
      </c>
      <c r="H619" s="22">
        <v>203</v>
      </c>
    </row>
    <row r="620" spans="1:8" x14ac:dyDescent="0.25">
      <c r="A620" s="75">
        <v>40646</v>
      </c>
      <c r="B620" s="8" t="s">
        <v>311</v>
      </c>
      <c r="C620" s="8" t="s">
        <v>308</v>
      </c>
      <c r="D620" s="8" t="s">
        <v>7</v>
      </c>
      <c r="E620" s="8" t="s">
        <v>335</v>
      </c>
      <c r="F620" s="8">
        <v>48</v>
      </c>
      <c r="G620" s="22">
        <v>912</v>
      </c>
      <c r="H620" s="22">
        <v>384</v>
      </c>
    </row>
    <row r="621" spans="1:8" x14ac:dyDescent="0.25">
      <c r="A621" s="75">
        <v>40650</v>
      </c>
      <c r="B621" s="8" t="s">
        <v>317</v>
      </c>
      <c r="C621" s="8" t="s">
        <v>310</v>
      </c>
      <c r="D621" s="8" t="s">
        <v>3</v>
      </c>
      <c r="E621" s="8" t="s">
        <v>342</v>
      </c>
      <c r="F621" s="8">
        <v>58</v>
      </c>
      <c r="G621" s="22">
        <v>1218</v>
      </c>
      <c r="H621" s="22">
        <v>536.5</v>
      </c>
    </row>
    <row r="622" spans="1:8" x14ac:dyDescent="0.25">
      <c r="A622" s="75">
        <v>40604</v>
      </c>
      <c r="B622" s="8" t="s">
        <v>321</v>
      </c>
      <c r="C622" s="8" t="s">
        <v>310</v>
      </c>
      <c r="D622" s="8" t="s">
        <v>132</v>
      </c>
      <c r="E622" s="8" t="s">
        <v>336</v>
      </c>
      <c r="F622" s="8">
        <v>22</v>
      </c>
      <c r="G622" s="22">
        <v>484</v>
      </c>
      <c r="H622" s="22">
        <v>220</v>
      </c>
    </row>
    <row r="623" spans="1:8" x14ac:dyDescent="0.25">
      <c r="A623" s="75">
        <v>40693</v>
      </c>
      <c r="B623" s="8" t="s">
        <v>317</v>
      </c>
      <c r="C623" s="8" t="s">
        <v>310</v>
      </c>
      <c r="D623" s="8" t="s">
        <v>7</v>
      </c>
      <c r="E623" s="8" t="s">
        <v>336</v>
      </c>
      <c r="F623" s="8">
        <v>39</v>
      </c>
      <c r="G623" s="22">
        <v>819</v>
      </c>
      <c r="H623" s="22">
        <v>360.75</v>
      </c>
    </row>
    <row r="624" spans="1:8" x14ac:dyDescent="0.25">
      <c r="A624" s="75">
        <v>40556</v>
      </c>
      <c r="B624" s="8" t="s">
        <v>311</v>
      </c>
      <c r="C624" s="8" t="s">
        <v>309</v>
      </c>
      <c r="D624" s="8" t="s">
        <v>328</v>
      </c>
      <c r="E624" s="8" t="s">
        <v>347</v>
      </c>
      <c r="F624" s="8">
        <v>48</v>
      </c>
      <c r="G624" s="22">
        <v>912</v>
      </c>
      <c r="H624" s="22">
        <v>384</v>
      </c>
    </row>
    <row r="625" spans="1:8" x14ac:dyDescent="0.25">
      <c r="A625" s="75">
        <v>40640</v>
      </c>
      <c r="B625" s="8" t="s">
        <v>319</v>
      </c>
      <c r="C625" s="8" t="s">
        <v>308</v>
      </c>
      <c r="D625" s="8" t="s">
        <v>312</v>
      </c>
      <c r="E625" s="8" t="s">
        <v>338</v>
      </c>
      <c r="F625" s="8">
        <v>46</v>
      </c>
      <c r="G625" s="22">
        <v>1242</v>
      </c>
      <c r="H625" s="22">
        <v>667</v>
      </c>
    </row>
    <row r="626" spans="1:8" x14ac:dyDescent="0.25">
      <c r="A626" s="75">
        <v>40652</v>
      </c>
      <c r="B626" s="8" t="s">
        <v>315</v>
      </c>
      <c r="C626" s="8" t="s">
        <v>307</v>
      </c>
      <c r="D626" s="8" t="s">
        <v>136</v>
      </c>
      <c r="E626" s="8" t="s">
        <v>332</v>
      </c>
      <c r="F626" s="8">
        <v>10</v>
      </c>
      <c r="G626" s="22">
        <v>230</v>
      </c>
      <c r="H626" s="22">
        <v>110</v>
      </c>
    </row>
    <row r="627" spans="1:8" x14ac:dyDescent="0.25">
      <c r="A627" s="75">
        <v>40588</v>
      </c>
      <c r="B627" s="8" t="s">
        <v>311</v>
      </c>
      <c r="C627" s="8" t="s">
        <v>307</v>
      </c>
      <c r="D627" s="8" t="s">
        <v>132</v>
      </c>
      <c r="E627" s="8" t="s">
        <v>335</v>
      </c>
      <c r="F627" s="8">
        <v>26</v>
      </c>
      <c r="G627" s="22">
        <v>494</v>
      </c>
      <c r="H627" s="22">
        <v>208</v>
      </c>
    </row>
    <row r="628" spans="1:8" x14ac:dyDescent="0.25">
      <c r="A628" s="75">
        <v>40608</v>
      </c>
      <c r="B628" s="8" t="s">
        <v>317</v>
      </c>
      <c r="C628" s="8" t="s">
        <v>307</v>
      </c>
      <c r="D628" s="8" t="s">
        <v>7</v>
      </c>
      <c r="E628" s="8" t="s">
        <v>346</v>
      </c>
      <c r="F628" s="8">
        <v>34</v>
      </c>
      <c r="G628" s="22">
        <v>714</v>
      </c>
      <c r="H628" s="22">
        <v>314.5</v>
      </c>
    </row>
    <row r="629" spans="1:8" x14ac:dyDescent="0.25">
      <c r="A629" s="75">
        <v>40710</v>
      </c>
      <c r="B629" s="8" t="s">
        <v>317</v>
      </c>
      <c r="C629" s="8" t="s">
        <v>307</v>
      </c>
      <c r="D629" s="8" t="s">
        <v>3</v>
      </c>
      <c r="E629" s="8" t="s">
        <v>345</v>
      </c>
      <c r="F629" s="8">
        <v>47</v>
      </c>
      <c r="G629" s="22">
        <v>987</v>
      </c>
      <c r="H629" s="22">
        <v>434.75</v>
      </c>
    </row>
    <row r="630" spans="1:8" x14ac:dyDescent="0.25">
      <c r="A630" s="75">
        <v>40633</v>
      </c>
      <c r="B630" s="8" t="s">
        <v>311</v>
      </c>
      <c r="C630" s="8" t="s">
        <v>309</v>
      </c>
      <c r="D630" s="8" t="s">
        <v>132</v>
      </c>
      <c r="E630" s="8" t="s">
        <v>348</v>
      </c>
      <c r="F630" s="8">
        <v>16</v>
      </c>
      <c r="G630" s="22">
        <v>304</v>
      </c>
      <c r="H630" s="22">
        <v>128</v>
      </c>
    </row>
    <row r="631" spans="1:8" x14ac:dyDescent="0.25">
      <c r="A631" s="75">
        <v>40560</v>
      </c>
      <c r="B631" s="8" t="s">
        <v>319</v>
      </c>
      <c r="C631" s="8" t="s">
        <v>310</v>
      </c>
      <c r="D631" s="8" t="s">
        <v>132</v>
      </c>
      <c r="E631" s="8" t="s">
        <v>314</v>
      </c>
      <c r="F631" s="8">
        <v>31</v>
      </c>
      <c r="G631" s="22">
        <v>837</v>
      </c>
      <c r="H631" s="22">
        <v>449.5</v>
      </c>
    </row>
    <row r="632" spans="1:8" x14ac:dyDescent="0.25">
      <c r="A632" s="75">
        <v>40605</v>
      </c>
      <c r="B632" s="8" t="s">
        <v>321</v>
      </c>
      <c r="C632" s="8" t="s">
        <v>309</v>
      </c>
      <c r="D632" s="8" t="s">
        <v>3</v>
      </c>
      <c r="E632" s="8" t="s">
        <v>338</v>
      </c>
      <c r="F632" s="8">
        <v>30</v>
      </c>
      <c r="G632" s="22">
        <v>660</v>
      </c>
      <c r="H632" s="22">
        <v>300</v>
      </c>
    </row>
    <row r="633" spans="1:8" x14ac:dyDescent="0.25">
      <c r="A633" s="75">
        <v>40656</v>
      </c>
      <c r="B633" s="8" t="s">
        <v>319</v>
      </c>
      <c r="C633" s="8" t="s">
        <v>309</v>
      </c>
      <c r="D633" s="8" t="s">
        <v>312</v>
      </c>
      <c r="E633" s="8" t="s">
        <v>333</v>
      </c>
      <c r="F633" s="8">
        <v>44</v>
      </c>
      <c r="G633" s="22">
        <v>1188</v>
      </c>
      <c r="H633" s="22">
        <v>638</v>
      </c>
    </row>
    <row r="634" spans="1:8" x14ac:dyDescent="0.25">
      <c r="A634" s="75">
        <v>40631</v>
      </c>
      <c r="B634" s="8" t="s">
        <v>321</v>
      </c>
      <c r="C634" s="8" t="s">
        <v>310</v>
      </c>
      <c r="D634" s="8" t="s">
        <v>7</v>
      </c>
      <c r="E634" s="8" t="s">
        <v>342</v>
      </c>
      <c r="F634" s="8">
        <v>15</v>
      </c>
      <c r="G634" s="22">
        <v>330</v>
      </c>
      <c r="H634" s="22">
        <v>150</v>
      </c>
    </row>
    <row r="635" spans="1:8" x14ac:dyDescent="0.25">
      <c r="A635" s="75">
        <v>40622</v>
      </c>
      <c r="B635" s="8" t="s">
        <v>321</v>
      </c>
      <c r="C635" s="8" t="s">
        <v>308</v>
      </c>
      <c r="D635" s="8" t="s">
        <v>328</v>
      </c>
      <c r="E635" s="8" t="s">
        <v>348</v>
      </c>
      <c r="F635" s="8">
        <v>30</v>
      </c>
      <c r="G635" s="22">
        <v>660</v>
      </c>
      <c r="H635" s="22">
        <v>300</v>
      </c>
    </row>
    <row r="636" spans="1:8" x14ac:dyDescent="0.25">
      <c r="A636" s="75">
        <v>40718</v>
      </c>
      <c r="B636" s="8" t="s">
        <v>317</v>
      </c>
      <c r="C636" s="8" t="s">
        <v>310</v>
      </c>
      <c r="D636" s="8" t="s">
        <v>312</v>
      </c>
      <c r="E636" s="8" t="s">
        <v>333</v>
      </c>
      <c r="F636" s="8">
        <v>9</v>
      </c>
      <c r="G636" s="22">
        <v>189</v>
      </c>
      <c r="H636" s="22">
        <v>83.25</v>
      </c>
    </row>
    <row r="637" spans="1:8" x14ac:dyDescent="0.25">
      <c r="A637" s="75">
        <v>40615</v>
      </c>
      <c r="B637" s="8" t="s">
        <v>321</v>
      </c>
      <c r="C637" s="8" t="s">
        <v>308</v>
      </c>
      <c r="D637" s="8" t="s">
        <v>3</v>
      </c>
      <c r="E637" s="8" t="s">
        <v>331</v>
      </c>
      <c r="F637" s="8">
        <v>30</v>
      </c>
      <c r="G637" s="22">
        <v>660</v>
      </c>
      <c r="H637" s="22">
        <v>300</v>
      </c>
    </row>
    <row r="638" spans="1:8" x14ac:dyDescent="0.25">
      <c r="A638" s="75">
        <v>40584</v>
      </c>
      <c r="B638" s="8" t="s">
        <v>317</v>
      </c>
      <c r="C638" s="8" t="s">
        <v>310</v>
      </c>
      <c r="D638" s="8" t="s">
        <v>3</v>
      </c>
      <c r="E638" s="8" t="s">
        <v>313</v>
      </c>
      <c r="F638" s="8">
        <v>28</v>
      </c>
      <c r="G638" s="22">
        <v>588</v>
      </c>
      <c r="H638" s="22">
        <v>259</v>
      </c>
    </row>
    <row r="639" spans="1:8" x14ac:dyDescent="0.25">
      <c r="A639" s="75">
        <v>40693</v>
      </c>
      <c r="B639" s="8" t="s">
        <v>317</v>
      </c>
      <c r="C639" s="8" t="s">
        <v>310</v>
      </c>
      <c r="D639" s="8" t="s">
        <v>7</v>
      </c>
      <c r="E639" s="8" t="s">
        <v>320</v>
      </c>
      <c r="F639" s="8">
        <v>26</v>
      </c>
      <c r="G639" s="22">
        <v>546</v>
      </c>
      <c r="H639" s="22">
        <v>240.5</v>
      </c>
    </row>
    <row r="640" spans="1:8" x14ac:dyDescent="0.25">
      <c r="A640" s="75">
        <v>40681</v>
      </c>
      <c r="B640" s="8" t="s">
        <v>315</v>
      </c>
      <c r="C640" s="8" t="s">
        <v>309</v>
      </c>
      <c r="D640" s="8" t="s">
        <v>3</v>
      </c>
      <c r="E640" s="8" t="s">
        <v>322</v>
      </c>
      <c r="F640" s="8">
        <v>13</v>
      </c>
      <c r="G640" s="22">
        <v>299</v>
      </c>
      <c r="H640" s="22">
        <v>143</v>
      </c>
    </row>
    <row r="641" spans="1:8" x14ac:dyDescent="0.25">
      <c r="A641" s="75">
        <v>40647</v>
      </c>
      <c r="B641" s="8" t="s">
        <v>319</v>
      </c>
      <c r="C641" s="8" t="s">
        <v>310</v>
      </c>
      <c r="D641" s="8" t="s">
        <v>3</v>
      </c>
      <c r="E641" s="8" t="s">
        <v>343</v>
      </c>
      <c r="F641" s="8">
        <v>60</v>
      </c>
      <c r="G641" s="22">
        <v>1620</v>
      </c>
      <c r="H641" s="22">
        <v>870</v>
      </c>
    </row>
    <row r="642" spans="1:8" x14ac:dyDescent="0.25">
      <c r="A642" s="75">
        <v>40663</v>
      </c>
      <c r="B642" s="8" t="s">
        <v>319</v>
      </c>
      <c r="C642" s="8" t="s">
        <v>310</v>
      </c>
      <c r="D642" s="8" t="s">
        <v>132</v>
      </c>
      <c r="E642" s="8" t="s">
        <v>348</v>
      </c>
      <c r="F642" s="8">
        <v>60</v>
      </c>
      <c r="G642" s="22">
        <v>1620</v>
      </c>
      <c r="H642" s="22">
        <v>870</v>
      </c>
    </row>
    <row r="643" spans="1:8" x14ac:dyDescent="0.25">
      <c r="A643" s="75">
        <v>40656</v>
      </c>
      <c r="B643" s="8" t="s">
        <v>319</v>
      </c>
      <c r="C643" s="8" t="s">
        <v>309</v>
      </c>
      <c r="D643" s="8" t="s">
        <v>3</v>
      </c>
      <c r="E643" s="8" t="s">
        <v>339</v>
      </c>
      <c r="F643" s="8">
        <v>11</v>
      </c>
      <c r="G643" s="22">
        <v>297</v>
      </c>
      <c r="H643" s="22">
        <v>159.5</v>
      </c>
    </row>
    <row r="644" spans="1:8" x14ac:dyDescent="0.25">
      <c r="A644" s="75">
        <v>40609</v>
      </c>
      <c r="B644" s="8" t="s">
        <v>317</v>
      </c>
      <c r="C644" s="8" t="s">
        <v>310</v>
      </c>
      <c r="D644" s="8" t="s">
        <v>3</v>
      </c>
      <c r="E644" s="8" t="s">
        <v>324</v>
      </c>
      <c r="F644" s="8">
        <v>16</v>
      </c>
      <c r="G644" s="22">
        <v>336</v>
      </c>
      <c r="H644" s="22">
        <v>148</v>
      </c>
    </row>
    <row r="645" spans="1:8" x14ac:dyDescent="0.25">
      <c r="A645" s="75">
        <v>40593</v>
      </c>
      <c r="B645" s="8" t="s">
        <v>311</v>
      </c>
      <c r="C645" s="8" t="s">
        <v>310</v>
      </c>
      <c r="D645" s="8" t="s">
        <v>136</v>
      </c>
      <c r="E645" s="8" t="s">
        <v>343</v>
      </c>
      <c r="F645" s="8">
        <v>61</v>
      </c>
      <c r="G645" s="22">
        <v>1159</v>
      </c>
      <c r="H645" s="22">
        <v>488</v>
      </c>
    </row>
    <row r="646" spans="1:8" x14ac:dyDescent="0.25">
      <c r="A646" s="75">
        <v>40616</v>
      </c>
      <c r="B646" s="8" t="s">
        <v>311</v>
      </c>
      <c r="C646" s="8" t="s">
        <v>309</v>
      </c>
      <c r="D646" s="8" t="s">
        <v>3</v>
      </c>
      <c r="E646" s="8" t="s">
        <v>346</v>
      </c>
      <c r="F646" s="8">
        <v>35</v>
      </c>
      <c r="G646" s="22">
        <v>665</v>
      </c>
      <c r="H646" s="22">
        <v>280</v>
      </c>
    </row>
    <row r="647" spans="1:8" x14ac:dyDescent="0.25">
      <c r="A647" s="75">
        <v>40632</v>
      </c>
      <c r="B647" s="8" t="s">
        <v>311</v>
      </c>
      <c r="C647" s="8" t="s">
        <v>310</v>
      </c>
      <c r="D647" s="8" t="s">
        <v>3</v>
      </c>
      <c r="E647" s="8" t="s">
        <v>334</v>
      </c>
      <c r="F647" s="8">
        <v>48</v>
      </c>
      <c r="G647" s="22">
        <v>912</v>
      </c>
      <c r="H647" s="22">
        <v>384</v>
      </c>
    </row>
    <row r="648" spans="1:8" x14ac:dyDescent="0.25">
      <c r="A648" s="75">
        <v>40645</v>
      </c>
      <c r="B648" s="8" t="s">
        <v>317</v>
      </c>
      <c r="C648" s="8" t="s">
        <v>307</v>
      </c>
      <c r="D648" s="8" t="s">
        <v>132</v>
      </c>
      <c r="E648" s="8" t="s">
        <v>432</v>
      </c>
      <c r="F648" s="8">
        <v>44</v>
      </c>
      <c r="G648" s="22">
        <v>924</v>
      </c>
      <c r="H648" s="22">
        <v>407</v>
      </c>
    </row>
    <row r="649" spans="1:8" x14ac:dyDescent="0.25">
      <c r="A649" s="75">
        <v>40698</v>
      </c>
      <c r="B649" s="8" t="s">
        <v>319</v>
      </c>
      <c r="C649" s="8" t="s">
        <v>310</v>
      </c>
      <c r="D649" s="8" t="s">
        <v>136</v>
      </c>
      <c r="E649" s="8" t="s">
        <v>325</v>
      </c>
      <c r="F649" s="8">
        <v>46</v>
      </c>
      <c r="G649" s="22">
        <v>1242</v>
      </c>
      <c r="H649" s="22">
        <v>667</v>
      </c>
    </row>
    <row r="650" spans="1:8" x14ac:dyDescent="0.25">
      <c r="A650" s="75">
        <v>40691</v>
      </c>
      <c r="B650" s="8" t="s">
        <v>311</v>
      </c>
      <c r="C650" s="8" t="s">
        <v>307</v>
      </c>
      <c r="D650" s="8" t="s">
        <v>132</v>
      </c>
      <c r="E650" s="8" t="s">
        <v>338</v>
      </c>
      <c r="F650" s="8">
        <v>9</v>
      </c>
      <c r="G650" s="22">
        <v>171</v>
      </c>
      <c r="H650" s="22">
        <v>72</v>
      </c>
    </row>
    <row r="651" spans="1:8" x14ac:dyDescent="0.25">
      <c r="A651" s="75">
        <v>40551</v>
      </c>
      <c r="B651" s="8" t="s">
        <v>315</v>
      </c>
      <c r="C651" s="8" t="s">
        <v>309</v>
      </c>
      <c r="D651" s="8" t="s">
        <v>136</v>
      </c>
      <c r="E651" s="8" t="s">
        <v>429</v>
      </c>
      <c r="F651" s="8">
        <v>23</v>
      </c>
      <c r="G651" s="22">
        <v>529</v>
      </c>
      <c r="H651" s="22">
        <v>253</v>
      </c>
    </row>
    <row r="652" spans="1:8" x14ac:dyDescent="0.25">
      <c r="A652" s="75">
        <v>40723</v>
      </c>
      <c r="B652" s="8" t="s">
        <v>311</v>
      </c>
      <c r="C652" s="8" t="s">
        <v>310</v>
      </c>
      <c r="D652" s="8" t="s">
        <v>312</v>
      </c>
      <c r="E652" s="8" t="s">
        <v>325</v>
      </c>
      <c r="F652" s="8">
        <v>31</v>
      </c>
      <c r="G652" s="22">
        <v>589</v>
      </c>
      <c r="H652" s="22">
        <v>248</v>
      </c>
    </row>
    <row r="653" spans="1:8" x14ac:dyDescent="0.25">
      <c r="A653" s="75">
        <v>40569</v>
      </c>
      <c r="B653" s="8" t="s">
        <v>315</v>
      </c>
      <c r="C653" s="8" t="s">
        <v>310</v>
      </c>
      <c r="D653" s="8" t="s">
        <v>328</v>
      </c>
      <c r="E653" s="8" t="s">
        <v>324</v>
      </c>
      <c r="F653" s="8">
        <v>63</v>
      </c>
      <c r="G653" s="22">
        <v>1449</v>
      </c>
      <c r="H653" s="22">
        <v>693</v>
      </c>
    </row>
    <row r="654" spans="1:8" x14ac:dyDescent="0.25">
      <c r="A654" s="75">
        <v>40712</v>
      </c>
      <c r="B654" s="8" t="s">
        <v>317</v>
      </c>
      <c r="C654" s="8" t="s">
        <v>308</v>
      </c>
      <c r="D654" s="8" t="s">
        <v>3</v>
      </c>
      <c r="E654" s="8" t="s">
        <v>346</v>
      </c>
      <c r="F654" s="8">
        <v>51</v>
      </c>
      <c r="G654" s="22">
        <v>1071</v>
      </c>
      <c r="H654" s="22">
        <v>471.75</v>
      </c>
    </row>
    <row r="655" spans="1:8" x14ac:dyDescent="0.25">
      <c r="A655" s="75">
        <v>40624</v>
      </c>
      <c r="B655" s="8" t="s">
        <v>317</v>
      </c>
      <c r="C655" s="8" t="s">
        <v>307</v>
      </c>
      <c r="D655" s="8" t="s">
        <v>312</v>
      </c>
      <c r="E655" s="8" t="s">
        <v>320</v>
      </c>
      <c r="F655" s="8">
        <v>55</v>
      </c>
      <c r="G655" s="22">
        <v>1155</v>
      </c>
      <c r="H655" s="22">
        <v>508.75</v>
      </c>
    </row>
    <row r="656" spans="1:8" x14ac:dyDescent="0.25">
      <c r="A656" s="75">
        <v>40633</v>
      </c>
      <c r="B656" s="8" t="s">
        <v>311</v>
      </c>
      <c r="C656" s="8" t="s">
        <v>308</v>
      </c>
      <c r="D656" s="8" t="s">
        <v>3</v>
      </c>
      <c r="E656" s="8" t="s">
        <v>324</v>
      </c>
      <c r="F656" s="8">
        <v>19</v>
      </c>
      <c r="G656" s="22">
        <v>361</v>
      </c>
      <c r="H656" s="22">
        <v>152</v>
      </c>
    </row>
    <row r="657" spans="1:8" x14ac:dyDescent="0.25">
      <c r="A657" s="75">
        <v>40628</v>
      </c>
      <c r="B657" s="8" t="s">
        <v>315</v>
      </c>
      <c r="C657" s="8" t="s">
        <v>309</v>
      </c>
      <c r="D657" s="8" t="s">
        <v>136</v>
      </c>
      <c r="E657" s="8" t="s">
        <v>313</v>
      </c>
      <c r="F657" s="8">
        <v>11</v>
      </c>
      <c r="G657" s="22">
        <v>253</v>
      </c>
      <c r="H657" s="22">
        <v>121</v>
      </c>
    </row>
    <row r="658" spans="1:8" x14ac:dyDescent="0.25">
      <c r="A658" s="75">
        <v>40552</v>
      </c>
      <c r="B658" s="8" t="s">
        <v>317</v>
      </c>
      <c r="C658" s="8" t="s">
        <v>310</v>
      </c>
      <c r="D658" s="8" t="s">
        <v>312</v>
      </c>
      <c r="E658" s="8" t="s">
        <v>324</v>
      </c>
      <c r="F658" s="8">
        <v>65</v>
      </c>
      <c r="G658" s="22">
        <v>1365</v>
      </c>
      <c r="H658" s="22">
        <v>601.25</v>
      </c>
    </row>
    <row r="659" spans="1:8" x14ac:dyDescent="0.25">
      <c r="A659" s="75">
        <v>40557</v>
      </c>
      <c r="B659" s="8" t="s">
        <v>319</v>
      </c>
      <c r="C659" s="8" t="s">
        <v>310</v>
      </c>
      <c r="D659" s="8" t="s">
        <v>136</v>
      </c>
      <c r="E659" s="8" t="s">
        <v>342</v>
      </c>
      <c r="F659" s="8">
        <v>34</v>
      </c>
      <c r="G659" s="22">
        <v>918</v>
      </c>
      <c r="H659" s="22">
        <v>493</v>
      </c>
    </row>
    <row r="660" spans="1:8" x14ac:dyDescent="0.25">
      <c r="A660" s="75">
        <v>40706</v>
      </c>
      <c r="B660" s="8" t="s">
        <v>319</v>
      </c>
      <c r="C660" s="8" t="s">
        <v>307</v>
      </c>
      <c r="D660" s="8" t="s">
        <v>3</v>
      </c>
      <c r="E660" s="8" t="s">
        <v>323</v>
      </c>
      <c r="F660" s="8">
        <v>64</v>
      </c>
      <c r="G660" s="22">
        <v>1728</v>
      </c>
      <c r="H660" s="22">
        <v>928</v>
      </c>
    </row>
    <row r="661" spans="1:8" x14ac:dyDescent="0.25">
      <c r="A661" s="75">
        <v>40670</v>
      </c>
      <c r="B661" s="8" t="s">
        <v>321</v>
      </c>
      <c r="C661" s="8" t="s">
        <v>310</v>
      </c>
      <c r="D661" s="8" t="s">
        <v>136</v>
      </c>
      <c r="E661" s="8" t="s">
        <v>322</v>
      </c>
      <c r="F661" s="8">
        <v>41</v>
      </c>
      <c r="G661" s="22">
        <v>902</v>
      </c>
      <c r="H661" s="22">
        <v>410</v>
      </c>
    </row>
    <row r="662" spans="1:8" x14ac:dyDescent="0.25">
      <c r="A662" s="75">
        <v>40569</v>
      </c>
      <c r="B662" s="8" t="s">
        <v>311</v>
      </c>
      <c r="C662" s="8" t="s">
        <v>308</v>
      </c>
      <c r="D662" s="8" t="s">
        <v>132</v>
      </c>
      <c r="E662" s="8" t="s">
        <v>336</v>
      </c>
      <c r="F662" s="8">
        <v>42</v>
      </c>
      <c r="G662" s="22">
        <v>798</v>
      </c>
      <c r="H662" s="22">
        <v>336</v>
      </c>
    </row>
    <row r="663" spans="1:8" x14ac:dyDescent="0.25">
      <c r="A663" s="75">
        <v>40609</v>
      </c>
      <c r="B663" s="8" t="s">
        <v>315</v>
      </c>
      <c r="C663" s="8" t="s">
        <v>307</v>
      </c>
      <c r="D663" s="8" t="s">
        <v>3</v>
      </c>
      <c r="E663" s="8" t="s">
        <v>342</v>
      </c>
      <c r="F663" s="8">
        <v>41</v>
      </c>
      <c r="G663" s="22">
        <v>943</v>
      </c>
      <c r="H663" s="22">
        <v>451</v>
      </c>
    </row>
    <row r="664" spans="1:8" x14ac:dyDescent="0.25">
      <c r="A664" s="75">
        <v>40661</v>
      </c>
      <c r="B664" s="8" t="s">
        <v>321</v>
      </c>
      <c r="C664" s="8" t="s">
        <v>310</v>
      </c>
      <c r="D664" s="8" t="s">
        <v>328</v>
      </c>
      <c r="E664" s="8" t="s">
        <v>330</v>
      </c>
      <c r="F664" s="8">
        <v>7</v>
      </c>
      <c r="G664" s="22">
        <v>154</v>
      </c>
      <c r="H664" s="22">
        <v>70</v>
      </c>
    </row>
    <row r="665" spans="1:8" x14ac:dyDescent="0.25">
      <c r="A665" s="75">
        <v>40549</v>
      </c>
      <c r="B665" s="8" t="s">
        <v>319</v>
      </c>
      <c r="C665" s="8" t="s">
        <v>307</v>
      </c>
      <c r="D665" s="8" t="s">
        <v>312</v>
      </c>
      <c r="E665" s="8" t="s">
        <v>342</v>
      </c>
      <c r="F665" s="8">
        <v>18</v>
      </c>
      <c r="G665" s="22">
        <v>486</v>
      </c>
      <c r="H665" s="22">
        <v>261</v>
      </c>
    </row>
    <row r="666" spans="1:8" x14ac:dyDescent="0.25">
      <c r="A666" s="75">
        <v>40557</v>
      </c>
      <c r="B666" s="8" t="s">
        <v>319</v>
      </c>
      <c r="C666" s="8" t="s">
        <v>310</v>
      </c>
      <c r="D666" s="8" t="s">
        <v>312</v>
      </c>
      <c r="E666" s="8" t="s">
        <v>333</v>
      </c>
      <c r="F666" s="8">
        <v>56</v>
      </c>
      <c r="G666" s="22">
        <v>1512</v>
      </c>
      <c r="H666" s="22">
        <v>812</v>
      </c>
    </row>
    <row r="667" spans="1:8" x14ac:dyDescent="0.25">
      <c r="A667" s="75">
        <v>40594</v>
      </c>
      <c r="B667" s="8" t="s">
        <v>311</v>
      </c>
      <c r="C667" s="8" t="s">
        <v>309</v>
      </c>
      <c r="D667" s="8" t="s">
        <v>132</v>
      </c>
      <c r="E667" s="8" t="s">
        <v>320</v>
      </c>
      <c r="F667" s="8">
        <v>10</v>
      </c>
      <c r="G667" s="22">
        <v>190</v>
      </c>
      <c r="H667" s="22">
        <v>80</v>
      </c>
    </row>
    <row r="668" spans="1:8" x14ac:dyDescent="0.25">
      <c r="A668" s="75">
        <v>40589</v>
      </c>
      <c r="B668" s="8" t="s">
        <v>315</v>
      </c>
      <c r="C668" s="8" t="s">
        <v>307</v>
      </c>
      <c r="D668" s="8" t="s">
        <v>7</v>
      </c>
      <c r="E668" s="8" t="s">
        <v>337</v>
      </c>
      <c r="F668" s="8">
        <v>19</v>
      </c>
      <c r="G668" s="22">
        <v>437</v>
      </c>
      <c r="H668" s="22">
        <v>209</v>
      </c>
    </row>
    <row r="669" spans="1:8" x14ac:dyDescent="0.25">
      <c r="A669" s="75">
        <v>40722</v>
      </c>
      <c r="B669" s="8" t="s">
        <v>315</v>
      </c>
      <c r="C669" s="8" t="s">
        <v>307</v>
      </c>
      <c r="D669" s="8" t="s">
        <v>132</v>
      </c>
      <c r="E669" s="8" t="s">
        <v>316</v>
      </c>
      <c r="F669" s="8">
        <v>15</v>
      </c>
      <c r="G669" s="22">
        <v>345</v>
      </c>
      <c r="H669" s="22">
        <v>165</v>
      </c>
    </row>
    <row r="670" spans="1:8" x14ac:dyDescent="0.25">
      <c r="A670" s="75">
        <v>40582</v>
      </c>
      <c r="B670" s="8" t="s">
        <v>321</v>
      </c>
      <c r="C670" s="8" t="s">
        <v>307</v>
      </c>
      <c r="D670" s="8" t="s">
        <v>3</v>
      </c>
      <c r="E670" s="8" t="s">
        <v>338</v>
      </c>
      <c r="F670" s="8">
        <v>53</v>
      </c>
      <c r="G670" s="22">
        <v>1166</v>
      </c>
      <c r="H670" s="22">
        <v>530</v>
      </c>
    </row>
    <row r="671" spans="1:8" x14ac:dyDescent="0.25">
      <c r="A671" s="75">
        <v>40686</v>
      </c>
      <c r="B671" s="8" t="s">
        <v>319</v>
      </c>
      <c r="C671" s="8" t="s">
        <v>308</v>
      </c>
      <c r="D671" s="8" t="s">
        <v>132</v>
      </c>
      <c r="E671" s="8" t="s">
        <v>337</v>
      </c>
      <c r="F671" s="8">
        <v>42</v>
      </c>
      <c r="G671" s="22">
        <v>1134</v>
      </c>
      <c r="H671" s="22">
        <v>609</v>
      </c>
    </row>
    <row r="672" spans="1:8" x14ac:dyDescent="0.25">
      <c r="A672" s="75">
        <v>40617</v>
      </c>
      <c r="B672" s="8" t="s">
        <v>321</v>
      </c>
      <c r="C672" s="8" t="s">
        <v>310</v>
      </c>
      <c r="D672" s="8" t="s">
        <v>312</v>
      </c>
      <c r="E672" s="8" t="s">
        <v>313</v>
      </c>
      <c r="F672" s="8">
        <v>51</v>
      </c>
      <c r="G672" s="22">
        <v>1122</v>
      </c>
      <c r="H672" s="22">
        <v>510</v>
      </c>
    </row>
    <row r="673" spans="1:8" x14ac:dyDescent="0.25">
      <c r="A673" s="75">
        <v>40675</v>
      </c>
      <c r="B673" s="8" t="s">
        <v>315</v>
      </c>
      <c r="C673" s="8" t="s">
        <v>309</v>
      </c>
      <c r="D673" s="8" t="s">
        <v>312</v>
      </c>
      <c r="E673" s="8" t="s">
        <v>338</v>
      </c>
      <c r="F673" s="8">
        <v>52</v>
      </c>
      <c r="G673" s="22">
        <v>1196</v>
      </c>
      <c r="H673" s="22">
        <v>572</v>
      </c>
    </row>
    <row r="674" spans="1:8" x14ac:dyDescent="0.25">
      <c r="A674" s="75">
        <v>40611</v>
      </c>
      <c r="B674" s="8" t="s">
        <v>321</v>
      </c>
      <c r="C674" s="8" t="s">
        <v>309</v>
      </c>
      <c r="D674" s="8" t="s">
        <v>328</v>
      </c>
      <c r="E674" s="8" t="s">
        <v>338</v>
      </c>
      <c r="F674" s="8">
        <v>16</v>
      </c>
      <c r="G674" s="22">
        <v>352</v>
      </c>
      <c r="H674" s="22">
        <v>160</v>
      </c>
    </row>
    <row r="675" spans="1:8" x14ac:dyDescent="0.25">
      <c r="A675" s="75">
        <v>40653</v>
      </c>
      <c r="B675" s="8" t="s">
        <v>311</v>
      </c>
      <c r="C675" s="8" t="s">
        <v>310</v>
      </c>
      <c r="D675" s="8" t="s">
        <v>312</v>
      </c>
      <c r="E675" s="8" t="s">
        <v>341</v>
      </c>
      <c r="F675" s="8">
        <v>64</v>
      </c>
      <c r="G675" s="22">
        <v>1216</v>
      </c>
      <c r="H675" s="22">
        <v>512</v>
      </c>
    </row>
    <row r="676" spans="1:8" x14ac:dyDescent="0.25">
      <c r="A676" s="75">
        <v>40562</v>
      </c>
      <c r="B676" s="8" t="s">
        <v>321</v>
      </c>
      <c r="C676" s="8" t="s">
        <v>310</v>
      </c>
      <c r="D676" s="8" t="s">
        <v>132</v>
      </c>
      <c r="E676" s="8" t="s">
        <v>342</v>
      </c>
      <c r="F676" s="8">
        <v>26</v>
      </c>
      <c r="G676" s="22">
        <v>572</v>
      </c>
      <c r="H676" s="22">
        <v>260</v>
      </c>
    </row>
    <row r="677" spans="1:8" x14ac:dyDescent="0.25">
      <c r="A677" s="75">
        <v>40675</v>
      </c>
      <c r="B677" s="8" t="s">
        <v>311</v>
      </c>
      <c r="C677" s="8" t="s">
        <v>309</v>
      </c>
      <c r="D677" s="8" t="s">
        <v>3</v>
      </c>
      <c r="E677" s="8" t="s">
        <v>340</v>
      </c>
      <c r="F677" s="8">
        <v>49</v>
      </c>
      <c r="G677" s="22">
        <v>931</v>
      </c>
      <c r="H677" s="22">
        <v>392</v>
      </c>
    </row>
    <row r="678" spans="1:8" x14ac:dyDescent="0.25">
      <c r="A678" s="75">
        <v>40654</v>
      </c>
      <c r="B678" s="8" t="s">
        <v>315</v>
      </c>
      <c r="C678" s="8" t="s">
        <v>309</v>
      </c>
      <c r="D678" s="8" t="s">
        <v>132</v>
      </c>
      <c r="E678" s="8" t="s">
        <v>322</v>
      </c>
      <c r="F678" s="8">
        <v>61</v>
      </c>
      <c r="G678" s="22">
        <v>1403</v>
      </c>
      <c r="H678" s="22">
        <v>671</v>
      </c>
    </row>
    <row r="679" spans="1:8" x14ac:dyDescent="0.25">
      <c r="A679" s="75">
        <v>40562</v>
      </c>
      <c r="B679" s="8" t="s">
        <v>319</v>
      </c>
      <c r="C679" s="8" t="s">
        <v>308</v>
      </c>
      <c r="D679" s="8" t="s">
        <v>132</v>
      </c>
      <c r="E679" s="8" t="s">
        <v>316</v>
      </c>
      <c r="F679" s="8">
        <v>37</v>
      </c>
      <c r="G679" s="22">
        <v>999</v>
      </c>
      <c r="H679" s="22">
        <v>536.5</v>
      </c>
    </row>
    <row r="680" spans="1:8" x14ac:dyDescent="0.25">
      <c r="A680" s="75">
        <v>40705</v>
      </c>
      <c r="B680" s="8" t="s">
        <v>317</v>
      </c>
      <c r="C680" s="8" t="s">
        <v>310</v>
      </c>
      <c r="D680" s="8" t="s">
        <v>136</v>
      </c>
      <c r="E680" s="8" t="s">
        <v>324</v>
      </c>
      <c r="F680" s="8">
        <v>36</v>
      </c>
      <c r="G680" s="22">
        <v>756</v>
      </c>
      <c r="H680" s="22">
        <v>333</v>
      </c>
    </row>
    <row r="681" spans="1:8" x14ac:dyDescent="0.25">
      <c r="A681" s="75">
        <v>40603</v>
      </c>
      <c r="B681" s="8" t="s">
        <v>319</v>
      </c>
      <c r="C681" s="8" t="s">
        <v>307</v>
      </c>
      <c r="D681" s="8" t="s">
        <v>328</v>
      </c>
      <c r="E681" s="8" t="s">
        <v>320</v>
      </c>
      <c r="F681" s="8">
        <v>41</v>
      </c>
      <c r="G681" s="22">
        <v>1107</v>
      </c>
      <c r="H681" s="22">
        <v>594.5</v>
      </c>
    </row>
    <row r="682" spans="1:8" x14ac:dyDescent="0.25">
      <c r="A682" s="75">
        <v>40714</v>
      </c>
      <c r="B682" s="8" t="s">
        <v>311</v>
      </c>
      <c r="C682" s="8" t="s">
        <v>308</v>
      </c>
      <c r="D682" s="8" t="s">
        <v>3</v>
      </c>
      <c r="E682" s="8" t="s">
        <v>325</v>
      </c>
      <c r="F682" s="8">
        <v>29</v>
      </c>
      <c r="G682" s="22">
        <v>551</v>
      </c>
      <c r="H682" s="22">
        <v>232</v>
      </c>
    </row>
    <row r="683" spans="1:8" x14ac:dyDescent="0.25">
      <c r="A683" s="75">
        <v>40562</v>
      </c>
      <c r="B683" s="8" t="s">
        <v>321</v>
      </c>
      <c r="C683" s="8" t="s">
        <v>310</v>
      </c>
      <c r="D683" s="8" t="s">
        <v>312</v>
      </c>
      <c r="E683" s="8" t="s">
        <v>344</v>
      </c>
      <c r="F683" s="8">
        <v>18</v>
      </c>
      <c r="G683" s="22">
        <v>396</v>
      </c>
      <c r="H683" s="22">
        <v>180</v>
      </c>
    </row>
    <row r="684" spans="1:8" x14ac:dyDescent="0.25">
      <c r="A684" s="75">
        <v>40573</v>
      </c>
      <c r="B684" s="8" t="s">
        <v>317</v>
      </c>
      <c r="C684" s="8" t="s">
        <v>310</v>
      </c>
      <c r="D684" s="8" t="s">
        <v>328</v>
      </c>
      <c r="E684" s="8" t="s">
        <v>340</v>
      </c>
      <c r="F684" s="8">
        <v>23</v>
      </c>
      <c r="G684" s="22">
        <v>483</v>
      </c>
      <c r="H684" s="22">
        <v>212.75</v>
      </c>
    </row>
    <row r="685" spans="1:8" x14ac:dyDescent="0.25">
      <c r="A685" s="75">
        <v>40715</v>
      </c>
      <c r="B685" s="8" t="s">
        <v>319</v>
      </c>
      <c r="C685" s="8" t="s">
        <v>307</v>
      </c>
      <c r="D685" s="8" t="s">
        <v>312</v>
      </c>
      <c r="E685" s="8" t="s">
        <v>313</v>
      </c>
      <c r="F685" s="8">
        <v>30</v>
      </c>
      <c r="G685" s="22">
        <v>810</v>
      </c>
      <c r="H685" s="22">
        <v>435</v>
      </c>
    </row>
    <row r="686" spans="1:8" x14ac:dyDescent="0.25">
      <c r="A686" s="75">
        <v>40592</v>
      </c>
      <c r="B686" s="8" t="s">
        <v>311</v>
      </c>
      <c r="C686" s="8" t="s">
        <v>310</v>
      </c>
      <c r="D686" s="8" t="s">
        <v>136</v>
      </c>
      <c r="E686" s="8" t="s">
        <v>314</v>
      </c>
      <c r="F686" s="8">
        <v>15</v>
      </c>
      <c r="G686" s="22">
        <v>285</v>
      </c>
      <c r="H686" s="22">
        <v>120</v>
      </c>
    </row>
    <row r="687" spans="1:8" x14ac:dyDescent="0.25">
      <c r="A687" s="75">
        <v>40630</v>
      </c>
      <c r="B687" s="8" t="s">
        <v>319</v>
      </c>
      <c r="C687" s="8" t="s">
        <v>308</v>
      </c>
      <c r="D687" s="8" t="s">
        <v>328</v>
      </c>
      <c r="E687" s="8" t="s">
        <v>316</v>
      </c>
      <c r="F687" s="8">
        <v>59</v>
      </c>
      <c r="G687" s="22">
        <v>1593</v>
      </c>
      <c r="H687" s="22">
        <v>855.5</v>
      </c>
    </row>
    <row r="688" spans="1:8" x14ac:dyDescent="0.25">
      <c r="A688" s="75">
        <v>40651</v>
      </c>
      <c r="B688" s="8" t="s">
        <v>317</v>
      </c>
      <c r="C688" s="8" t="s">
        <v>307</v>
      </c>
      <c r="D688" s="8" t="s">
        <v>132</v>
      </c>
      <c r="E688" s="8" t="s">
        <v>322</v>
      </c>
      <c r="F688" s="8">
        <v>57</v>
      </c>
      <c r="G688" s="22">
        <v>1197</v>
      </c>
      <c r="H688" s="22">
        <v>527.25</v>
      </c>
    </row>
    <row r="689" spans="1:8" x14ac:dyDescent="0.25">
      <c r="A689" s="75">
        <v>40613</v>
      </c>
      <c r="B689" s="8" t="s">
        <v>311</v>
      </c>
      <c r="C689" s="8" t="s">
        <v>308</v>
      </c>
      <c r="D689" s="8" t="s">
        <v>136</v>
      </c>
      <c r="E689" s="8" t="s">
        <v>334</v>
      </c>
      <c r="F689" s="8">
        <v>8</v>
      </c>
      <c r="G689" s="22">
        <v>152</v>
      </c>
      <c r="H689" s="22">
        <v>64</v>
      </c>
    </row>
    <row r="690" spans="1:8" x14ac:dyDescent="0.25">
      <c r="A690" s="75">
        <v>40559</v>
      </c>
      <c r="B690" s="8" t="s">
        <v>315</v>
      </c>
      <c r="C690" s="8" t="s">
        <v>310</v>
      </c>
      <c r="D690" s="8" t="s">
        <v>136</v>
      </c>
      <c r="E690" s="8" t="s">
        <v>313</v>
      </c>
      <c r="F690" s="8">
        <v>33</v>
      </c>
      <c r="G690" s="22">
        <v>759</v>
      </c>
      <c r="H690" s="22">
        <v>363</v>
      </c>
    </row>
    <row r="691" spans="1:8" x14ac:dyDescent="0.25">
      <c r="A691" s="75">
        <v>40638</v>
      </c>
      <c r="B691" s="8" t="s">
        <v>315</v>
      </c>
      <c r="C691" s="8" t="s">
        <v>309</v>
      </c>
      <c r="D691" s="8" t="s">
        <v>3</v>
      </c>
      <c r="E691" s="8" t="s">
        <v>322</v>
      </c>
      <c r="F691" s="8">
        <v>37</v>
      </c>
      <c r="G691" s="22">
        <v>851</v>
      </c>
      <c r="H691" s="22">
        <v>407</v>
      </c>
    </row>
    <row r="692" spans="1:8" x14ac:dyDescent="0.25">
      <c r="A692" s="75">
        <v>40722</v>
      </c>
      <c r="B692" s="8" t="s">
        <v>311</v>
      </c>
      <c r="C692" s="8" t="s">
        <v>308</v>
      </c>
      <c r="D692" s="8" t="s">
        <v>132</v>
      </c>
      <c r="E692" s="8" t="s">
        <v>324</v>
      </c>
      <c r="F692" s="8">
        <v>60</v>
      </c>
      <c r="G692" s="22">
        <v>1140</v>
      </c>
      <c r="H692" s="22">
        <v>480</v>
      </c>
    </row>
    <row r="693" spans="1:8" x14ac:dyDescent="0.25">
      <c r="A693" s="75">
        <v>40607</v>
      </c>
      <c r="B693" s="8" t="s">
        <v>319</v>
      </c>
      <c r="C693" s="8" t="s">
        <v>308</v>
      </c>
      <c r="D693" s="8" t="s">
        <v>7</v>
      </c>
      <c r="E693" s="8" t="s">
        <v>336</v>
      </c>
      <c r="F693" s="8">
        <v>26</v>
      </c>
      <c r="G693" s="22">
        <v>702</v>
      </c>
      <c r="H693" s="22">
        <v>377</v>
      </c>
    </row>
    <row r="694" spans="1:8" x14ac:dyDescent="0.25">
      <c r="A694" s="75">
        <v>40618</v>
      </c>
      <c r="B694" s="8" t="s">
        <v>311</v>
      </c>
      <c r="C694" s="8" t="s">
        <v>308</v>
      </c>
      <c r="D694" s="8" t="s">
        <v>132</v>
      </c>
      <c r="E694" s="8" t="s">
        <v>339</v>
      </c>
      <c r="F694" s="8">
        <v>11</v>
      </c>
      <c r="G694" s="22">
        <v>209</v>
      </c>
      <c r="H694" s="22">
        <v>88</v>
      </c>
    </row>
    <row r="695" spans="1:8" x14ac:dyDescent="0.25">
      <c r="A695" s="75">
        <v>40720</v>
      </c>
      <c r="B695" s="8" t="s">
        <v>317</v>
      </c>
      <c r="C695" s="8" t="s">
        <v>309</v>
      </c>
      <c r="D695" s="8" t="s">
        <v>132</v>
      </c>
      <c r="E695" s="8" t="s">
        <v>331</v>
      </c>
      <c r="F695" s="8">
        <v>23</v>
      </c>
      <c r="G695" s="22">
        <v>483</v>
      </c>
      <c r="H695" s="22">
        <v>212.75</v>
      </c>
    </row>
    <row r="696" spans="1:8" x14ac:dyDescent="0.25">
      <c r="A696" s="75">
        <v>40629</v>
      </c>
      <c r="B696" s="8" t="s">
        <v>315</v>
      </c>
      <c r="C696" s="8" t="s">
        <v>307</v>
      </c>
      <c r="D696" s="8" t="s">
        <v>136</v>
      </c>
      <c r="E696" s="8" t="s">
        <v>340</v>
      </c>
      <c r="F696" s="8">
        <v>57</v>
      </c>
      <c r="G696" s="22">
        <v>1311</v>
      </c>
      <c r="H696" s="22">
        <v>627</v>
      </c>
    </row>
    <row r="697" spans="1:8" x14ac:dyDescent="0.25">
      <c r="A697" s="75">
        <v>40653</v>
      </c>
      <c r="B697" s="8" t="s">
        <v>321</v>
      </c>
      <c r="C697" s="8" t="s">
        <v>310</v>
      </c>
      <c r="D697" s="8" t="s">
        <v>132</v>
      </c>
      <c r="E697" s="8" t="s">
        <v>318</v>
      </c>
      <c r="F697" s="8">
        <v>20</v>
      </c>
      <c r="G697" s="22">
        <v>440</v>
      </c>
      <c r="H697" s="22">
        <v>200</v>
      </c>
    </row>
    <row r="698" spans="1:8" x14ac:dyDescent="0.25">
      <c r="A698" s="75">
        <v>40599</v>
      </c>
      <c r="B698" s="8" t="s">
        <v>319</v>
      </c>
      <c r="C698" s="8" t="s">
        <v>307</v>
      </c>
      <c r="D698" s="8" t="s">
        <v>7</v>
      </c>
      <c r="E698" s="8" t="s">
        <v>341</v>
      </c>
      <c r="F698" s="8">
        <v>38</v>
      </c>
      <c r="G698" s="22">
        <v>1026</v>
      </c>
      <c r="H698" s="22">
        <v>551</v>
      </c>
    </row>
    <row r="699" spans="1:8" x14ac:dyDescent="0.25">
      <c r="A699" s="75">
        <v>40706</v>
      </c>
      <c r="B699" s="8" t="s">
        <v>321</v>
      </c>
      <c r="C699" s="8" t="s">
        <v>308</v>
      </c>
      <c r="D699" s="8" t="s">
        <v>136</v>
      </c>
      <c r="E699" s="8" t="s">
        <v>347</v>
      </c>
      <c r="F699" s="8">
        <v>6</v>
      </c>
      <c r="G699" s="22">
        <v>132</v>
      </c>
      <c r="H699" s="22">
        <v>60</v>
      </c>
    </row>
    <row r="700" spans="1:8" x14ac:dyDescent="0.25">
      <c r="A700" s="75">
        <v>40576</v>
      </c>
      <c r="B700" s="8" t="s">
        <v>311</v>
      </c>
      <c r="C700" s="8" t="s">
        <v>310</v>
      </c>
      <c r="D700" s="8" t="s">
        <v>3</v>
      </c>
      <c r="E700" s="8" t="s">
        <v>432</v>
      </c>
      <c r="F700" s="8">
        <v>39</v>
      </c>
      <c r="G700" s="22">
        <v>741</v>
      </c>
      <c r="H700" s="22">
        <v>312</v>
      </c>
    </row>
    <row r="701" spans="1:8" x14ac:dyDescent="0.25">
      <c r="A701" s="75">
        <v>40644</v>
      </c>
      <c r="B701" s="8" t="s">
        <v>319</v>
      </c>
      <c r="C701" s="8" t="s">
        <v>310</v>
      </c>
      <c r="D701" s="8" t="s">
        <v>3</v>
      </c>
      <c r="E701" s="8" t="s">
        <v>428</v>
      </c>
      <c r="F701" s="8">
        <v>10</v>
      </c>
      <c r="G701" s="22">
        <v>270</v>
      </c>
      <c r="H701" s="22">
        <v>145</v>
      </c>
    </row>
    <row r="702" spans="1:8" x14ac:dyDescent="0.25">
      <c r="A702" s="75">
        <v>40632</v>
      </c>
      <c r="B702" s="8" t="s">
        <v>319</v>
      </c>
      <c r="C702" s="8" t="s">
        <v>310</v>
      </c>
      <c r="D702" s="8" t="s">
        <v>3</v>
      </c>
      <c r="E702" s="8" t="s">
        <v>348</v>
      </c>
      <c r="F702" s="8">
        <v>45</v>
      </c>
      <c r="G702" s="22">
        <v>1215</v>
      </c>
      <c r="H702" s="22">
        <v>652.5</v>
      </c>
    </row>
    <row r="703" spans="1:8" x14ac:dyDescent="0.25">
      <c r="A703" s="75">
        <v>40659</v>
      </c>
      <c r="B703" s="8" t="s">
        <v>321</v>
      </c>
      <c r="C703" s="8" t="s">
        <v>307</v>
      </c>
      <c r="D703" s="8" t="s">
        <v>7</v>
      </c>
      <c r="E703" s="8" t="s">
        <v>339</v>
      </c>
      <c r="F703" s="8">
        <v>55</v>
      </c>
      <c r="G703" s="22">
        <v>1210</v>
      </c>
      <c r="H703" s="22">
        <v>550</v>
      </c>
    </row>
    <row r="704" spans="1:8" x14ac:dyDescent="0.25">
      <c r="A704" s="75">
        <v>40630</v>
      </c>
      <c r="B704" s="8" t="s">
        <v>311</v>
      </c>
      <c r="C704" s="8" t="s">
        <v>307</v>
      </c>
      <c r="D704" s="8" t="s">
        <v>3</v>
      </c>
      <c r="E704" s="8" t="s">
        <v>324</v>
      </c>
      <c r="F704" s="8">
        <v>25</v>
      </c>
      <c r="G704" s="22">
        <v>475</v>
      </c>
      <c r="H704" s="22">
        <v>200</v>
      </c>
    </row>
    <row r="705" spans="1:8" x14ac:dyDescent="0.25">
      <c r="A705" s="75">
        <v>40664</v>
      </c>
      <c r="B705" s="8" t="s">
        <v>319</v>
      </c>
      <c r="C705" s="8" t="s">
        <v>308</v>
      </c>
      <c r="D705" s="8" t="s">
        <v>132</v>
      </c>
      <c r="E705" s="8" t="s">
        <v>336</v>
      </c>
      <c r="F705" s="8">
        <v>44</v>
      </c>
      <c r="G705" s="22">
        <v>1188</v>
      </c>
      <c r="H705" s="22">
        <v>638</v>
      </c>
    </row>
    <row r="706" spans="1:8" x14ac:dyDescent="0.25">
      <c r="A706" s="75">
        <v>40568</v>
      </c>
      <c r="B706" s="8" t="s">
        <v>315</v>
      </c>
      <c r="C706" s="8" t="s">
        <v>307</v>
      </c>
      <c r="D706" s="8" t="s">
        <v>328</v>
      </c>
      <c r="E706" s="8" t="s">
        <v>342</v>
      </c>
      <c r="F706" s="8">
        <v>21</v>
      </c>
      <c r="G706" s="22">
        <v>483</v>
      </c>
      <c r="H706" s="22">
        <v>231</v>
      </c>
    </row>
    <row r="707" spans="1:8" x14ac:dyDescent="0.25">
      <c r="A707" s="75">
        <v>40633</v>
      </c>
      <c r="B707" s="8" t="s">
        <v>321</v>
      </c>
      <c r="C707" s="8" t="s">
        <v>308</v>
      </c>
      <c r="D707" s="8" t="s">
        <v>136</v>
      </c>
      <c r="E707" s="8" t="s">
        <v>338</v>
      </c>
      <c r="F707" s="8">
        <v>13</v>
      </c>
      <c r="G707" s="22">
        <v>286</v>
      </c>
      <c r="H707" s="22">
        <v>130</v>
      </c>
    </row>
    <row r="708" spans="1:8" x14ac:dyDescent="0.25">
      <c r="A708" s="75">
        <v>40577</v>
      </c>
      <c r="B708" s="8" t="s">
        <v>315</v>
      </c>
      <c r="C708" s="8" t="s">
        <v>308</v>
      </c>
      <c r="D708" s="8" t="s">
        <v>312</v>
      </c>
      <c r="E708" s="8" t="s">
        <v>331</v>
      </c>
      <c r="F708" s="8">
        <v>17</v>
      </c>
      <c r="G708" s="22">
        <v>391</v>
      </c>
      <c r="H708" s="22">
        <v>187</v>
      </c>
    </row>
    <row r="709" spans="1:8" x14ac:dyDescent="0.25">
      <c r="A709" s="75">
        <v>40698</v>
      </c>
      <c r="B709" s="8" t="s">
        <v>321</v>
      </c>
      <c r="C709" s="8" t="s">
        <v>309</v>
      </c>
      <c r="D709" s="8" t="s">
        <v>3</v>
      </c>
      <c r="E709" s="8" t="s">
        <v>332</v>
      </c>
      <c r="F709" s="8">
        <v>52</v>
      </c>
      <c r="G709" s="22">
        <v>1144</v>
      </c>
      <c r="H709" s="22">
        <v>520</v>
      </c>
    </row>
    <row r="710" spans="1:8" x14ac:dyDescent="0.25">
      <c r="A710" s="75">
        <v>40600</v>
      </c>
      <c r="B710" s="8" t="s">
        <v>321</v>
      </c>
      <c r="C710" s="8" t="s">
        <v>310</v>
      </c>
      <c r="D710" s="8" t="s">
        <v>3</v>
      </c>
      <c r="E710" s="8" t="s">
        <v>335</v>
      </c>
      <c r="F710" s="8">
        <v>29</v>
      </c>
      <c r="G710" s="22">
        <v>638</v>
      </c>
      <c r="H710" s="22">
        <v>290</v>
      </c>
    </row>
    <row r="711" spans="1:8" x14ac:dyDescent="0.25">
      <c r="A711" s="75">
        <v>40625</v>
      </c>
      <c r="B711" s="8" t="s">
        <v>317</v>
      </c>
      <c r="C711" s="8" t="s">
        <v>307</v>
      </c>
      <c r="D711" s="8" t="s">
        <v>328</v>
      </c>
      <c r="E711" s="8" t="s">
        <v>347</v>
      </c>
      <c r="F711" s="8">
        <v>63</v>
      </c>
      <c r="G711" s="22">
        <v>1323</v>
      </c>
      <c r="H711" s="22">
        <v>582.75</v>
      </c>
    </row>
    <row r="712" spans="1:8" x14ac:dyDescent="0.25">
      <c r="A712" s="75">
        <v>40643</v>
      </c>
      <c r="B712" s="8" t="s">
        <v>321</v>
      </c>
      <c r="C712" s="8" t="s">
        <v>309</v>
      </c>
      <c r="D712" s="8" t="s">
        <v>136</v>
      </c>
      <c r="E712" s="8" t="s">
        <v>336</v>
      </c>
      <c r="F712" s="8">
        <v>19</v>
      </c>
      <c r="G712" s="22">
        <v>418</v>
      </c>
      <c r="H712" s="22">
        <v>190</v>
      </c>
    </row>
    <row r="713" spans="1:8" x14ac:dyDescent="0.25">
      <c r="A713" s="75">
        <v>40703</v>
      </c>
      <c r="B713" s="8" t="s">
        <v>317</v>
      </c>
      <c r="C713" s="8" t="s">
        <v>310</v>
      </c>
      <c r="D713" s="8" t="s">
        <v>132</v>
      </c>
      <c r="E713" s="8" t="s">
        <v>330</v>
      </c>
      <c r="F713" s="8">
        <v>51</v>
      </c>
      <c r="G713" s="22">
        <v>1071</v>
      </c>
      <c r="H713" s="22">
        <v>471.75</v>
      </c>
    </row>
    <row r="714" spans="1:8" x14ac:dyDescent="0.25">
      <c r="A714" s="75">
        <v>40615</v>
      </c>
      <c r="B714" s="8" t="s">
        <v>315</v>
      </c>
      <c r="C714" s="8" t="s">
        <v>309</v>
      </c>
      <c r="D714" s="8" t="s">
        <v>7</v>
      </c>
      <c r="E714" s="8" t="s">
        <v>337</v>
      </c>
      <c r="F714" s="8">
        <v>9</v>
      </c>
      <c r="G714" s="22">
        <v>207</v>
      </c>
      <c r="H714" s="22">
        <v>99</v>
      </c>
    </row>
    <row r="715" spans="1:8" x14ac:dyDescent="0.25">
      <c r="A715" s="75">
        <v>40700</v>
      </c>
      <c r="B715" s="8" t="s">
        <v>311</v>
      </c>
      <c r="C715" s="8" t="s">
        <v>307</v>
      </c>
      <c r="D715" s="8" t="s">
        <v>132</v>
      </c>
      <c r="E715" s="8" t="s">
        <v>322</v>
      </c>
      <c r="F715" s="8">
        <v>57</v>
      </c>
      <c r="G715" s="22">
        <v>1083</v>
      </c>
      <c r="H715" s="22">
        <v>456</v>
      </c>
    </row>
    <row r="716" spans="1:8" x14ac:dyDescent="0.25">
      <c r="A716" s="75">
        <v>40575</v>
      </c>
      <c r="B716" s="8" t="s">
        <v>317</v>
      </c>
      <c r="C716" s="8" t="s">
        <v>307</v>
      </c>
      <c r="D716" s="8" t="s">
        <v>312</v>
      </c>
      <c r="E716" s="8" t="s">
        <v>428</v>
      </c>
      <c r="F716" s="8">
        <v>46</v>
      </c>
      <c r="G716" s="22">
        <v>966</v>
      </c>
      <c r="H716" s="22">
        <v>425.5</v>
      </c>
    </row>
    <row r="717" spans="1:8" x14ac:dyDescent="0.25">
      <c r="A717" s="75">
        <v>40680</v>
      </c>
      <c r="B717" s="8" t="s">
        <v>315</v>
      </c>
      <c r="C717" s="8" t="s">
        <v>307</v>
      </c>
      <c r="D717" s="8" t="s">
        <v>132</v>
      </c>
      <c r="E717" s="8" t="s">
        <v>318</v>
      </c>
      <c r="F717" s="8">
        <v>51</v>
      </c>
      <c r="G717" s="22">
        <v>1173</v>
      </c>
      <c r="H717" s="22">
        <v>561</v>
      </c>
    </row>
    <row r="718" spans="1:8" x14ac:dyDescent="0.25">
      <c r="A718" s="75">
        <v>40672</v>
      </c>
      <c r="B718" s="8" t="s">
        <v>311</v>
      </c>
      <c r="C718" s="8" t="s">
        <v>307</v>
      </c>
      <c r="D718" s="8" t="s">
        <v>328</v>
      </c>
      <c r="E718" s="8" t="s">
        <v>429</v>
      </c>
      <c r="F718" s="8">
        <v>48</v>
      </c>
      <c r="G718" s="22">
        <v>912</v>
      </c>
      <c r="H718" s="22">
        <v>384</v>
      </c>
    </row>
    <row r="719" spans="1:8" x14ac:dyDescent="0.25">
      <c r="A719" s="75">
        <v>40692</v>
      </c>
      <c r="B719" s="8" t="s">
        <v>319</v>
      </c>
      <c r="C719" s="8" t="s">
        <v>310</v>
      </c>
      <c r="D719" s="8" t="s">
        <v>328</v>
      </c>
      <c r="E719" s="8" t="s">
        <v>341</v>
      </c>
      <c r="F719" s="8">
        <v>34</v>
      </c>
      <c r="G719" s="22">
        <v>918</v>
      </c>
      <c r="H719" s="22">
        <v>493</v>
      </c>
    </row>
    <row r="720" spans="1:8" x14ac:dyDescent="0.25">
      <c r="A720" s="75">
        <v>40601</v>
      </c>
      <c r="B720" s="8" t="s">
        <v>319</v>
      </c>
      <c r="C720" s="8" t="s">
        <v>310</v>
      </c>
      <c r="D720" s="8" t="s">
        <v>136</v>
      </c>
      <c r="E720" s="8" t="s">
        <v>325</v>
      </c>
      <c r="F720" s="8">
        <v>16</v>
      </c>
      <c r="G720" s="22">
        <v>432</v>
      </c>
      <c r="H720" s="22">
        <v>232</v>
      </c>
    </row>
    <row r="721" spans="1:8" x14ac:dyDescent="0.25">
      <c r="A721" s="75">
        <v>40717</v>
      </c>
      <c r="B721" s="8" t="s">
        <v>315</v>
      </c>
      <c r="C721" s="8" t="s">
        <v>309</v>
      </c>
      <c r="D721" s="8" t="s">
        <v>328</v>
      </c>
      <c r="E721" s="8" t="s">
        <v>343</v>
      </c>
      <c r="F721" s="8">
        <v>54</v>
      </c>
      <c r="G721" s="22">
        <v>1242</v>
      </c>
      <c r="H721" s="22">
        <v>594</v>
      </c>
    </row>
    <row r="722" spans="1:8" x14ac:dyDescent="0.25">
      <c r="A722" s="75">
        <v>40722</v>
      </c>
      <c r="B722" s="8" t="s">
        <v>311</v>
      </c>
      <c r="C722" s="8" t="s">
        <v>308</v>
      </c>
      <c r="D722" s="8" t="s">
        <v>136</v>
      </c>
      <c r="E722" s="8" t="s">
        <v>334</v>
      </c>
      <c r="F722" s="8">
        <v>22</v>
      </c>
      <c r="G722" s="22">
        <v>418</v>
      </c>
      <c r="H722" s="22">
        <v>176</v>
      </c>
    </row>
    <row r="723" spans="1:8" x14ac:dyDescent="0.25">
      <c r="A723" s="75">
        <v>40698</v>
      </c>
      <c r="B723" s="8" t="s">
        <v>317</v>
      </c>
      <c r="C723" s="8" t="s">
        <v>309</v>
      </c>
      <c r="D723" s="8" t="s">
        <v>132</v>
      </c>
      <c r="E723" s="8" t="s">
        <v>342</v>
      </c>
      <c r="F723" s="8">
        <v>28</v>
      </c>
      <c r="G723" s="22">
        <v>588</v>
      </c>
      <c r="H723" s="22">
        <v>259</v>
      </c>
    </row>
    <row r="724" spans="1:8" x14ac:dyDescent="0.25">
      <c r="A724" s="75">
        <v>40609</v>
      </c>
      <c r="B724" s="8" t="s">
        <v>321</v>
      </c>
      <c r="C724" s="8" t="s">
        <v>308</v>
      </c>
      <c r="D724" s="8" t="s">
        <v>328</v>
      </c>
      <c r="E724" s="8" t="s">
        <v>313</v>
      </c>
      <c r="F724" s="8">
        <v>30</v>
      </c>
      <c r="G724" s="22">
        <v>660</v>
      </c>
      <c r="H724" s="22">
        <v>300</v>
      </c>
    </row>
    <row r="725" spans="1:8" x14ac:dyDescent="0.25">
      <c r="A725" s="75">
        <v>40577</v>
      </c>
      <c r="B725" s="8" t="s">
        <v>315</v>
      </c>
      <c r="C725" s="8" t="s">
        <v>310</v>
      </c>
      <c r="D725" s="8" t="s">
        <v>7</v>
      </c>
      <c r="E725" s="8" t="s">
        <v>314</v>
      </c>
      <c r="F725" s="8">
        <v>37</v>
      </c>
      <c r="G725" s="22">
        <v>851</v>
      </c>
      <c r="H725" s="22">
        <v>407</v>
      </c>
    </row>
    <row r="726" spans="1:8" x14ac:dyDescent="0.25">
      <c r="A726" s="75">
        <v>40589</v>
      </c>
      <c r="B726" s="8" t="s">
        <v>321</v>
      </c>
      <c r="C726" s="8" t="s">
        <v>307</v>
      </c>
      <c r="D726" s="8" t="s">
        <v>328</v>
      </c>
      <c r="E726" s="8" t="s">
        <v>327</v>
      </c>
      <c r="F726" s="8">
        <v>27</v>
      </c>
      <c r="G726" s="22">
        <v>594</v>
      </c>
      <c r="H726" s="22">
        <v>270</v>
      </c>
    </row>
    <row r="727" spans="1:8" x14ac:dyDescent="0.25">
      <c r="A727" s="75">
        <v>40714</v>
      </c>
      <c r="B727" s="8" t="s">
        <v>317</v>
      </c>
      <c r="C727" s="8" t="s">
        <v>308</v>
      </c>
      <c r="D727" s="8" t="s">
        <v>7</v>
      </c>
      <c r="E727" s="8" t="s">
        <v>332</v>
      </c>
      <c r="F727" s="8">
        <v>10</v>
      </c>
      <c r="G727" s="22">
        <v>210</v>
      </c>
      <c r="H727" s="22">
        <v>92.5</v>
      </c>
    </row>
    <row r="728" spans="1:8" x14ac:dyDescent="0.25">
      <c r="A728" s="75">
        <v>40633</v>
      </c>
      <c r="B728" s="8" t="s">
        <v>321</v>
      </c>
      <c r="C728" s="8" t="s">
        <v>308</v>
      </c>
      <c r="D728" s="8" t="s">
        <v>7</v>
      </c>
      <c r="E728" s="8" t="s">
        <v>323</v>
      </c>
      <c r="F728" s="8">
        <v>51</v>
      </c>
      <c r="G728" s="22">
        <v>1122</v>
      </c>
      <c r="H728" s="22">
        <v>510</v>
      </c>
    </row>
    <row r="729" spans="1:8" x14ac:dyDescent="0.25">
      <c r="A729" s="75">
        <v>40550</v>
      </c>
      <c r="B729" s="8" t="s">
        <v>319</v>
      </c>
      <c r="C729" s="8" t="s">
        <v>307</v>
      </c>
      <c r="D729" s="8" t="s">
        <v>3</v>
      </c>
      <c r="E729" s="8" t="s">
        <v>318</v>
      </c>
      <c r="F729" s="8">
        <v>56</v>
      </c>
      <c r="G729" s="22">
        <v>1512</v>
      </c>
      <c r="H729" s="22">
        <v>812</v>
      </c>
    </row>
    <row r="730" spans="1:8" x14ac:dyDescent="0.25">
      <c r="A730" s="75">
        <v>40710</v>
      </c>
      <c r="B730" s="8" t="s">
        <v>311</v>
      </c>
      <c r="C730" s="8" t="s">
        <v>308</v>
      </c>
      <c r="D730" s="8" t="s">
        <v>136</v>
      </c>
      <c r="E730" s="8" t="s">
        <v>428</v>
      </c>
      <c r="F730" s="8">
        <v>52</v>
      </c>
      <c r="G730" s="22">
        <v>988</v>
      </c>
      <c r="H730" s="22">
        <v>416</v>
      </c>
    </row>
    <row r="731" spans="1:8" x14ac:dyDescent="0.25">
      <c r="A731" s="75">
        <v>40651</v>
      </c>
      <c r="B731" s="8" t="s">
        <v>317</v>
      </c>
      <c r="C731" s="8" t="s">
        <v>309</v>
      </c>
      <c r="D731" s="8" t="s">
        <v>312</v>
      </c>
      <c r="E731" s="8" t="s">
        <v>429</v>
      </c>
      <c r="F731" s="8">
        <v>11</v>
      </c>
      <c r="G731" s="22">
        <v>231</v>
      </c>
      <c r="H731" s="22">
        <v>101.75</v>
      </c>
    </row>
    <row r="732" spans="1:8" x14ac:dyDescent="0.25">
      <c r="A732" s="75">
        <v>40614</v>
      </c>
      <c r="B732" s="8" t="s">
        <v>319</v>
      </c>
      <c r="C732" s="8" t="s">
        <v>310</v>
      </c>
      <c r="D732" s="8" t="s">
        <v>3</v>
      </c>
      <c r="E732" s="8" t="s">
        <v>313</v>
      </c>
      <c r="F732" s="8">
        <v>45</v>
      </c>
      <c r="G732" s="22">
        <v>1215</v>
      </c>
      <c r="H732" s="22">
        <v>652.5</v>
      </c>
    </row>
    <row r="733" spans="1:8" x14ac:dyDescent="0.25">
      <c r="A733" s="75">
        <v>40588</v>
      </c>
      <c r="B733" s="8" t="s">
        <v>317</v>
      </c>
      <c r="C733" s="8" t="s">
        <v>308</v>
      </c>
      <c r="D733" s="8" t="s">
        <v>7</v>
      </c>
      <c r="E733" s="8" t="s">
        <v>342</v>
      </c>
      <c r="F733" s="8">
        <v>49</v>
      </c>
      <c r="G733" s="22">
        <v>1029</v>
      </c>
      <c r="H733" s="22">
        <v>453.25</v>
      </c>
    </row>
    <row r="734" spans="1:8" x14ac:dyDescent="0.25">
      <c r="A734" s="75">
        <v>40705</v>
      </c>
      <c r="B734" s="8" t="s">
        <v>311</v>
      </c>
      <c r="C734" s="8" t="s">
        <v>307</v>
      </c>
      <c r="D734" s="8" t="s">
        <v>328</v>
      </c>
      <c r="E734" s="8" t="s">
        <v>316</v>
      </c>
      <c r="F734" s="8">
        <v>25</v>
      </c>
      <c r="G734" s="22">
        <v>475</v>
      </c>
      <c r="H734" s="22">
        <v>200</v>
      </c>
    </row>
    <row r="735" spans="1:8" x14ac:dyDescent="0.25">
      <c r="A735" s="75">
        <v>40605</v>
      </c>
      <c r="B735" s="8" t="s">
        <v>311</v>
      </c>
      <c r="C735" s="8" t="s">
        <v>308</v>
      </c>
      <c r="D735" s="8" t="s">
        <v>328</v>
      </c>
      <c r="E735" s="8" t="s">
        <v>428</v>
      </c>
      <c r="F735" s="8">
        <v>12</v>
      </c>
      <c r="G735" s="22">
        <v>228</v>
      </c>
      <c r="H735" s="22">
        <v>96</v>
      </c>
    </row>
    <row r="736" spans="1:8" x14ac:dyDescent="0.25">
      <c r="A736" s="75">
        <v>40594</v>
      </c>
      <c r="B736" s="8" t="s">
        <v>311</v>
      </c>
      <c r="C736" s="8" t="s">
        <v>309</v>
      </c>
      <c r="D736" s="8" t="s">
        <v>132</v>
      </c>
      <c r="E736" s="8" t="s">
        <v>330</v>
      </c>
      <c r="F736" s="8">
        <v>42</v>
      </c>
      <c r="G736" s="22">
        <v>798</v>
      </c>
      <c r="H736" s="22">
        <v>336</v>
      </c>
    </row>
    <row r="737" spans="1:8" x14ac:dyDescent="0.25">
      <c r="A737" s="75">
        <v>40635</v>
      </c>
      <c r="B737" s="8" t="s">
        <v>311</v>
      </c>
      <c r="C737" s="8" t="s">
        <v>307</v>
      </c>
      <c r="D737" s="8" t="s">
        <v>136</v>
      </c>
      <c r="E737" s="8" t="s">
        <v>340</v>
      </c>
      <c r="F737" s="8">
        <v>46</v>
      </c>
      <c r="G737" s="22">
        <v>874</v>
      </c>
      <c r="H737" s="22">
        <v>368</v>
      </c>
    </row>
    <row r="738" spans="1:8" x14ac:dyDescent="0.25">
      <c r="A738" s="75">
        <v>40606</v>
      </c>
      <c r="B738" s="8" t="s">
        <v>317</v>
      </c>
      <c r="C738" s="8" t="s">
        <v>309</v>
      </c>
      <c r="D738" s="8" t="s">
        <v>3</v>
      </c>
      <c r="E738" s="8" t="s">
        <v>342</v>
      </c>
      <c r="F738" s="8">
        <v>25</v>
      </c>
      <c r="G738" s="22">
        <v>525</v>
      </c>
      <c r="H738" s="22">
        <v>231.25</v>
      </c>
    </row>
    <row r="739" spans="1:8" x14ac:dyDescent="0.25">
      <c r="A739" s="75">
        <v>40630</v>
      </c>
      <c r="B739" s="8" t="s">
        <v>317</v>
      </c>
      <c r="C739" s="8" t="s">
        <v>309</v>
      </c>
      <c r="D739" s="8" t="s">
        <v>328</v>
      </c>
      <c r="E739" s="8" t="s">
        <v>313</v>
      </c>
      <c r="F739" s="8">
        <v>19</v>
      </c>
      <c r="G739" s="22">
        <v>399</v>
      </c>
      <c r="H739" s="22">
        <v>175.75</v>
      </c>
    </row>
    <row r="740" spans="1:8" x14ac:dyDescent="0.25">
      <c r="A740" s="75">
        <v>40698</v>
      </c>
      <c r="B740" s="8" t="s">
        <v>311</v>
      </c>
      <c r="C740" s="8" t="s">
        <v>307</v>
      </c>
      <c r="D740" s="8" t="s">
        <v>132</v>
      </c>
      <c r="E740" s="8" t="s">
        <v>320</v>
      </c>
      <c r="F740" s="8">
        <v>31</v>
      </c>
      <c r="G740" s="22">
        <v>589</v>
      </c>
      <c r="H740" s="22">
        <v>248</v>
      </c>
    </row>
    <row r="741" spans="1:8" x14ac:dyDescent="0.25">
      <c r="A741" s="75">
        <v>40672</v>
      </c>
      <c r="B741" s="8" t="s">
        <v>321</v>
      </c>
      <c r="C741" s="8" t="s">
        <v>310</v>
      </c>
      <c r="D741" s="8" t="s">
        <v>7</v>
      </c>
      <c r="E741" s="8" t="s">
        <v>332</v>
      </c>
      <c r="F741" s="8">
        <v>23</v>
      </c>
      <c r="G741" s="22">
        <v>506</v>
      </c>
      <c r="H741" s="22">
        <v>230</v>
      </c>
    </row>
    <row r="742" spans="1:8" x14ac:dyDescent="0.25">
      <c r="A742" s="75">
        <v>40564</v>
      </c>
      <c r="B742" s="8" t="s">
        <v>315</v>
      </c>
      <c r="C742" s="8" t="s">
        <v>308</v>
      </c>
      <c r="D742" s="8" t="s">
        <v>132</v>
      </c>
      <c r="E742" s="8" t="s">
        <v>330</v>
      </c>
      <c r="F742" s="8">
        <v>49</v>
      </c>
      <c r="G742" s="22">
        <v>1127</v>
      </c>
      <c r="H742" s="22">
        <v>539</v>
      </c>
    </row>
    <row r="743" spans="1:8" x14ac:dyDescent="0.25">
      <c r="A743" s="75">
        <v>40567</v>
      </c>
      <c r="B743" s="8" t="s">
        <v>319</v>
      </c>
      <c r="C743" s="8" t="s">
        <v>308</v>
      </c>
      <c r="D743" s="8" t="s">
        <v>132</v>
      </c>
      <c r="E743" s="8" t="s">
        <v>341</v>
      </c>
      <c r="F743" s="8">
        <v>65</v>
      </c>
      <c r="G743" s="22">
        <v>1755</v>
      </c>
      <c r="H743" s="22">
        <v>942.5</v>
      </c>
    </row>
    <row r="744" spans="1:8" x14ac:dyDescent="0.25">
      <c r="A744" s="75">
        <v>40716</v>
      </c>
      <c r="B744" s="8" t="s">
        <v>315</v>
      </c>
      <c r="C744" s="8" t="s">
        <v>308</v>
      </c>
      <c r="D744" s="8" t="s">
        <v>3</v>
      </c>
      <c r="E744" s="8" t="s">
        <v>323</v>
      </c>
      <c r="F744" s="8">
        <v>60</v>
      </c>
      <c r="G744" s="22">
        <v>1380</v>
      </c>
      <c r="H744" s="22">
        <v>660</v>
      </c>
    </row>
    <row r="745" spans="1:8" x14ac:dyDescent="0.25">
      <c r="A745" s="75">
        <v>40708</v>
      </c>
      <c r="B745" s="8" t="s">
        <v>321</v>
      </c>
      <c r="C745" s="8" t="s">
        <v>307</v>
      </c>
      <c r="D745" s="8" t="s">
        <v>312</v>
      </c>
      <c r="E745" s="8" t="s">
        <v>335</v>
      </c>
      <c r="F745" s="8">
        <v>53</v>
      </c>
      <c r="G745" s="22">
        <v>1166</v>
      </c>
      <c r="H745" s="22">
        <v>530</v>
      </c>
    </row>
    <row r="746" spans="1:8" x14ac:dyDescent="0.25">
      <c r="A746" s="75">
        <v>40704</v>
      </c>
      <c r="B746" s="8" t="s">
        <v>311</v>
      </c>
      <c r="C746" s="8" t="s">
        <v>309</v>
      </c>
      <c r="D746" s="8" t="s">
        <v>7</v>
      </c>
      <c r="E746" s="8" t="s">
        <v>333</v>
      </c>
      <c r="F746" s="8">
        <v>20</v>
      </c>
      <c r="G746" s="22">
        <v>380</v>
      </c>
      <c r="H746" s="22">
        <v>160</v>
      </c>
    </row>
    <row r="747" spans="1:8" x14ac:dyDescent="0.25">
      <c r="A747" s="75">
        <v>40603</v>
      </c>
      <c r="B747" s="8" t="s">
        <v>315</v>
      </c>
      <c r="C747" s="8" t="s">
        <v>309</v>
      </c>
      <c r="D747" s="8" t="s">
        <v>132</v>
      </c>
      <c r="E747" s="8" t="s">
        <v>313</v>
      </c>
      <c r="F747" s="8">
        <v>18</v>
      </c>
      <c r="G747" s="22">
        <v>414</v>
      </c>
      <c r="H747" s="22">
        <v>198</v>
      </c>
    </row>
    <row r="748" spans="1:8" x14ac:dyDescent="0.25">
      <c r="A748" s="75">
        <v>40597</v>
      </c>
      <c r="B748" s="8" t="s">
        <v>319</v>
      </c>
      <c r="C748" s="8" t="s">
        <v>307</v>
      </c>
      <c r="D748" s="8" t="s">
        <v>3</v>
      </c>
      <c r="E748" s="8" t="s">
        <v>428</v>
      </c>
      <c r="F748" s="8">
        <v>64</v>
      </c>
      <c r="G748" s="22">
        <v>1728</v>
      </c>
      <c r="H748" s="22">
        <v>928</v>
      </c>
    </row>
    <row r="749" spans="1:8" x14ac:dyDescent="0.25">
      <c r="A749" s="75">
        <v>40671</v>
      </c>
      <c r="B749" s="8" t="s">
        <v>315</v>
      </c>
      <c r="C749" s="8" t="s">
        <v>308</v>
      </c>
      <c r="D749" s="8" t="s">
        <v>7</v>
      </c>
      <c r="E749" s="8" t="s">
        <v>334</v>
      </c>
      <c r="F749" s="8">
        <v>24</v>
      </c>
      <c r="G749" s="22">
        <v>552</v>
      </c>
      <c r="H749" s="22">
        <v>264</v>
      </c>
    </row>
    <row r="750" spans="1:8" x14ac:dyDescent="0.25">
      <c r="A750" s="75">
        <v>40640</v>
      </c>
      <c r="B750" s="8" t="s">
        <v>315</v>
      </c>
      <c r="C750" s="8" t="s">
        <v>308</v>
      </c>
      <c r="D750" s="8" t="s">
        <v>312</v>
      </c>
      <c r="E750" s="8" t="s">
        <v>326</v>
      </c>
      <c r="F750" s="8">
        <v>21</v>
      </c>
      <c r="G750" s="22">
        <v>483</v>
      </c>
      <c r="H750" s="22">
        <v>231</v>
      </c>
    </row>
    <row r="751" spans="1:8" x14ac:dyDescent="0.25">
      <c r="A751" s="75">
        <v>40561</v>
      </c>
      <c r="B751" s="8" t="s">
        <v>311</v>
      </c>
      <c r="C751" s="8" t="s">
        <v>307</v>
      </c>
      <c r="D751" s="8" t="s">
        <v>3</v>
      </c>
      <c r="E751" s="8" t="s">
        <v>331</v>
      </c>
      <c r="F751" s="8">
        <v>39</v>
      </c>
      <c r="G751" s="22">
        <v>741</v>
      </c>
      <c r="H751" s="22">
        <v>312</v>
      </c>
    </row>
    <row r="752" spans="1:8" x14ac:dyDescent="0.25">
      <c r="A752" s="75">
        <v>40694</v>
      </c>
      <c r="B752" s="8" t="s">
        <v>311</v>
      </c>
      <c r="C752" s="8" t="s">
        <v>307</v>
      </c>
      <c r="D752" s="8" t="s">
        <v>132</v>
      </c>
      <c r="E752" s="8" t="s">
        <v>346</v>
      </c>
      <c r="F752" s="8">
        <v>55</v>
      </c>
      <c r="G752" s="22">
        <v>1045</v>
      </c>
      <c r="H752" s="22">
        <v>440</v>
      </c>
    </row>
    <row r="753" spans="1:8" x14ac:dyDescent="0.25">
      <c r="A753" s="75">
        <v>40581</v>
      </c>
      <c r="B753" s="8" t="s">
        <v>319</v>
      </c>
      <c r="C753" s="8" t="s">
        <v>307</v>
      </c>
      <c r="D753" s="8" t="s">
        <v>7</v>
      </c>
      <c r="E753" s="8" t="s">
        <v>342</v>
      </c>
      <c r="F753" s="8">
        <v>57</v>
      </c>
      <c r="G753" s="22">
        <v>1539</v>
      </c>
      <c r="H753" s="22">
        <v>826.5</v>
      </c>
    </row>
    <row r="754" spans="1:8" x14ac:dyDescent="0.25">
      <c r="A754" s="75">
        <v>40575</v>
      </c>
      <c r="B754" s="8" t="s">
        <v>319</v>
      </c>
      <c r="C754" s="8" t="s">
        <v>309</v>
      </c>
      <c r="D754" s="8" t="s">
        <v>328</v>
      </c>
      <c r="E754" s="8" t="s">
        <v>335</v>
      </c>
      <c r="F754" s="8">
        <v>30</v>
      </c>
      <c r="G754" s="22">
        <v>810</v>
      </c>
      <c r="H754" s="22">
        <v>435</v>
      </c>
    </row>
    <row r="755" spans="1:8" x14ac:dyDescent="0.25">
      <c r="A755" s="75">
        <v>40643</v>
      </c>
      <c r="B755" s="8" t="s">
        <v>321</v>
      </c>
      <c r="C755" s="8" t="s">
        <v>309</v>
      </c>
      <c r="D755" s="8" t="s">
        <v>312</v>
      </c>
      <c r="E755" s="8" t="s">
        <v>313</v>
      </c>
      <c r="F755" s="8">
        <v>62</v>
      </c>
      <c r="G755" s="22">
        <v>1364</v>
      </c>
      <c r="H755" s="22">
        <v>620</v>
      </c>
    </row>
    <row r="756" spans="1:8" x14ac:dyDescent="0.25">
      <c r="A756" s="75">
        <v>40606</v>
      </c>
      <c r="B756" s="8" t="s">
        <v>317</v>
      </c>
      <c r="C756" s="8" t="s">
        <v>310</v>
      </c>
      <c r="D756" s="8" t="s">
        <v>312</v>
      </c>
      <c r="E756" s="8" t="s">
        <v>329</v>
      </c>
      <c r="F756" s="8">
        <v>56</v>
      </c>
      <c r="G756" s="22">
        <v>1176</v>
      </c>
      <c r="H756" s="22">
        <v>518</v>
      </c>
    </row>
    <row r="757" spans="1:8" x14ac:dyDescent="0.25">
      <c r="A757" s="75">
        <v>40648</v>
      </c>
      <c r="B757" s="8" t="s">
        <v>315</v>
      </c>
      <c r="C757" s="8" t="s">
        <v>307</v>
      </c>
      <c r="D757" s="8" t="s">
        <v>132</v>
      </c>
      <c r="E757" s="8" t="s">
        <v>327</v>
      </c>
      <c r="F757" s="8">
        <v>28</v>
      </c>
      <c r="G757" s="22">
        <v>644</v>
      </c>
      <c r="H757" s="22">
        <v>308</v>
      </c>
    </row>
    <row r="758" spans="1:8" x14ac:dyDescent="0.25">
      <c r="A758" s="75">
        <v>40561</v>
      </c>
      <c r="B758" s="8" t="s">
        <v>317</v>
      </c>
      <c r="C758" s="8" t="s">
        <v>307</v>
      </c>
      <c r="D758" s="8" t="s">
        <v>328</v>
      </c>
      <c r="E758" s="8" t="s">
        <v>342</v>
      </c>
      <c r="F758" s="8">
        <v>23</v>
      </c>
      <c r="G758" s="22">
        <v>483</v>
      </c>
      <c r="H758" s="22">
        <v>212.75</v>
      </c>
    </row>
    <row r="759" spans="1:8" x14ac:dyDescent="0.25">
      <c r="A759" s="75">
        <v>40702</v>
      </c>
      <c r="B759" s="8" t="s">
        <v>321</v>
      </c>
      <c r="C759" s="8" t="s">
        <v>308</v>
      </c>
      <c r="D759" s="8" t="s">
        <v>312</v>
      </c>
      <c r="E759" s="8" t="s">
        <v>346</v>
      </c>
      <c r="F759" s="8">
        <v>9</v>
      </c>
      <c r="G759" s="22">
        <v>198</v>
      </c>
      <c r="H759" s="22">
        <v>90</v>
      </c>
    </row>
    <row r="760" spans="1:8" x14ac:dyDescent="0.25">
      <c r="A760" s="75">
        <v>40669</v>
      </c>
      <c r="B760" s="8" t="s">
        <v>319</v>
      </c>
      <c r="C760" s="8" t="s">
        <v>310</v>
      </c>
      <c r="D760" s="8" t="s">
        <v>328</v>
      </c>
      <c r="E760" s="8" t="s">
        <v>348</v>
      </c>
      <c r="F760" s="8">
        <v>42</v>
      </c>
      <c r="G760" s="22">
        <v>1134</v>
      </c>
      <c r="H760" s="22">
        <v>609</v>
      </c>
    </row>
    <row r="761" spans="1:8" x14ac:dyDescent="0.25">
      <c r="A761" s="75">
        <v>40619</v>
      </c>
      <c r="B761" s="8" t="s">
        <v>317</v>
      </c>
      <c r="C761" s="8" t="s">
        <v>310</v>
      </c>
      <c r="D761" s="8" t="s">
        <v>312</v>
      </c>
      <c r="E761" s="8" t="s">
        <v>329</v>
      </c>
      <c r="F761" s="8">
        <v>11</v>
      </c>
      <c r="G761" s="22">
        <v>231</v>
      </c>
      <c r="H761" s="22">
        <v>101.75</v>
      </c>
    </row>
    <row r="762" spans="1:8" x14ac:dyDescent="0.25">
      <c r="A762" s="75">
        <v>40551</v>
      </c>
      <c r="B762" s="8" t="s">
        <v>321</v>
      </c>
      <c r="C762" s="8" t="s">
        <v>308</v>
      </c>
      <c r="D762" s="8" t="s">
        <v>312</v>
      </c>
      <c r="E762" s="8" t="s">
        <v>339</v>
      </c>
      <c r="F762" s="8">
        <v>39</v>
      </c>
      <c r="G762" s="22">
        <v>858</v>
      </c>
      <c r="H762" s="22">
        <v>390</v>
      </c>
    </row>
    <row r="763" spans="1:8" x14ac:dyDescent="0.25">
      <c r="A763" s="75">
        <v>40627</v>
      </c>
      <c r="B763" s="8" t="s">
        <v>315</v>
      </c>
      <c r="C763" s="8" t="s">
        <v>310</v>
      </c>
      <c r="D763" s="8" t="s">
        <v>132</v>
      </c>
      <c r="E763" s="8" t="s">
        <v>344</v>
      </c>
      <c r="F763" s="8">
        <v>19</v>
      </c>
      <c r="G763" s="22">
        <v>437</v>
      </c>
      <c r="H763" s="22">
        <v>209</v>
      </c>
    </row>
    <row r="764" spans="1:8" x14ac:dyDescent="0.25">
      <c r="A764" s="75">
        <v>40680</v>
      </c>
      <c r="B764" s="8" t="s">
        <v>311</v>
      </c>
      <c r="C764" s="8" t="s">
        <v>308</v>
      </c>
      <c r="D764" s="8" t="s">
        <v>136</v>
      </c>
      <c r="E764" s="8" t="s">
        <v>337</v>
      </c>
      <c r="F764" s="8">
        <v>25</v>
      </c>
      <c r="G764" s="22">
        <v>475</v>
      </c>
      <c r="H764" s="22">
        <v>200</v>
      </c>
    </row>
    <row r="765" spans="1:8" x14ac:dyDescent="0.25">
      <c r="A765" s="75">
        <v>40683</v>
      </c>
      <c r="B765" s="8" t="s">
        <v>317</v>
      </c>
      <c r="C765" s="8" t="s">
        <v>308</v>
      </c>
      <c r="D765" s="8" t="s">
        <v>3</v>
      </c>
      <c r="E765" s="8" t="s">
        <v>428</v>
      </c>
      <c r="F765" s="8">
        <v>18</v>
      </c>
      <c r="G765" s="22">
        <v>378</v>
      </c>
      <c r="H765" s="22">
        <v>166.5</v>
      </c>
    </row>
    <row r="766" spans="1:8" x14ac:dyDescent="0.25">
      <c r="A766" s="75">
        <v>40646</v>
      </c>
      <c r="B766" s="8" t="s">
        <v>319</v>
      </c>
      <c r="C766" s="8" t="s">
        <v>309</v>
      </c>
      <c r="D766" s="8" t="s">
        <v>3</v>
      </c>
      <c r="E766" s="8" t="s">
        <v>347</v>
      </c>
      <c r="F766" s="8">
        <v>33</v>
      </c>
      <c r="G766" s="22">
        <v>891</v>
      </c>
      <c r="H766" s="22">
        <v>478.5</v>
      </c>
    </row>
    <row r="767" spans="1:8" x14ac:dyDescent="0.25">
      <c r="A767" s="75">
        <v>40619</v>
      </c>
      <c r="B767" s="8" t="s">
        <v>317</v>
      </c>
      <c r="C767" s="8" t="s">
        <v>308</v>
      </c>
      <c r="D767" s="8" t="s">
        <v>136</v>
      </c>
      <c r="E767" s="8" t="s">
        <v>336</v>
      </c>
      <c r="F767" s="8">
        <v>31</v>
      </c>
      <c r="G767" s="22">
        <v>651</v>
      </c>
      <c r="H767" s="22">
        <v>286.75</v>
      </c>
    </row>
    <row r="768" spans="1:8" x14ac:dyDescent="0.25">
      <c r="A768" s="75">
        <v>40683</v>
      </c>
      <c r="B768" s="8" t="s">
        <v>311</v>
      </c>
      <c r="C768" s="8" t="s">
        <v>307</v>
      </c>
      <c r="D768" s="8" t="s">
        <v>7</v>
      </c>
      <c r="E768" s="8" t="s">
        <v>322</v>
      </c>
      <c r="F768" s="8">
        <v>61</v>
      </c>
      <c r="G768" s="22">
        <v>1159</v>
      </c>
      <c r="H768" s="22">
        <v>488</v>
      </c>
    </row>
    <row r="769" spans="1:8" x14ac:dyDescent="0.25">
      <c r="A769" s="75">
        <v>40716</v>
      </c>
      <c r="B769" s="8" t="s">
        <v>321</v>
      </c>
      <c r="C769" s="8" t="s">
        <v>309</v>
      </c>
      <c r="D769" s="8" t="s">
        <v>132</v>
      </c>
      <c r="E769" s="8" t="s">
        <v>339</v>
      </c>
      <c r="F769" s="8">
        <v>26</v>
      </c>
      <c r="G769" s="22">
        <v>572</v>
      </c>
      <c r="H769" s="22">
        <v>260</v>
      </c>
    </row>
    <row r="770" spans="1:8" x14ac:dyDescent="0.25">
      <c r="A770" s="75">
        <v>40670</v>
      </c>
      <c r="B770" s="8" t="s">
        <v>317</v>
      </c>
      <c r="C770" s="8" t="s">
        <v>310</v>
      </c>
      <c r="D770" s="8" t="s">
        <v>7</v>
      </c>
      <c r="E770" s="8" t="s">
        <v>313</v>
      </c>
      <c r="F770" s="8">
        <v>63</v>
      </c>
      <c r="G770" s="22">
        <v>1323</v>
      </c>
      <c r="H770" s="22">
        <v>582.75</v>
      </c>
    </row>
    <row r="771" spans="1:8" x14ac:dyDescent="0.25">
      <c r="A771" s="75">
        <v>40627</v>
      </c>
      <c r="B771" s="8" t="s">
        <v>319</v>
      </c>
      <c r="C771" s="8" t="s">
        <v>307</v>
      </c>
      <c r="D771" s="8" t="s">
        <v>132</v>
      </c>
      <c r="E771" s="8" t="s">
        <v>318</v>
      </c>
      <c r="F771" s="8">
        <v>10</v>
      </c>
      <c r="G771" s="22">
        <v>270</v>
      </c>
      <c r="H771" s="22">
        <v>145</v>
      </c>
    </row>
    <row r="772" spans="1:8" x14ac:dyDescent="0.25">
      <c r="A772" s="75">
        <v>40660</v>
      </c>
      <c r="B772" s="8" t="s">
        <v>317</v>
      </c>
      <c r="C772" s="8" t="s">
        <v>307</v>
      </c>
      <c r="D772" s="8" t="s">
        <v>132</v>
      </c>
      <c r="E772" s="8" t="s">
        <v>339</v>
      </c>
      <c r="F772" s="8">
        <v>34</v>
      </c>
      <c r="G772" s="22">
        <v>714</v>
      </c>
      <c r="H772" s="22">
        <v>314.5</v>
      </c>
    </row>
    <row r="773" spans="1:8" x14ac:dyDescent="0.25">
      <c r="A773" s="75">
        <v>40649</v>
      </c>
      <c r="B773" s="8" t="s">
        <v>321</v>
      </c>
      <c r="C773" s="8" t="s">
        <v>310</v>
      </c>
      <c r="D773" s="8" t="s">
        <v>132</v>
      </c>
      <c r="E773" s="8" t="s">
        <v>429</v>
      </c>
      <c r="F773" s="8">
        <v>38</v>
      </c>
      <c r="G773" s="22">
        <v>836</v>
      </c>
      <c r="H773" s="22">
        <v>380</v>
      </c>
    </row>
    <row r="774" spans="1:8" x14ac:dyDescent="0.25">
      <c r="A774" s="75">
        <v>40678</v>
      </c>
      <c r="B774" s="8" t="s">
        <v>315</v>
      </c>
      <c r="C774" s="8" t="s">
        <v>309</v>
      </c>
      <c r="D774" s="8" t="s">
        <v>328</v>
      </c>
      <c r="E774" s="8" t="s">
        <v>336</v>
      </c>
      <c r="F774" s="8">
        <v>49</v>
      </c>
      <c r="G774" s="22">
        <v>1127</v>
      </c>
      <c r="H774" s="22">
        <v>539</v>
      </c>
    </row>
    <row r="775" spans="1:8" x14ac:dyDescent="0.25">
      <c r="A775" s="75">
        <v>40711</v>
      </c>
      <c r="B775" s="8" t="s">
        <v>317</v>
      </c>
      <c r="C775" s="8" t="s">
        <v>309</v>
      </c>
      <c r="D775" s="8" t="s">
        <v>132</v>
      </c>
      <c r="E775" s="8" t="s">
        <v>335</v>
      </c>
      <c r="F775" s="8">
        <v>54</v>
      </c>
      <c r="G775" s="22">
        <v>1134</v>
      </c>
      <c r="H775" s="22">
        <v>499.5</v>
      </c>
    </row>
    <row r="776" spans="1:8" x14ac:dyDescent="0.25">
      <c r="A776" s="75">
        <v>40632</v>
      </c>
      <c r="B776" s="8" t="s">
        <v>321</v>
      </c>
      <c r="C776" s="8" t="s">
        <v>308</v>
      </c>
      <c r="D776" s="8" t="s">
        <v>3</v>
      </c>
      <c r="E776" s="8" t="s">
        <v>322</v>
      </c>
      <c r="F776" s="8">
        <v>16</v>
      </c>
      <c r="G776" s="22">
        <v>352</v>
      </c>
      <c r="H776" s="22">
        <v>160</v>
      </c>
    </row>
    <row r="777" spans="1:8" x14ac:dyDescent="0.25">
      <c r="A777" s="75">
        <v>40678</v>
      </c>
      <c r="B777" s="8" t="s">
        <v>319</v>
      </c>
      <c r="C777" s="8" t="s">
        <v>309</v>
      </c>
      <c r="D777" s="8" t="s">
        <v>3</v>
      </c>
      <c r="E777" s="8" t="s">
        <v>334</v>
      </c>
      <c r="F777" s="8">
        <v>32</v>
      </c>
      <c r="G777" s="22">
        <v>864</v>
      </c>
      <c r="H777" s="22">
        <v>464</v>
      </c>
    </row>
    <row r="778" spans="1:8" x14ac:dyDescent="0.25">
      <c r="A778" s="75">
        <v>40620</v>
      </c>
      <c r="B778" s="8" t="s">
        <v>311</v>
      </c>
      <c r="C778" s="8" t="s">
        <v>309</v>
      </c>
      <c r="D778" s="8" t="s">
        <v>328</v>
      </c>
      <c r="E778" s="8" t="s">
        <v>345</v>
      </c>
      <c r="F778" s="8">
        <v>10</v>
      </c>
      <c r="G778" s="22">
        <v>190</v>
      </c>
      <c r="H778" s="22">
        <v>80</v>
      </c>
    </row>
    <row r="779" spans="1:8" x14ac:dyDescent="0.25">
      <c r="A779" s="75">
        <v>40566</v>
      </c>
      <c r="B779" s="8" t="s">
        <v>321</v>
      </c>
      <c r="C779" s="8" t="s">
        <v>310</v>
      </c>
      <c r="D779" s="8" t="s">
        <v>312</v>
      </c>
      <c r="E779" s="8" t="s">
        <v>330</v>
      </c>
      <c r="F779" s="8">
        <v>60</v>
      </c>
      <c r="G779" s="22">
        <v>1320</v>
      </c>
      <c r="H779" s="22">
        <v>600</v>
      </c>
    </row>
    <row r="780" spans="1:8" x14ac:dyDescent="0.25">
      <c r="A780" s="75">
        <v>40683</v>
      </c>
      <c r="B780" s="8" t="s">
        <v>311</v>
      </c>
      <c r="C780" s="8" t="s">
        <v>310</v>
      </c>
      <c r="D780" s="8" t="s">
        <v>7</v>
      </c>
      <c r="E780" s="8" t="s">
        <v>347</v>
      </c>
      <c r="F780" s="8">
        <v>19</v>
      </c>
      <c r="G780" s="22">
        <v>361</v>
      </c>
      <c r="H780" s="22">
        <v>152</v>
      </c>
    </row>
    <row r="781" spans="1:8" x14ac:dyDescent="0.25">
      <c r="A781" s="75">
        <v>40651</v>
      </c>
      <c r="B781" s="8" t="s">
        <v>315</v>
      </c>
      <c r="C781" s="8" t="s">
        <v>310</v>
      </c>
      <c r="D781" s="8" t="s">
        <v>7</v>
      </c>
      <c r="E781" s="8" t="s">
        <v>322</v>
      </c>
      <c r="F781" s="8">
        <v>24</v>
      </c>
      <c r="G781" s="22">
        <v>552</v>
      </c>
      <c r="H781" s="22">
        <v>264</v>
      </c>
    </row>
    <row r="782" spans="1:8" x14ac:dyDescent="0.25">
      <c r="A782" s="75">
        <v>40595</v>
      </c>
      <c r="B782" s="8" t="s">
        <v>311</v>
      </c>
      <c r="C782" s="8" t="s">
        <v>309</v>
      </c>
      <c r="D782" s="8" t="s">
        <v>7</v>
      </c>
      <c r="E782" s="8" t="s">
        <v>322</v>
      </c>
      <c r="F782" s="8">
        <v>14</v>
      </c>
      <c r="G782" s="22">
        <v>266</v>
      </c>
      <c r="H782" s="22">
        <v>112</v>
      </c>
    </row>
    <row r="783" spans="1:8" x14ac:dyDescent="0.25">
      <c r="A783" s="75">
        <v>40595</v>
      </c>
      <c r="B783" s="8" t="s">
        <v>319</v>
      </c>
      <c r="C783" s="8" t="s">
        <v>307</v>
      </c>
      <c r="D783" s="8" t="s">
        <v>132</v>
      </c>
      <c r="E783" s="8" t="s">
        <v>344</v>
      </c>
      <c r="F783" s="8">
        <v>10</v>
      </c>
      <c r="G783" s="22">
        <v>270</v>
      </c>
      <c r="H783" s="22">
        <v>145</v>
      </c>
    </row>
    <row r="784" spans="1:8" x14ac:dyDescent="0.25">
      <c r="A784" s="75">
        <v>40551</v>
      </c>
      <c r="B784" s="8" t="s">
        <v>317</v>
      </c>
      <c r="C784" s="8" t="s">
        <v>308</v>
      </c>
      <c r="D784" s="8" t="s">
        <v>7</v>
      </c>
      <c r="E784" s="8" t="s">
        <v>344</v>
      </c>
      <c r="F784" s="8">
        <v>30</v>
      </c>
      <c r="G784" s="22">
        <v>630</v>
      </c>
      <c r="H784" s="22">
        <v>277.5</v>
      </c>
    </row>
    <row r="785" spans="1:8" x14ac:dyDescent="0.25">
      <c r="A785" s="75">
        <v>40560</v>
      </c>
      <c r="B785" s="8" t="s">
        <v>315</v>
      </c>
      <c r="C785" s="8" t="s">
        <v>307</v>
      </c>
      <c r="D785" s="8" t="s">
        <v>7</v>
      </c>
      <c r="E785" s="8" t="s">
        <v>337</v>
      </c>
      <c r="F785" s="8">
        <v>52</v>
      </c>
      <c r="G785" s="22">
        <v>1196</v>
      </c>
      <c r="H785" s="22">
        <v>572</v>
      </c>
    </row>
    <row r="786" spans="1:8" x14ac:dyDescent="0.25">
      <c r="A786" s="75">
        <v>40713</v>
      </c>
      <c r="B786" s="8" t="s">
        <v>317</v>
      </c>
      <c r="C786" s="8" t="s">
        <v>309</v>
      </c>
      <c r="D786" s="8" t="s">
        <v>312</v>
      </c>
      <c r="E786" s="8" t="s">
        <v>325</v>
      </c>
      <c r="F786" s="8">
        <v>16</v>
      </c>
      <c r="G786" s="22">
        <v>336</v>
      </c>
      <c r="H786" s="22">
        <v>148</v>
      </c>
    </row>
    <row r="787" spans="1:8" x14ac:dyDescent="0.25">
      <c r="A787" s="75">
        <v>40685</v>
      </c>
      <c r="B787" s="8" t="s">
        <v>319</v>
      </c>
      <c r="C787" s="8" t="s">
        <v>310</v>
      </c>
      <c r="D787" s="8" t="s">
        <v>136</v>
      </c>
      <c r="E787" s="8" t="s">
        <v>332</v>
      </c>
      <c r="F787" s="8">
        <v>60</v>
      </c>
      <c r="G787" s="22">
        <v>1620</v>
      </c>
      <c r="H787" s="22">
        <v>870</v>
      </c>
    </row>
    <row r="788" spans="1:8" x14ac:dyDescent="0.25">
      <c r="A788" s="75">
        <v>40639</v>
      </c>
      <c r="B788" s="8" t="s">
        <v>315</v>
      </c>
      <c r="C788" s="8" t="s">
        <v>307</v>
      </c>
      <c r="D788" s="8" t="s">
        <v>136</v>
      </c>
      <c r="E788" s="8" t="s">
        <v>339</v>
      </c>
      <c r="F788" s="8">
        <v>20</v>
      </c>
      <c r="G788" s="22">
        <v>460</v>
      </c>
      <c r="H788" s="22">
        <v>220</v>
      </c>
    </row>
    <row r="789" spans="1:8" x14ac:dyDescent="0.25">
      <c r="A789" s="75">
        <v>40685</v>
      </c>
      <c r="B789" s="8" t="s">
        <v>315</v>
      </c>
      <c r="C789" s="8" t="s">
        <v>309</v>
      </c>
      <c r="D789" s="8" t="s">
        <v>7</v>
      </c>
      <c r="E789" s="8" t="s">
        <v>339</v>
      </c>
      <c r="F789" s="8">
        <v>17</v>
      </c>
      <c r="G789" s="22">
        <v>391</v>
      </c>
      <c r="H789" s="22">
        <v>187</v>
      </c>
    </row>
    <row r="790" spans="1:8" x14ac:dyDescent="0.25">
      <c r="A790" s="75">
        <v>40688</v>
      </c>
      <c r="B790" s="8" t="s">
        <v>317</v>
      </c>
      <c r="C790" s="8" t="s">
        <v>310</v>
      </c>
      <c r="D790" s="8" t="s">
        <v>7</v>
      </c>
      <c r="E790" s="8" t="s">
        <v>338</v>
      </c>
      <c r="F790" s="8">
        <v>23</v>
      </c>
      <c r="G790" s="22">
        <v>483</v>
      </c>
      <c r="H790" s="22">
        <v>212.75</v>
      </c>
    </row>
    <row r="791" spans="1:8" x14ac:dyDescent="0.25">
      <c r="A791" s="75">
        <v>40555</v>
      </c>
      <c r="B791" s="8" t="s">
        <v>317</v>
      </c>
      <c r="C791" s="8" t="s">
        <v>308</v>
      </c>
      <c r="D791" s="8" t="s">
        <v>328</v>
      </c>
      <c r="E791" s="8" t="s">
        <v>432</v>
      </c>
      <c r="F791" s="8">
        <v>48</v>
      </c>
      <c r="G791" s="22">
        <v>1008</v>
      </c>
      <c r="H791" s="22">
        <v>444</v>
      </c>
    </row>
    <row r="792" spans="1:8" x14ac:dyDescent="0.25">
      <c r="A792" s="75">
        <v>40699</v>
      </c>
      <c r="B792" s="8" t="s">
        <v>315</v>
      </c>
      <c r="C792" s="8" t="s">
        <v>309</v>
      </c>
      <c r="D792" s="8" t="s">
        <v>312</v>
      </c>
      <c r="E792" s="8" t="s">
        <v>348</v>
      </c>
      <c r="F792" s="8">
        <v>57</v>
      </c>
      <c r="G792" s="22">
        <v>1311</v>
      </c>
      <c r="H792" s="22">
        <v>627</v>
      </c>
    </row>
    <row r="793" spans="1:8" x14ac:dyDescent="0.25">
      <c r="A793" s="75">
        <v>40662</v>
      </c>
      <c r="B793" s="8" t="s">
        <v>321</v>
      </c>
      <c r="C793" s="8" t="s">
        <v>309</v>
      </c>
      <c r="D793" s="8" t="s">
        <v>7</v>
      </c>
      <c r="E793" s="8" t="s">
        <v>323</v>
      </c>
      <c r="F793" s="8">
        <v>48</v>
      </c>
      <c r="G793" s="22">
        <v>1056</v>
      </c>
      <c r="H793" s="22">
        <v>480</v>
      </c>
    </row>
    <row r="794" spans="1:8" x14ac:dyDescent="0.25">
      <c r="A794" s="75">
        <v>40550</v>
      </c>
      <c r="B794" s="8" t="s">
        <v>317</v>
      </c>
      <c r="C794" s="8" t="s">
        <v>310</v>
      </c>
      <c r="D794" s="8" t="s">
        <v>3</v>
      </c>
      <c r="E794" s="8" t="s">
        <v>334</v>
      </c>
      <c r="F794" s="8">
        <v>39</v>
      </c>
      <c r="G794" s="22">
        <v>819</v>
      </c>
      <c r="H794" s="22">
        <v>360.75</v>
      </c>
    </row>
    <row r="795" spans="1:8" x14ac:dyDescent="0.25">
      <c r="A795" s="75">
        <v>40594</v>
      </c>
      <c r="B795" s="8" t="s">
        <v>321</v>
      </c>
      <c r="C795" s="8" t="s">
        <v>310</v>
      </c>
      <c r="D795" s="8" t="s">
        <v>3</v>
      </c>
      <c r="E795" s="8" t="s">
        <v>318</v>
      </c>
      <c r="F795" s="8">
        <v>62</v>
      </c>
      <c r="G795" s="22">
        <v>1364</v>
      </c>
      <c r="H795" s="22">
        <v>620</v>
      </c>
    </row>
    <row r="796" spans="1:8" x14ac:dyDescent="0.25">
      <c r="A796" s="75">
        <v>40580</v>
      </c>
      <c r="B796" s="8" t="s">
        <v>311</v>
      </c>
      <c r="C796" s="8" t="s">
        <v>308</v>
      </c>
      <c r="D796" s="8" t="s">
        <v>3</v>
      </c>
      <c r="E796" s="8" t="s">
        <v>341</v>
      </c>
      <c r="F796" s="8">
        <v>65</v>
      </c>
      <c r="G796" s="22">
        <v>1235</v>
      </c>
      <c r="H796" s="22">
        <v>520</v>
      </c>
    </row>
    <row r="797" spans="1:8" x14ac:dyDescent="0.25">
      <c r="A797" s="75">
        <v>40560</v>
      </c>
      <c r="B797" s="8" t="s">
        <v>321</v>
      </c>
      <c r="C797" s="8" t="s">
        <v>308</v>
      </c>
      <c r="D797" s="8" t="s">
        <v>132</v>
      </c>
      <c r="E797" s="8" t="s">
        <v>345</v>
      </c>
      <c r="F797" s="8">
        <v>22</v>
      </c>
      <c r="G797" s="22">
        <v>484</v>
      </c>
      <c r="H797" s="22">
        <v>220</v>
      </c>
    </row>
    <row r="798" spans="1:8" x14ac:dyDescent="0.25">
      <c r="A798" s="75">
        <v>40672</v>
      </c>
      <c r="B798" s="8" t="s">
        <v>311</v>
      </c>
      <c r="C798" s="8" t="s">
        <v>309</v>
      </c>
      <c r="D798" s="8" t="s">
        <v>328</v>
      </c>
      <c r="E798" s="8" t="s">
        <v>320</v>
      </c>
      <c r="F798" s="8">
        <v>27</v>
      </c>
      <c r="G798" s="22">
        <v>513</v>
      </c>
      <c r="H798" s="22">
        <v>216</v>
      </c>
    </row>
    <row r="799" spans="1:8" x14ac:dyDescent="0.25">
      <c r="A799" s="75">
        <v>40635</v>
      </c>
      <c r="B799" s="8" t="s">
        <v>319</v>
      </c>
      <c r="C799" s="8" t="s">
        <v>309</v>
      </c>
      <c r="D799" s="8" t="s">
        <v>3</v>
      </c>
      <c r="E799" s="8" t="s">
        <v>324</v>
      </c>
      <c r="F799" s="8">
        <v>63</v>
      </c>
      <c r="G799" s="22">
        <v>1701</v>
      </c>
      <c r="H799" s="22">
        <v>913.5</v>
      </c>
    </row>
    <row r="800" spans="1:8" x14ac:dyDescent="0.25">
      <c r="A800" s="75">
        <v>40667</v>
      </c>
      <c r="B800" s="8" t="s">
        <v>311</v>
      </c>
      <c r="C800" s="8" t="s">
        <v>310</v>
      </c>
      <c r="D800" s="8" t="s">
        <v>312</v>
      </c>
      <c r="E800" s="8" t="s">
        <v>342</v>
      </c>
      <c r="F800" s="8">
        <v>43</v>
      </c>
      <c r="G800" s="22">
        <v>817</v>
      </c>
      <c r="H800" s="22">
        <v>344</v>
      </c>
    </row>
    <row r="801" spans="1:8" x14ac:dyDescent="0.25">
      <c r="A801" s="75">
        <v>40608</v>
      </c>
      <c r="B801" s="8" t="s">
        <v>317</v>
      </c>
      <c r="C801" s="8" t="s">
        <v>309</v>
      </c>
      <c r="D801" s="8" t="s">
        <v>132</v>
      </c>
      <c r="E801" s="8" t="s">
        <v>332</v>
      </c>
      <c r="F801" s="8">
        <v>60</v>
      </c>
      <c r="G801" s="22">
        <v>1260</v>
      </c>
      <c r="H801" s="22">
        <v>555</v>
      </c>
    </row>
    <row r="802" spans="1:8" x14ac:dyDescent="0.25">
      <c r="A802" s="75">
        <v>40588</v>
      </c>
      <c r="B802" s="8" t="s">
        <v>319</v>
      </c>
      <c r="C802" s="8" t="s">
        <v>310</v>
      </c>
      <c r="D802" s="8" t="s">
        <v>328</v>
      </c>
      <c r="E802" s="8" t="s">
        <v>341</v>
      </c>
      <c r="F802" s="8">
        <v>15</v>
      </c>
      <c r="G802" s="22">
        <v>405</v>
      </c>
      <c r="H802" s="22">
        <v>217.5</v>
      </c>
    </row>
    <row r="803" spans="1:8" x14ac:dyDescent="0.25">
      <c r="A803" s="75">
        <v>40637</v>
      </c>
      <c r="B803" s="8" t="s">
        <v>321</v>
      </c>
      <c r="C803" s="8" t="s">
        <v>308</v>
      </c>
      <c r="D803" s="8" t="s">
        <v>312</v>
      </c>
      <c r="E803" s="8" t="s">
        <v>344</v>
      </c>
      <c r="F803" s="8">
        <v>43</v>
      </c>
      <c r="G803" s="22">
        <v>946</v>
      </c>
      <c r="H803" s="22">
        <v>430</v>
      </c>
    </row>
    <row r="804" spans="1:8" x14ac:dyDescent="0.25">
      <c r="A804" s="75">
        <v>40688</v>
      </c>
      <c r="B804" s="8" t="s">
        <v>321</v>
      </c>
      <c r="C804" s="8" t="s">
        <v>308</v>
      </c>
      <c r="D804" s="8" t="s">
        <v>7</v>
      </c>
      <c r="E804" s="8" t="s">
        <v>333</v>
      </c>
      <c r="F804" s="8">
        <v>51</v>
      </c>
      <c r="G804" s="22">
        <v>1122</v>
      </c>
      <c r="H804" s="22">
        <v>510</v>
      </c>
    </row>
    <row r="805" spans="1:8" x14ac:dyDescent="0.25">
      <c r="A805" s="75">
        <v>40722</v>
      </c>
      <c r="B805" s="8" t="s">
        <v>321</v>
      </c>
      <c r="C805" s="8" t="s">
        <v>307</v>
      </c>
      <c r="D805" s="8" t="s">
        <v>7</v>
      </c>
      <c r="E805" s="8" t="s">
        <v>332</v>
      </c>
      <c r="F805" s="8">
        <v>41</v>
      </c>
      <c r="G805" s="22">
        <v>902</v>
      </c>
      <c r="H805" s="22">
        <v>410</v>
      </c>
    </row>
    <row r="806" spans="1:8" x14ac:dyDescent="0.25">
      <c r="A806" s="75">
        <v>40560</v>
      </c>
      <c r="B806" s="8" t="s">
        <v>315</v>
      </c>
      <c r="C806" s="8" t="s">
        <v>309</v>
      </c>
      <c r="D806" s="8" t="s">
        <v>136</v>
      </c>
      <c r="E806" s="8" t="s">
        <v>348</v>
      </c>
      <c r="F806" s="8">
        <v>42</v>
      </c>
      <c r="G806" s="22">
        <v>966</v>
      </c>
      <c r="H806" s="22">
        <v>462</v>
      </c>
    </row>
    <row r="807" spans="1:8" x14ac:dyDescent="0.25">
      <c r="A807" s="75">
        <v>40686</v>
      </c>
      <c r="B807" s="8" t="s">
        <v>321</v>
      </c>
      <c r="C807" s="8" t="s">
        <v>307</v>
      </c>
      <c r="D807" s="8" t="s">
        <v>7</v>
      </c>
      <c r="E807" s="8" t="s">
        <v>320</v>
      </c>
      <c r="F807" s="8">
        <v>21</v>
      </c>
      <c r="G807" s="22">
        <v>462</v>
      </c>
      <c r="H807" s="22">
        <v>210</v>
      </c>
    </row>
    <row r="808" spans="1:8" x14ac:dyDescent="0.25">
      <c r="A808" s="75">
        <v>40581</v>
      </c>
      <c r="B808" s="8" t="s">
        <v>311</v>
      </c>
      <c r="C808" s="8" t="s">
        <v>309</v>
      </c>
      <c r="D808" s="8" t="s">
        <v>132</v>
      </c>
      <c r="E808" s="8" t="s">
        <v>335</v>
      </c>
      <c r="F808" s="8">
        <v>36</v>
      </c>
      <c r="G808" s="22">
        <v>684</v>
      </c>
      <c r="H808" s="22">
        <v>288</v>
      </c>
    </row>
    <row r="809" spans="1:8" x14ac:dyDescent="0.25">
      <c r="A809" s="75">
        <v>40681</v>
      </c>
      <c r="B809" s="8" t="s">
        <v>321</v>
      </c>
      <c r="C809" s="8" t="s">
        <v>307</v>
      </c>
      <c r="D809" s="8" t="s">
        <v>136</v>
      </c>
      <c r="E809" s="8" t="s">
        <v>313</v>
      </c>
      <c r="F809" s="8">
        <v>56</v>
      </c>
      <c r="G809" s="22">
        <v>1232</v>
      </c>
      <c r="H809" s="22">
        <v>560</v>
      </c>
    </row>
    <row r="810" spans="1:8" x14ac:dyDescent="0.25">
      <c r="A810" s="75">
        <v>40703</v>
      </c>
      <c r="B810" s="8" t="s">
        <v>321</v>
      </c>
      <c r="C810" s="8" t="s">
        <v>307</v>
      </c>
      <c r="D810" s="8" t="s">
        <v>328</v>
      </c>
      <c r="E810" s="8" t="s">
        <v>339</v>
      </c>
      <c r="F810" s="8">
        <v>28</v>
      </c>
      <c r="G810" s="22">
        <v>616</v>
      </c>
      <c r="H810" s="22">
        <v>280</v>
      </c>
    </row>
    <row r="811" spans="1:8" x14ac:dyDescent="0.25">
      <c r="A811" s="75">
        <v>40714</v>
      </c>
      <c r="B811" s="8" t="s">
        <v>315</v>
      </c>
      <c r="C811" s="8" t="s">
        <v>307</v>
      </c>
      <c r="D811" s="8" t="s">
        <v>312</v>
      </c>
      <c r="E811" s="8" t="s">
        <v>333</v>
      </c>
      <c r="F811" s="8">
        <v>35</v>
      </c>
      <c r="G811" s="22">
        <v>805</v>
      </c>
      <c r="H811" s="22">
        <v>385</v>
      </c>
    </row>
    <row r="812" spans="1:8" x14ac:dyDescent="0.25">
      <c r="A812" s="75">
        <v>40665</v>
      </c>
      <c r="B812" s="8" t="s">
        <v>319</v>
      </c>
      <c r="C812" s="8" t="s">
        <v>310</v>
      </c>
      <c r="D812" s="8" t="s">
        <v>3</v>
      </c>
      <c r="E812" s="8" t="s">
        <v>313</v>
      </c>
      <c r="F812" s="8">
        <v>27</v>
      </c>
      <c r="G812" s="22">
        <v>729</v>
      </c>
      <c r="H812" s="22">
        <v>391.5</v>
      </c>
    </row>
    <row r="813" spans="1:8" x14ac:dyDescent="0.25">
      <c r="A813" s="75">
        <v>40721</v>
      </c>
      <c r="B813" s="8" t="s">
        <v>319</v>
      </c>
      <c r="C813" s="8" t="s">
        <v>308</v>
      </c>
      <c r="D813" s="8" t="s">
        <v>328</v>
      </c>
      <c r="E813" s="8" t="s">
        <v>338</v>
      </c>
      <c r="F813" s="8">
        <v>29</v>
      </c>
      <c r="G813" s="22">
        <v>783</v>
      </c>
      <c r="H813" s="22">
        <v>420.5</v>
      </c>
    </row>
    <row r="814" spans="1:8" x14ac:dyDescent="0.25">
      <c r="A814" s="75">
        <v>40679</v>
      </c>
      <c r="B814" s="8" t="s">
        <v>311</v>
      </c>
      <c r="C814" s="8" t="s">
        <v>309</v>
      </c>
      <c r="D814" s="8" t="s">
        <v>132</v>
      </c>
      <c r="E814" s="8" t="s">
        <v>331</v>
      </c>
      <c r="F814" s="8">
        <v>64</v>
      </c>
      <c r="G814" s="22">
        <v>1216</v>
      </c>
      <c r="H814" s="22">
        <v>512</v>
      </c>
    </row>
    <row r="815" spans="1:8" x14ac:dyDescent="0.25">
      <c r="A815" s="75">
        <v>40576</v>
      </c>
      <c r="B815" s="8" t="s">
        <v>317</v>
      </c>
      <c r="C815" s="8" t="s">
        <v>307</v>
      </c>
      <c r="D815" s="8" t="s">
        <v>7</v>
      </c>
      <c r="E815" s="8" t="s">
        <v>348</v>
      </c>
      <c r="F815" s="8">
        <v>22</v>
      </c>
      <c r="G815" s="22">
        <v>462</v>
      </c>
      <c r="H815" s="22">
        <v>203.5</v>
      </c>
    </row>
    <row r="816" spans="1:8" x14ac:dyDescent="0.25">
      <c r="A816" s="75">
        <v>40607</v>
      </c>
      <c r="B816" s="8" t="s">
        <v>311</v>
      </c>
      <c r="C816" s="8" t="s">
        <v>307</v>
      </c>
      <c r="D816" s="8" t="s">
        <v>132</v>
      </c>
      <c r="E816" s="8" t="s">
        <v>432</v>
      </c>
      <c r="F816" s="8">
        <v>47</v>
      </c>
      <c r="G816" s="22">
        <v>893</v>
      </c>
      <c r="H816" s="22">
        <v>376</v>
      </c>
    </row>
    <row r="817" spans="1:8" x14ac:dyDescent="0.25">
      <c r="A817" s="75">
        <v>40663</v>
      </c>
      <c r="B817" s="8" t="s">
        <v>321</v>
      </c>
      <c r="C817" s="8" t="s">
        <v>310</v>
      </c>
      <c r="D817" s="8" t="s">
        <v>3</v>
      </c>
      <c r="E817" s="8" t="s">
        <v>338</v>
      </c>
      <c r="F817" s="8">
        <v>43</v>
      </c>
      <c r="G817" s="22">
        <v>946</v>
      </c>
      <c r="H817" s="22">
        <v>430</v>
      </c>
    </row>
    <row r="818" spans="1:8" x14ac:dyDescent="0.25">
      <c r="A818" s="75">
        <v>40676</v>
      </c>
      <c r="B818" s="8" t="s">
        <v>317</v>
      </c>
      <c r="C818" s="8" t="s">
        <v>308</v>
      </c>
      <c r="D818" s="8" t="s">
        <v>328</v>
      </c>
      <c r="E818" s="8" t="s">
        <v>329</v>
      </c>
      <c r="F818" s="8">
        <v>20</v>
      </c>
      <c r="G818" s="22">
        <v>420</v>
      </c>
      <c r="H818" s="22">
        <v>185</v>
      </c>
    </row>
    <row r="819" spans="1:8" x14ac:dyDescent="0.25">
      <c r="A819" s="75">
        <v>40550</v>
      </c>
      <c r="B819" s="8" t="s">
        <v>315</v>
      </c>
      <c r="C819" s="8" t="s">
        <v>308</v>
      </c>
      <c r="D819" s="8" t="s">
        <v>136</v>
      </c>
      <c r="E819" s="8" t="s">
        <v>347</v>
      </c>
      <c r="F819" s="8">
        <v>21</v>
      </c>
      <c r="G819" s="22">
        <v>483</v>
      </c>
      <c r="H819" s="22">
        <v>231</v>
      </c>
    </row>
    <row r="820" spans="1:8" x14ac:dyDescent="0.25">
      <c r="A820" s="75">
        <v>40710</v>
      </c>
      <c r="B820" s="8" t="s">
        <v>317</v>
      </c>
      <c r="C820" s="8" t="s">
        <v>309</v>
      </c>
      <c r="D820" s="8" t="s">
        <v>3</v>
      </c>
      <c r="E820" s="8" t="s">
        <v>322</v>
      </c>
      <c r="F820" s="8">
        <v>23</v>
      </c>
      <c r="G820" s="22">
        <v>483</v>
      </c>
      <c r="H820" s="22">
        <v>212.75</v>
      </c>
    </row>
    <row r="821" spans="1:8" x14ac:dyDescent="0.25">
      <c r="A821" s="75">
        <v>40622</v>
      </c>
      <c r="B821" s="8" t="s">
        <v>311</v>
      </c>
      <c r="C821" s="8" t="s">
        <v>307</v>
      </c>
      <c r="D821" s="8" t="s">
        <v>132</v>
      </c>
      <c r="E821" s="8" t="s">
        <v>348</v>
      </c>
      <c r="F821" s="8">
        <v>31</v>
      </c>
      <c r="G821" s="22">
        <v>589</v>
      </c>
      <c r="H821" s="22">
        <v>248</v>
      </c>
    </row>
    <row r="822" spans="1:8" x14ac:dyDescent="0.25">
      <c r="A822" s="75">
        <v>40664</v>
      </c>
      <c r="B822" s="8" t="s">
        <v>321</v>
      </c>
      <c r="C822" s="8" t="s">
        <v>307</v>
      </c>
      <c r="D822" s="8" t="s">
        <v>3</v>
      </c>
      <c r="E822" s="8" t="s">
        <v>324</v>
      </c>
      <c r="F822" s="8">
        <v>7</v>
      </c>
      <c r="G822" s="22">
        <v>154</v>
      </c>
      <c r="H822" s="22">
        <v>70</v>
      </c>
    </row>
    <row r="823" spans="1:8" x14ac:dyDescent="0.25">
      <c r="A823" s="75">
        <v>40579</v>
      </c>
      <c r="B823" s="8" t="s">
        <v>319</v>
      </c>
      <c r="C823" s="8" t="s">
        <v>307</v>
      </c>
      <c r="D823" s="8" t="s">
        <v>7</v>
      </c>
      <c r="E823" s="8" t="s">
        <v>326</v>
      </c>
      <c r="F823" s="8">
        <v>28</v>
      </c>
      <c r="G823" s="22">
        <v>756</v>
      </c>
      <c r="H823" s="22">
        <v>406</v>
      </c>
    </row>
    <row r="824" spans="1:8" x14ac:dyDescent="0.25">
      <c r="A824" s="75">
        <v>40581</v>
      </c>
      <c r="B824" s="8" t="s">
        <v>319</v>
      </c>
      <c r="C824" s="8" t="s">
        <v>309</v>
      </c>
      <c r="D824" s="8" t="s">
        <v>7</v>
      </c>
      <c r="E824" s="8" t="s">
        <v>329</v>
      </c>
      <c r="F824" s="8">
        <v>43</v>
      </c>
      <c r="G824" s="22">
        <v>1161</v>
      </c>
      <c r="H824" s="22">
        <v>623.5</v>
      </c>
    </row>
    <row r="825" spans="1:8" x14ac:dyDescent="0.25">
      <c r="A825" s="75">
        <v>40663</v>
      </c>
      <c r="B825" s="8" t="s">
        <v>317</v>
      </c>
      <c r="C825" s="8" t="s">
        <v>308</v>
      </c>
      <c r="D825" s="8" t="s">
        <v>7</v>
      </c>
      <c r="E825" s="8" t="s">
        <v>316</v>
      </c>
      <c r="F825" s="8">
        <v>23</v>
      </c>
      <c r="G825" s="22">
        <v>483</v>
      </c>
      <c r="H825" s="22">
        <v>212.75</v>
      </c>
    </row>
    <row r="826" spans="1:8" x14ac:dyDescent="0.25">
      <c r="A826" s="75">
        <v>40548</v>
      </c>
      <c r="B826" s="8" t="s">
        <v>317</v>
      </c>
      <c r="C826" s="8" t="s">
        <v>309</v>
      </c>
      <c r="D826" s="8" t="s">
        <v>132</v>
      </c>
      <c r="E826" s="8" t="s">
        <v>334</v>
      </c>
      <c r="F826" s="8">
        <v>8</v>
      </c>
      <c r="G826" s="22">
        <v>168</v>
      </c>
      <c r="H826" s="22">
        <v>74</v>
      </c>
    </row>
    <row r="827" spans="1:8" x14ac:dyDescent="0.25">
      <c r="A827" s="75">
        <v>40555</v>
      </c>
      <c r="B827" s="8" t="s">
        <v>315</v>
      </c>
      <c r="C827" s="8" t="s">
        <v>310</v>
      </c>
      <c r="D827" s="8" t="s">
        <v>312</v>
      </c>
      <c r="E827" s="8" t="s">
        <v>322</v>
      </c>
      <c r="F827" s="8">
        <v>22</v>
      </c>
      <c r="G827" s="22">
        <v>506</v>
      </c>
      <c r="H827" s="22">
        <v>242</v>
      </c>
    </row>
    <row r="828" spans="1:8" x14ac:dyDescent="0.25">
      <c r="A828" s="75">
        <v>40678</v>
      </c>
      <c r="B828" s="8" t="s">
        <v>315</v>
      </c>
      <c r="C828" s="8" t="s">
        <v>309</v>
      </c>
      <c r="D828" s="8" t="s">
        <v>132</v>
      </c>
      <c r="E828" s="8" t="s">
        <v>337</v>
      </c>
      <c r="F828" s="8">
        <v>39</v>
      </c>
      <c r="G828" s="22">
        <v>897</v>
      </c>
      <c r="H828" s="22">
        <v>429</v>
      </c>
    </row>
    <row r="829" spans="1:8" x14ac:dyDescent="0.25">
      <c r="A829" s="75">
        <v>40701</v>
      </c>
      <c r="B829" s="8" t="s">
        <v>311</v>
      </c>
      <c r="C829" s="8" t="s">
        <v>309</v>
      </c>
      <c r="D829" s="8" t="s">
        <v>7</v>
      </c>
      <c r="E829" s="8" t="s">
        <v>326</v>
      </c>
      <c r="F829" s="8">
        <v>44</v>
      </c>
      <c r="G829" s="22">
        <v>836</v>
      </c>
      <c r="H829" s="22">
        <v>352</v>
      </c>
    </row>
    <row r="830" spans="1:8" x14ac:dyDescent="0.25">
      <c r="A830" s="75">
        <v>40591</v>
      </c>
      <c r="B830" s="8" t="s">
        <v>321</v>
      </c>
      <c r="C830" s="8" t="s">
        <v>310</v>
      </c>
      <c r="D830" s="8" t="s">
        <v>3</v>
      </c>
      <c r="E830" s="8" t="s">
        <v>342</v>
      </c>
      <c r="F830" s="8">
        <v>9</v>
      </c>
      <c r="G830" s="22">
        <v>198</v>
      </c>
      <c r="H830" s="22">
        <v>90</v>
      </c>
    </row>
    <row r="831" spans="1:8" x14ac:dyDescent="0.25">
      <c r="A831" s="75">
        <v>40687</v>
      </c>
      <c r="B831" s="8" t="s">
        <v>319</v>
      </c>
      <c r="C831" s="8" t="s">
        <v>307</v>
      </c>
      <c r="D831" s="8" t="s">
        <v>328</v>
      </c>
      <c r="E831" s="8" t="s">
        <v>347</v>
      </c>
      <c r="F831" s="8">
        <v>53</v>
      </c>
      <c r="G831" s="22">
        <v>1431</v>
      </c>
      <c r="H831" s="22">
        <v>768.5</v>
      </c>
    </row>
    <row r="832" spans="1:8" x14ac:dyDescent="0.25">
      <c r="A832" s="75">
        <v>40693</v>
      </c>
      <c r="B832" s="8" t="s">
        <v>315</v>
      </c>
      <c r="C832" s="8" t="s">
        <v>307</v>
      </c>
      <c r="D832" s="8" t="s">
        <v>7</v>
      </c>
      <c r="E832" s="8" t="s">
        <v>343</v>
      </c>
      <c r="F832" s="8">
        <v>43</v>
      </c>
      <c r="G832" s="22">
        <v>989</v>
      </c>
      <c r="H832" s="22">
        <v>473</v>
      </c>
    </row>
    <row r="833" spans="1:8" x14ac:dyDescent="0.25">
      <c r="A833" s="75">
        <v>40717</v>
      </c>
      <c r="B833" s="8" t="s">
        <v>315</v>
      </c>
      <c r="C833" s="8" t="s">
        <v>308</v>
      </c>
      <c r="D833" s="8" t="s">
        <v>136</v>
      </c>
      <c r="E833" s="8" t="s">
        <v>318</v>
      </c>
      <c r="F833" s="8">
        <v>60</v>
      </c>
      <c r="G833" s="22">
        <v>1380</v>
      </c>
      <c r="H833" s="22">
        <v>660</v>
      </c>
    </row>
    <row r="834" spans="1:8" x14ac:dyDescent="0.25">
      <c r="A834" s="75">
        <v>40626</v>
      </c>
      <c r="B834" s="8" t="s">
        <v>315</v>
      </c>
      <c r="C834" s="8" t="s">
        <v>310</v>
      </c>
      <c r="D834" s="8" t="s">
        <v>7</v>
      </c>
      <c r="E834" s="8" t="s">
        <v>345</v>
      </c>
      <c r="F834" s="8">
        <v>27</v>
      </c>
      <c r="G834" s="22">
        <v>621</v>
      </c>
      <c r="H834" s="22">
        <v>297</v>
      </c>
    </row>
    <row r="835" spans="1:8" x14ac:dyDescent="0.25">
      <c r="A835" s="75">
        <v>40715</v>
      </c>
      <c r="B835" s="8" t="s">
        <v>315</v>
      </c>
      <c r="C835" s="8" t="s">
        <v>310</v>
      </c>
      <c r="D835" s="8" t="s">
        <v>136</v>
      </c>
      <c r="E835" s="8" t="s">
        <v>333</v>
      </c>
      <c r="F835" s="8">
        <v>27</v>
      </c>
      <c r="G835" s="22">
        <v>621</v>
      </c>
      <c r="H835" s="22">
        <v>297</v>
      </c>
    </row>
    <row r="836" spans="1:8" x14ac:dyDescent="0.25">
      <c r="A836" s="75">
        <v>40581</v>
      </c>
      <c r="B836" s="8" t="s">
        <v>315</v>
      </c>
      <c r="C836" s="8" t="s">
        <v>310</v>
      </c>
      <c r="D836" s="8" t="s">
        <v>328</v>
      </c>
      <c r="E836" s="8" t="s">
        <v>338</v>
      </c>
      <c r="F836" s="8">
        <v>48</v>
      </c>
      <c r="G836" s="22">
        <v>1104</v>
      </c>
      <c r="H836" s="22">
        <v>528</v>
      </c>
    </row>
    <row r="837" spans="1:8" x14ac:dyDescent="0.25">
      <c r="A837" s="75">
        <v>40583</v>
      </c>
      <c r="B837" s="8" t="s">
        <v>311</v>
      </c>
      <c r="C837" s="8" t="s">
        <v>308</v>
      </c>
      <c r="D837" s="8" t="s">
        <v>7</v>
      </c>
      <c r="E837" s="8" t="s">
        <v>314</v>
      </c>
      <c r="F837" s="8">
        <v>42</v>
      </c>
      <c r="G837" s="22">
        <v>798</v>
      </c>
      <c r="H837" s="22">
        <v>336</v>
      </c>
    </row>
    <row r="838" spans="1:8" x14ac:dyDescent="0.25">
      <c r="A838" s="75">
        <v>40596</v>
      </c>
      <c r="B838" s="8" t="s">
        <v>311</v>
      </c>
      <c r="C838" s="8" t="s">
        <v>308</v>
      </c>
      <c r="D838" s="8" t="s">
        <v>132</v>
      </c>
      <c r="E838" s="8" t="s">
        <v>314</v>
      </c>
      <c r="F838" s="8">
        <v>39</v>
      </c>
      <c r="G838" s="22">
        <v>741</v>
      </c>
      <c r="H838" s="22">
        <v>312</v>
      </c>
    </row>
    <row r="839" spans="1:8" x14ac:dyDescent="0.25">
      <c r="A839" s="75">
        <v>40620</v>
      </c>
      <c r="B839" s="8" t="s">
        <v>317</v>
      </c>
      <c r="C839" s="8" t="s">
        <v>309</v>
      </c>
      <c r="D839" s="8" t="s">
        <v>312</v>
      </c>
      <c r="E839" s="8" t="s">
        <v>335</v>
      </c>
      <c r="F839" s="8">
        <v>11</v>
      </c>
      <c r="G839" s="22">
        <v>231</v>
      </c>
      <c r="H839" s="22">
        <v>101.75</v>
      </c>
    </row>
    <row r="840" spans="1:8" x14ac:dyDescent="0.25">
      <c r="A840" s="75">
        <v>40582</v>
      </c>
      <c r="B840" s="8" t="s">
        <v>315</v>
      </c>
      <c r="C840" s="8" t="s">
        <v>307</v>
      </c>
      <c r="D840" s="8" t="s">
        <v>312</v>
      </c>
      <c r="E840" s="8" t="s">
        <v>322</v>
      </c>
      <c r="F840" s="8">
        <v>38</v>
      </c>
      <c r="G840" s="22">
        <v>874</v>
      </c>
      <c r="H840" s="22">
        <v>418</v>
      </c>
    </row>
    <row r="841" spans="1:8" x14ac:dyDescent="0.25">
      <c r="A841" s="75">
        <v>40551</v>
      </c>
      <c r="B841" s="8" t="s">
        <v>315</v>
      </c>
      <c r="C841" s="8" t="s">
        <v>307</v>
      </c>
      <c r="D841" s="8" t="s">
        <v>132</v>
      </c>
      <c r="E841" s="8" t="s">
        <v>340</v>
      </c>
      <c r="F841" s="8">
        <v>53</v>
      </c>
      <c r="G841" s="22">
        <v>1219</v>
      </c>
      <c r="H841" s="22">
        <v>583</v>
      </c>
    </row>
    <row r="842" spans="1:8" x14ac:dyDescent="0.25">
      <c r="A842" s="75">
        <v>40719</v>
      </c>
      <c r="B842" s="8" t="s">
        <v>317</v>
      </c>
      <c r="C842" s="8" t="s">
        <v>310</v>
      </c>
      <c r="D842" s="8" t="s">
        <v>328</v>
      </c>
      <c r="E842" s="8" t="s">
        <v>332</v>
      </c>
      <c r="F842" s="8">
        <v>7</v>
      </c>
      <c r="G842" s="22">
        <v>147</v>
      </c>
      <c r="H842" s="22">
        <v>64.75</v>
      </c>
    </row>
    <row r="843" spans="1:8" x14ac:dyDescent="0.25">
      <c r="A843" s="75">
        <v>40581</v>
      </c>
      <c r="B843" s="8" t="s">
        <v>321</v>
      </c>
      <c r="C843" s="8" t="s">
        <v>307</v>
      </c>
      <c r="D843" s="8" t="s">
        <v>328</v>
      </c>
      <c r="E843" s="8" t="s">
        <v>342</v>
      </c>
      <c r="F843" s="8">
        <v>41</v>
      </c>
      <c r="G843" s="22">
        <v>902</v>
      </c>
      <c r="H843" s="22">
        <v>410</v>
      </c>
    </row>
    <row r="844" spans="1:8" x14ac:dyDescent="0.25">
      <c r="A844" s="75">
        <v>40662</v>
      </c>
      <c r="B844" s="8" t="s">
        <v>315</v>
      </c>
      <c r="C844" s="8" t="s">
        <v>307</v>
      </c>
      <c r="D844" s="8" t="s">
        <v>328</v>
      </c>
      <c r="E844" s="8" t="s">
        <v>429</v>
      </c>
      <c r="F844" s="8">
        <v>13</v>
      </c>
      <c r="G844" s="22">
        <v>299</v>
      </c>
      <c r="H844" s="22">
        <v>143</v>
      </c>
    </row>
    <row r="845" spans="1:8" x14ac:dyDescent="0.25">
      <c r="A845" s="75">
        <v>40620</v>
      </c>
      <c r="B845" s="8" t="s">
        <v>321</v>
      </c>
      <c r="C845" s="8" t="s">
        <v>307</v>
      </c>
      <c r="D845" s="8" t="s">
        <v>3</v>
      </c>
      <c r="E845" s="8" t="s">
        <v>338</v>
      </c>
      <c r="F845" s="8">
        <v>15</v>
      </c>
      <c r="G845" s="22">
        <v>330</v>
      </c>
      <c r="H845" s="22">
        <v>150</v>
      </c>
    </row>
    <row r="846" spans="1:8" x14ac:dyDescent="0.25">
      <c r="A846" s="75">
        <v>40635</v>
      </c>
      <c r="B846" s="8" t="s">
        <v>315</v>
      </c>
      <c r="C846" s="8" t="s">
        <v>310</v>
      </c>
      <c r="D846" s="8" t="s">
        <v>7</v>
      </c>
      <c r="E846" s="8" t="s">
        <v>334</v>
      </c>
      <c r="F846" s="8">
        <v>42</v>
      </c>
      <c r="G846" s="22">
        <v>966</v>
      </c>
      <c r="H846" s="22">
        <v>462</v>
      </c>
    </row>
    <row r="847" spans="1:8" x14ac:dyDescent="0.25">
      <c r="A847" s="75">
        <v>40547</v>
      </c>
      <c r="B847" s="8" t="s">
        <v>315</v>
      </c>
      <c r="C847" s="8" t="s">
        <v>309</v>
      </c>
      <c r="D847" s="8" t="s">
        <v>7</v>
      </c>
      <c r="E847" s="8" t="s">
        <v>329</v>
      </c>
      <c r="F847" s="8">
        <v>40</v>
      </c>
      <c r="G847" s="22">
        <v>920</v>
      </c>
      <c r="H847" s="22">
        <v>440</v>
      </c>
    </row>
    <row r="848" spans="1:8" x14ac:dyDescent="0.25">
      <c r="A848" s="75">
        <v>40692</v>
      </c>
      <c r="B848" s="8" t="s">
        <v>315</v>
      </c>
      <c r="C848" s="8" t="s">
        <v>307</v>
      </c>
      <c r="D848" s="8" t="s">
        <v>3</v>
      </c>
      <c r="E848" s="8" t="s">
        <v>324</v>
      </c>
      <c r="F848" s="8">
        <v>30</v>
      </c>
      <c r="G848" s="22">
        <v>690</v>
      </c>
      <c r="H848" s="22">
        <v>330</v>
      </c>
    </row>
    <row r="849" spans="1:8" x14ac:dyDescent="0.25">
      <c r="A849" s="75">
        <v>40603</v>
      </c>
      <c r="B849" s="8" t="s">
        <v>317</v>
      </c>
      <c r="C849" s="8" t="s">
        <v>309</v>
      </c>
      <c r="D849" s="8" t="s">
        <v>7</v>
      </c>
      <c r="E849" s="8" t="s">
        <v>344</v>
      </c>
      <c r="F849" s="8">
        <v>27</v>
      </c>
      <c r="G849" s="22">
        <v>567</v>
      </c>
      <c r="H849" s="22">
        <v>249.75</v>
      </c>
    </row>
    <row r="850" spans="1:8" x14ac:dyDescent="0.25">
      <c r="A850" s="75">
        <v>40709</v>
      </c>
      <c r="B850" s="8" t="s">
        <v>315</v>
      </c>
      <c r="C850" s="8" t="s">
        <v>307</v>
      </c>
      <c r="D850" s="8" t="s">
        <v>132</v>
      </c>
      <c r="E850" s="8" t="s">
        <v>428</v>
      </c>
      <c r="F850" s="8">
        <v>8</v>
      </c>
      <c r="G850" s="22">
        <v>184</v>
      </c>
      <c r="H850" s="22">
        <v>88</v>
      </c>
    </row>
    <row r="851" spans="1:8" x14ac:dyDescent="0.25">
      <c r="A851" s="75">
        <v>40586</v>
      </c>
      <c r="B851" s="8" t="s">
        <v>315</v>
      </c>
      <c r="C851" s="8" t="s">
        <v>308</v>
      </c>
      <c r="D851" s="8" t="s">
        <v>3</v>
      </c>
      <c r="E851" s="8" t="s">
        <v>331</v>
      </c>
      <c r="F851" s="8">
        <v>22</v>
      </c>
      <c r="G851" s="22">
        <v>506</v>
      </c>
      <c r="H851" s="22">
        <v>242</v>
      </c>
    </row>
    <row r="852" spans="1:8" x14ac:dyDescent="0.25">
      <c r="A852" s="75">
        <v>40629</v>
      </c>
      <c r="B852" s="8" t="s">
        <v>319</v>
      </c>
      <c r="C852" s="8" t="s">
        <v>310</v>
      </c>
      <c r="D852" s="8" t="s">
        <v>312</v>
      </c>
      <c r="E852" s="8" t="s">
        <v>325</v>
      </c>
      <c r="F852" s="8">
        <v>23</v>
      </c>
      <c r="G852" s="22">
        <v>621</v>
      </c>
      <c r="H852" s="22">
        <v>333.5</v>
      </c>
    </row>
    <row r="853" spans="1:8" x14ac:dyDescent="0.25">
      <c r="A853" s="75">
        <v>40569</v>
      </c>
      <c r="B853" s="8" t="s">
        <v>319</v>
      </c>
      <c r="C853" s="8" t="s">
        <v>308</v>
      </c>
      <c r="D853" s="8" t="s">
        <v>312</v>
      </c>
      <c r="E853" s="8" t="s">
        <v>333</v>
      </c>
      <c r="F853" s="8">
        <v>61</v>
      </c>
      <c r="G853" s="22">
        <v>1647</v>
      </c>
      <c r="H853" s="22">
        <v>884.5</v>
      </c>
    </row>
    <row r="854" spans="1:8" x14ac:dyDescent="0.25">
      <c r="A854" s="75">
        <v>40706</v>
      </c>
      <c r="B854" s="8" t="s">
        <v>319</v>
      </c>
      <c r="C854" s="8" t="s">
        <v>308</v>
      </c>
      <c r="D854" s="8" t="s">
        <v>7</v>
      </c>
      <c r="E854" s="8" t="s">
        <v>345</v>
      </c>
      <c r="F854" s="8">
        <v>58</v>
      </c>
      <c r="G854" s="22">
        <v>1566</v>
      </c>
      <c r="H854" s="22">
        <v>841</v>
      </c>
    </row>
    <row r="855" spans="1:8" x14ac:dyDescent="0.25">
      <c r="A855" s="75">
        <v>40618</v>
      </c>
      <c r="B855" s="8" t="s">
        <v>319</v>
      </c>
      <c r="C855" s="8" t="s">
        <v>310</v>
      </c>
      <c r="D855" s="8" t="s">
        <v>136</v>
      </c>
      <c r="E855" s="8" t="s">
        <v>335</v>
      </c>
      <c r="F855" s="8">
        <v>33</v>
      </c>
      <c r="G855" s="22">
        <v>891</v>
      </c>
      <c r="H855" s="22">
        <v>478.5</v>
      </c>
    </row>
    <row r="856" spans="1:8" x14ac:dyDescent="0.25">
      <c r="A856" s="75">
        <v>40570</v>
      </c>
      <c r="B856" s="8" t="s">
        <v>317</v>
      </c>
      <c r="C856" s="8" t="s">
        <v>310</v>
      </c>
      <c r="D856" s="8" t="s">
        <v>7</v>
      </c>
      <c r="E856" s="8" t="s">
        <v>338</v>
      </c>
      <c r="F856" s="8">
        <v>45</v>
      </c>
      <c r="G856" s="22">
        <v>945</v>
      </c>
      <c r="H856" s="22">
        <v>416.25</v>
      </c>
    </row>
    <row r="857" spans="1:8" x14ac:dyDescent="0.25">
      <c r="A857" s="75">
        <v>40665</v>
      </c>
      <c r="B857" s="8" t="s">
        <v>311</v>
      </c>
      <c r="C857" s="8" t="s">
        <v>308</v>
      </c>
      <c r="D857" s="8" t="s">
        <v>132</v>
      </c>
      <c r="E857" s="8" t="s">
        <v>322</v>
      </c>
      <c r="F857" s="8">
        <v>32</v>
      </c>
      <c r="G857" s="22">
        <v>608</v>
      </c>
      <c r="H857" s="22">
        <v>256</v>
      </c>
    </row>
    <row r="858" spans="1:8" x14ac:dyDescent="0.25">
      <c r="A858" s="75">
        <v>40631</v>
      </c>
      <c r="B858" s="8" t="s">
        <v>311</v>
      </c>
      <c r="C858" s="8" t="s">
        <v>308</v>
      </c>
      <c r="D858" s="8" t="s">
        <v>7</v>
      </c>
      <c r="E858" s="8" t="s">
        <v>345</v>
      </c>
      <c r="F858" s="8">
        <v>65</v>
      </c>
      <c r="G858" s="22">
        <v>1235</v>
      </c>
      <c r="H858" s="22">
        <v>520</v>
      </c>
    </row>
    <row r="859" spans="1:8" x14ac:dyDescent="0.25">
      <c r="A859" s="75">
        <v>40555</v>
      </c>
      <c r="B859" s="8" t="s">
        <v>317</v>
      </c>
      <c r="C859" s="8" t="s">
        <v>309</v>
      </c>
      <c r="D859" s="8" t="s">
        <v>7</v>
      </c>
      <c r="E859" s="8" t="s">
        <v>346</v>
      </c>
      <c r="F859" s="8">
        <v>15</v>
      </c>
      <c r="G859" s="22">
        <v>315</v>
      </c>
      <c r="H859" s="22">
        <v>138.75</v>
      </c>
    </row>
    <row r="860" spans="1:8" x14ac:dyDescent="0.25">
      <c r="A860" s="75">
        <v>40714</v>
      </c>
      <c r="B860" s="8" t="s">
        <v>315</v>
      </c>
      <c r="C860" s="8" t="s">
        <v>308</v>
      </c>
      <c r="D860" s="8" t="s">
        <v>3</v>
      </c>
      <c r="E860" s="8" t="s">
        <v>332</v>
      </c>
      <c r="F860" s="8">
        <v>38</v>
      </c>
      <c r="G860" s="22">
        <v>874</v>
      </c>
      <c r="H860" s="22">
        <v>418</v>
      </c>
    </row>
    <row r="861" spans="1:8" x14ac:dyDescent="0.25">
      <c r="A861" s="75">
        <v>40704</v>
      </c>
      <c r="B861" s="8" t="s">
        <v>315</v>
      </c>
      <c r="C861" s="8" t="s">
        <v>310</v>
      </c>
      <c r="D861" s="8" t="s">
        <v>328</v>
      </c>
      <c r="E861" s="8" t="s">
        <v>327</v>
      </c>
      <c r="F861" s="8">
        <v>42</v>
      </c>
      <c r="G861" s="22">
        <v>966</v>
      </c>
      <c r="H861" s="22">
        <v>462</v>
      </c>
    </row>
    <row r="862" spans="1:8" x14ac:dyDescent="0.25">
      <c r="A862" s="75">
        <v>40597</v>
      </c>
      <c r="B862" s="8" t="s">
        <v>319</v>
      </c>
      <c r="C862" s="8" t="s">
        <v>307</v>
      </c>
      <c r="D862" s="8" t="s">
        <v>312</v>
      </c>
      <c r="E862" s="8" t="s">
        <v>327</v>
      </c>
      <c r="F862" s="8">
        <v>23</v>
      </c>
      <c r="G862" s="22">
        <v>621</v>
      </c>
      <c r="H862" s="22">
        <v>333.5</v>
      </c>
    </row>
    <row r="863" spans="1:8" x14ac:dyDescent="0.25">
      <c r="A863" s="75">
        <v>40662</v>
      </c>
      <c r="B863" s="8" t="s">
        <v>321</v>
      </c>
      <c r="C863" s="8" t="s">
        <v>309</v>
      </c>
      <c r="D863" s="8" t="s">
        <v>132</v>
      </c>
      <c r="E863" s="8" t="s">
        <v>345</v>
      </c>
      <c r="F863" s="8">
        <v>54</v>
      </c>
      <c r="G863" s="22">
        <v>1188</v>
      </c>
      <c r="H863" s="22">
        <v>540</v>
      </c>
    </row>
    <row r="864" spans="1:8" x14ac:dyDescent="0.25">
      <c r="A864" s="75">
        <v>40704</v>
      </c>
      <c r="B864" s="8" t="s">
        <v>315</v>
      </c>
      <c r="C864" s="8" t="s">
        <v>309</v>
      </c>
      <c r="D864" s="8" t="s">
        <v>3</v>
      </c>
      <c r="E864" s="8" t="s">
        <v>333</v>
      </c>
      <c r="F864" s="8">
        <v>61</v>
      </c>
      <c r="G864" s="22">
        <v>1403</v>
      </c>
      <c r="H864" s="22">
        <v>671</v>
      </c>
    </row>
    <row r="865" spans="1:8" x14ac:dyDescent="0.25">
      <c r="A865" s="75">
        <v>40548</v>
      </c>
      <c r="B865" s="8" t="s">
        <v>321</v>
      </c>
      <c r="C865" s="8" t="s">
        <v>307</v>
      </c>
      <c r="D865" s="8" t="s">
        <v>7</v>
      </c>
      <c r="E865" s="8" t="s">
        <v>316</v>
      </c>
      <c r="F865" s="8">
        <v>34</v>
      </c>
      <c r="G865" s="22">
        <v>748</v>
      </c>
      <c r="H865" s="22">
        <v>340</v>
      </c>
    </row>
    <row r="866" spans="1:8" x14ac:dyDescent="0.25">
      <c r="A866" s="75">
        <v>40650</v>
      </c>
      <c r="B866" s="8" t="s">
        <v>317</v>
      </c>
      <c r="C866" s="8" t="s">
        <v>310</v>
      </c>
      <c r="D866" s="8" t="s">
        <v>3</v>
      </c>
      <c r="E866" s="8" t="s">
        <v>347</v>
      </c>
      <c r="F866" s="8">
        <v>50</v>
      </c>
      <c r="G866" s="22">
        <v>1050</v>
      </c>
      <c r="H866" s="22">
        <v>462.5</v>
      </c>
    </row>
    <row r="867" spans="1:8" x14ac:dyDescent="0.25">
      <c r="A867" s="75">
        <v>40639</v>
      </c>
      <c r="B867" s="8" t="s">
        <v>319</v>
      </c>
      <c r="C867" s="8" t="s">
        <v>307</v>
      </c>
      <c r="D867" s="8" t="s">
        <v>7</v>
      </c>
      <c r="E867" s="8" t="s">
        <v>338</v>
      </c>
      <c r="F867" s="8">
        <v>37</v>
      </c>
      <c r="G867" s="22">
        <v>999</v>
      </c>
      <c r="H867" s="22">
        <v>536.5</v>
      </c>
    </row>
    <row r="868" spans="1:8" x14ac:dyDescent="0.25">
      <c r="A868" s="75">
        <v>40615</v>
      </c>
      <c r="B868" s="8" t="s">
        <v>319</v>
      </c>
      <c r="C868" s="8" t="s">
        <v>308</v>
      </c>
      <c r="D868" s="8" t="s">
        <v>312</v>
      </c>
      <c r="E868" s="8" t="s">
        <v>320</v>
      </c>
      <c r="F868" s="8">
        <v>58</v>
      </c>
      <c r="G868" s="22">
        <v>1566</v>
      </c>
      <c r="H868" s="22">
        <v>841</v>
      </c>
    </row>
    <row r="869" spans="1:8" x14ac:dyDescent="0.25">
      <c r="A869" s="75">
        <v>40615</v>
      </c>
      <c r="B869" s="8" t="s">
        <v>319</v>
      </c>
      <c r="C869" s="8" t="s">
        <v>310</v>
      </c>
      <c r="D869" s="8" t="s">
        <v>328</v>
      </c>
      <c r="E869" s="8" t="s">
        <v>338</v>
      </c>
      <c r="F869" s="8">
        <v>60</v>
      </c>
      <c r="G869" s="22">
        <v>1620</v>
      </c>
      <c r="H869" s="22">
        <v>870</v>
      </c>
    </row>
    <row r="870" spans="1:8" x14ac:dyDescent="0.25">
      <c r="A870" s="75">
        <v>40604</v>
      </c>
      <c r="B870" s="8" t="s">
        <v>317</v>
      </c>
      <c r="C870" s="8" t="s">
        <v>310</v>
      </c>
      <c r="D870" s="8" t="s">
        <v>328</v>
      </c>
      <c r="E870" s="8" t="s">
        <v>329</v>
      </c>
      <c r="F870" s="8">
        <v>36</v>
      </c>
      <c r="G870" s="22">
        <v>756</v>
      </c>
      <c r="H870" s="22">
        <v>333</v>
      </c>
    </row>
    <row r="871" spans="1:8" x14ac:dyDescent="0.25">
      <c r="A871" s="75">
        <v>40565</v>
      </c>
      <c r="B871" s="8" t="s">
        <v>311</v>
      </c>
      <c r="C871" s="8" t="s">
        <v>308</v>
      </c>
      <c r="D871" s="8" t="s">
        <v>3</v>
      </c>
      <c r="E871" s="8" t="s">
        <v>343</v>
      </c>
      <c r="F871" s="8">
        <v>43</v>
      </c>
      <c r="G871" s="22">
        <v>817</v>
      </c>
      <c r="H871" s="22">
        <v>344</v>
      </c>
    </row>
    <row r="872" spans="1:8" x14ac:dyDescent="0.25">
      <c r="A872" s="75">
        <v>40582</v>
      </c>
      <c r="B872" s="8" t="s">
        <v>317</v>
      </c>
      <c r="C872" s="8" t="s">
        <v>307</v>
      </c>
      <c r="D872" s="8" t="s">
        <v>312</v>
      </c>
      <c r="E872" s="8" t="s">
        <v>346</v>
      </c>
      <c r="F872" s="8">
        <v>48</v>
      </c>
      <c r="G872" s="22">
        <v>1008</v>
      </c>
      <c r="H872" s="22">
        <v>444</v>
      </c>
    </row>
    <row r="873" spans="1:8" x14ac:dyDescent="0.25">
      <c r="A873" s="75">
        <v>40685</v>
      </c>
      <c r="B873" s="8" t="s">
        <v>317</v>
      </c>
      <c r="C873" s="8" t="s">
        <v>307</v>
      </c>
      <c r="D873" s="8" t="s">
        <v>3</v>
      </c>
      <c r="E873" s="8" t="s">
        <v>318</v>
      </c>
      <c r="F873" s="8">
        <v>65</v>
      </c>
      <c r="G873" s="22">
        <v>1365</v>
      </c>
      <c r="H873" s="22">
        <v>601.25</v>
      </c>
    </row>
    <row r="874" spans="1:8" x14ac:dyDescent="0.25">
      <c r="A874" s="75">
        <v>40611</v>
      </c>
      <c r="B874" s="8" t="s">
        <v>315</v>
      </c>
      <c r="C874" s="8" t="s">
        <v>308</v>
      </c>
      <c r="D874" s="8" t="s">
        <v>3</v>
      </c>
      <c r="E874" s="8" t="s">
        <v>318</v>
      </c>
      <c r="F874" s="8">
        <v>34</v>
      </c>
      <c r="G874" s="22">
        <v>782</v>
      </c>
      <c r="H874" s="22">
        <v>374</v>
      </c>
    </row>
    <row r="875" spans="1:8" x14ac:dyDescent="0.25">
      <c r="A875" s="75">
        <v>40640</v>
      </c>
      <c r="B875" s="8" t="s">
        <v>319</v>
      </c>
      <c r="C875" s="8" t="s">
        <v>310</v>
      </c>
      <c r="D875" s="8" t="s">
        <v>132</v>
      </c>
      <c r="E875" s="8" t="s">
        <v>428</v>
      </c>
      <c r="F875" s="8">
        <v>9</v>
      </c>
      <c r="G875" s="22">
        <v>243</v>
      </c>
      <c r="H875" s="22">
        <v>130.5</v>
      </c>
    </row>
    <row r="876" spans="1:8" x14ac:dyDescent="0.25">
      <c r="A876" s="75">
        <v>40650</v>
      </c>
      <c r="B876" s="8" t="s">
        <v>317</v>
      </c>
      <c r="C876" s="8" t="s">
        <v>310</v>
      </c>
      <c r="D876" s="8" t="s">
        <v>7</v>
      </c>
      <c r="E876" s="8" t="s">
        <v>326</v>
      </c>
      <c r="F876" s="8">
        <v>37</v>
      </c>
      <c r="G876" s="22">
        <v>777</v>
      </c>
      <c r="H876" s="22">
        <v>342.25</v>
      </c>
    </row>
    <row r="877" spans="1:8" x14ac:dyDescent="0.25">
      <c r="A877" s="75">
        <v>40711</v>
      </c>
      <c r="B877" s="8" t="s">
        <v>319</v>
      </c>
      <c r="C877" s="8" t="s">
        <v>310</v>
      </c>
      <c r="D877" s="8" t="s">
        <v>132</v>
      </c>
      <c r="E877" s="8" t="s">
        <v>313</v>
      </c>
      <c r="F877" s="8">
        <v>61</v>
      </c>
      <c r="G877" s="22">
        <v>1647</v>
      </c>
      <c r="H877" s="22">
        <v>884.5</v>
      </c>
    </row>
    <row r="878" spans="1:8" x14ac:dyDescent="0.25">
      <c r="A878" s="75">
        <v>40649</v>
      </c>
      <c r="B878" s="8" t="s">
        <v>319</v>
      </c>
      <c r="C878" s="8" t="s">
        <v>310</v>
      </c>
      <c r="D878" s="8" t="s">
        <v>132</v>
      </c>
      <c r="E878" s="8" t="s">
        <v>316</v>
      </c>
      <c r="F878" s="8">
        <v>54</v>
      </c>
      <c r="G878" s="22">
        <v>1458</v>
      </c>
      <c r="H878" s="22">
        <v>783</v>
      </c>
    </row>
    <row r="879" spans="1:8" x14ac:dyDescent="0.25">
      <c r="A879" s="75">
        <v>40673</v>
      </c>
      <c r="B879" s="8" t="s">
        <v>311</v>
      </c>
      <c r="C879" s="8" t="s">
        <v>309</v>
      </c>
      <c r="D879" s="8" t="s">
        <v>328</v>
      </c>
      <c r="E879" s="8" t="s">
        <v>348</v>
      </c>
      <c r="F879" s="8">
        <v>14</v>
      </c>
      <c r="G879" s="22">
        <v>266</v>
      </c>
      <c r="H879" s="22">
        <v>112</v>
      </c>
    </row>
    <row r="880" spans="1:8" x14ac:dyDescent="0.25">
      <c r="A880" s="75">
        <v>40632</v>
      </c>
      <c r="B880" s="8" t="s">
        <v>321</v>
      </c>
      <c r="C880" s="8" t="s">
        <v>310</v>
      </c>
      <c r="D880" s="8" t="s">
        <v>132</v>
      </c>
      <c r="E880" s="8" t="s">
        <v>326</v>
      </c>
      <c r="F880" s="8">
        <v>23</v>
      </c>
      <c r="G880" s="22">
        <v>506</v>
      </c>
      <c r="H880" s="22">
        <v>230</v>
      </c>
    </row>
    <row r="881" spans="1:8" x14ac:dyDescent="0.25">
      <c r="A881" s="75">
        <v>40588</v>
      </c>
      <c r="B881" s="8" t="s">
        <v>321</v>
      </c>
      <c r="C881" s="8" t="s">
        <v>307</v>
      </c>
      <c r="D881" s="8" t="s">
        <v>7</v>
      </c>
      <c r="E881" s="8" t="s">
        <v>329</v>
      </c>
      <c r="F881" s="8">
        <v>10</v>
      </c>
      <c r="G881" s="22">
        <v>220</v>
      </c>
      <c r="H881" s="22">
        <v>100</v>
      </c>
    </row>
    <row r="882" spans="1:8" x14ac:dyDescent="0.25">
      <c r="A882" s="75">
        <v>40713</v>
      </c>
      <c r="B882" s="8" t="s">
        <v>321</v>
      </c>
      <c r="C882" s="8" t="s">
        <v>310</v>
      </c>
      <c r="D882" s="8" t="s">
        <v>132</v>
      </c>
      <c r="E882" s="8" t="s">
        <v>314</v>
      </c>
      <c r="F882" s="8">
        <v>46</v>
      </c>
      <c r="G882" s="22">
        <v>1012</v>
      </c>
      <c r="H882" s="22">
        <v>460</v>
      </c>
    </row>
    <row r="883" spans="1:8" x14ac:dyDescent="0.25">
      <c r="A883" s="75">
        <v>40585</v>
      </c>
      <c r="B883" s="8" t="s">
        <v>317</v>
      </c>
      <c r="C883" s="8" t="s">
        <v>309</v>
      </c>
      <c r="D883" s="8" t="s">
        <v>132</v>
      </c>
      <c r="E883" s="8" t="s">
        <v>322</v>
      </c>
      <c r="F883" s="8">
        <v>56</v>
      </c>
      <c r="G883" s="22">
        <v>1176</v>
      </c>
      <c r="H883" s="22">
        <v>518</v>
      </c>
    </row>
    <row r="884" spans="1:8" x14ac:dyDescent="0.25">
      <c r="A884" s="75">
        <v>40719</v>
      </c>
      <c r="B884" s="8" t="s">
        <v>321</v>
      </c>
      <c r="C884" s="8" t="s">
        <v>307</v>
      </c>
      <c r="D884" s="8" t="s">
        <v>312</v>
      </c>
      <c r="E884" s="8" t="s">
        <v>322</v>
      </c>
      <c r="F884" s="8">
        <v>18</v>
      </c>
      <c r="G884" s="22">
        <v>396</v>
      </c>
      <c r="H884" s="22">
        <v>180</v>
      </c>
    </row>
    <row r="885" spans="1:8" x14ac:dyDescent="0.25">
      <c r="A885" s="75">
        <v>40638</v>
      </c>
      <c r="B885" s="8" t="s">
        <v>321</v>
      </c>
      <c r="C885" s="8" t="s">
        <v>310</v>
      </c>
      <c r="D885" s="8" t="s">
        <v>136</v>
      </c>
      <c r="E885" s="8" t="s">
        <v>332</v>
      </c>
      <c r="F885" s="8">
        <v>59</v>
      </c>
      <c r="G885" s="22">
        <v>1298</v>
      </c>
      <c r="H885" s="22">
        <v>590</v>
      </c>
    </row>
    <row r="886" spans="1:8" x14ac:dyDescent="0.25">
      <c r="A886" s="75">
        <v>40568</v>
      </c>
      <c r="B886" s="8" t="s">
        <v>311</v>
      </c>
      <c r="C886" s="8" t="s">
        <v>310</v>
      </c>
      <c r="D886" s="8" t="s">
        <v>7</v>
      </c>
      <c r="E886" s="8" t="s">
        <v>341</v>
      </c>
      <c r="F886" s="8">
        <v>30</v>
      </c>
      <c r="G886" s="22">
        <v>570</v>
      </c>
      <c r="H886" s="22">
        <v>240</v>
      </c>
    </row>
    <row r="887" spans="1:8" x14ac:dyDescent="0.25">
      <c r="A887" s="75">
        <v>40682</v>
      </c>
      <c r="B887" s="8" t="s">
        <v>311</v>
      </c>
      <c r="C887" s="8" t="s">
        <v>308</v>
      </c>
      <c r="D887" s="8" t="s">
        <v>132</v>
      </c>
      <c r="E887" s="8" t="s">
        <v>343</v>
      </c>
      <c r="F887" s="8">
        <v>48</v>
      </c>
      <c r="G887" s="22">
        <v>912</v>
      </c>
      <c r="H887" s="22">
        <v>384</v>
      </c>
    </row>
    <row r="888" spans="1:8" x14ac:dyDescent="0.25">
      <c r="A888" s="75">
        <v>40661</v>
      </c>
      <c r="B888" s="8" t="s">
        <v>317</v>
      </c>
      <c r="C888" s="8" t="s">
        <v>307</v>
      </c>
      <c r="D888" s="8" t="s">
        <v>136</v>
      </c>
      <c r="E888" s="8" t="s">
        <v>324</v>
      </c>
      <c r="F888" s="8">
        <v>28</v>
      </c>
      <c r="G888" s="22">
        <v>588</v>
      </c>
      <c r="H888" s="22">
        <v>259</v>
      </c>
    </row>
    <row r="889" spans="1:8" x14ac:dyDescent="0.25">
      <c r="A889" s="75">
        <v>40644</v>
      </c>
      <c r="B889" s="8" t="s">
        <v>315</v>
      </c>
      <c r="C889" s="8" t="s">
        <v>309</v>
      </c>
      <c r="D889" s="8" t="s">
        <v>312</v>
      </c>
      <c r="E889" s="8" t="s">
        <v>313</v>
      </c>
      <c r="F889" s="8">
        <v>15</v>
      </c>
      <c r="G889" s="22">
        <v>345</v>
      </c>
      <c r="H889" s="22">
        <v>165</v>
      </c>
    </row>
    <row r="890" spans="1:8" x14ac:dyDescent="0.25">
      <c r="A890" s="75">
        <v>40570</v>
      </c>
      <c r="B890" s="8" t="s">
        <v>319</v>
      </c>
      <c r="C890" s="8" t="s">
        <v>310</v>
      </c>
      <c r="D890" s="8" t="s">
        <v>312</v>
      </c>
      <c r="E890" s="8" t="s">
        <v>337</v>
      </c>
      <c r="F890" s="8">
        <v>58</v>
      </c>
      <c r="G890" s="22">
        <v>1566</v>
      </c>
      <c r="H890" s="22">
        <v>841</v>
      </c>
    </row>
    <row r="891" spans="1:8" x14ac:dyDescent="0.25">
      <c r="A891" s="75">
        <v>40561</v>
      </c>
      <c r="B891" s="8" t="s">
        <v>321</v>
      </c>
      <c r="C891" s="8" t="s">
        <v>309</v>
      </c>
      <c r="D891" s="8" t="s">
        <v>7</v>
      </c>
      <c r="E891" s="8" t="s">
        <v>314</v>
      </c>
      <c r="F891" s="8">
        <v>58</v>
      </c>
      <c r="G891" s="22">
        <v>1276</v>
      </c>
      <c r="H891" s="22">
        <v>580</v>
      </c>
    </row>
    <row r="892" spans="1:8" x14ac:dyDescent="0.25">
      <c r="A892" s="75">
        <v>40645</v>
      </c>
      <c r="B892" s="8" t="s">
        <v>317</v>
      </c>
      <c r="C892" s="8" t="s">
        <v>310</v>
      </c>
      <c r="D892" s="8" t="s">
        <v>132</v>
      </c>
      <c r="E892" s="8" t="s">
        <v>344</v>
      </c>
      <c r="F892" s="8">
        <v>61</v>
      </c>
      <c r="G892" s="22">
        <v>1281</v>
      </c>
      <c r="H892" s="22">
        <v>564.25</v>
      </c>
    </row>
    <row r="893" spans="1:8" x14ac:dyDescent="0.25">
      <c r="A893" s="75">
        <v>40657</v>
      </c>
      <c r="B893" s="8" t="s">
        <v>321</v>
      </c>
      <c r="C893" s="8" t="s">
        <v>308</v>
      </c>
      <c r="D893" s="8" t="s">
        <v>328</v>
      </c>
      <c r="E893" s="8" t="s">
        <v>322</v>
      </c>
      <c r="F893" s="8">
        <v>45</v>
      </c>
      <c r="G893" s="22">
        <v>990</v>
      </c>
      <c r="H893" s="22">
        <v>450</v>
      </c>
    </row>
    <row r="894" spans="1:8" x14ac:dyDescent="0.25">
      <c r="A894" s="75">
        <v>40620</v>
      </c>
      <c r="B894" s="8" t="s">
        <v>315</v>
      </c>
      <c r="C894" s="8" t="s">
        <v>307</v>
      </c>
      <c r="D894" s="8" t="s">
        <v>3</v>
      </c>
      <c r="E894" s="8" t="s">
        <v>322</v>
      </c>
      <c r="F894" s="8">
        <v>65</v>
      </c>
      <c r="G894" s="22">
        <v>1495</v>
      </c>
      <c r="H894" s="22">
        <v>715</v>
      </c>
    </row>
    <row r="895" spans="1:8" x14ac:dyDescent="0.25">
      <c r="A895" s="75">
        <v>40707</v>
      </c>
      <c r="B895" s="8" t="s">
        <v>321</v>
      </c>
      <c r="C895" s="8" t="s">
        <v>307</v>
      </c>
      <c r="D895" s="8" t="s">
        <v>3</v>
      </c>
      <c r="E895" s="8" t="s">
        <v>335</v>
      </c>
      <c r="F895" s="8">
        <v>47</v>
      </c>
      <c r="G895" s="22">
        <v>1034</v>
      </c>
      <c r="H895" s="22">
        <v>470</v>
      </c>
    </row>
    <row r="896" spans="1:8" x14ac:dyDescent="0.25">
      <c r="A896" s="75">
        <v>40654</v>
      </c>
      <c r="B896" s="8" t="s">
        <v>321</v>
      </c>
      <c r="C896" s="8" t="s">
        <v>310</v>
      </c>
      <c r="D896" s="8" t="s">
        <v>3</v>
      </c>
      <c r="E896" s="8" t="s">
        <v>322</v>
      </c>
      <c r="F896" s="8">
        <v>12</v>
      </c>
      <c r="G896" s="22">
        <v>264</v>
      </c>
      <c r="H896" s="22">
        <v>120</v>
      </c>
    </row>
    <row r="897" spans="1:8" x14ac:dyDescent="0.25">
      <c r="A897" s="75">
        <v>40656</v>
      </c>
      <c r="B897" s="8" t="s">
        <v>315</v>
      </c>
      <c r="C897" s="8" t="s">
        <v>309</v>
      </c>
      <c r="D897" s="8" t="s">
        <v>132</v>
      </c>
      <c r="E897" s="8" t="s">
        <v>347</v>
      </c>
      <c r="F897" s="8">
        <v>51</v>
      </c>
      <c r="G897" s="22">
        <v>1173</v>
      </c>
      <c r="H897" s="22">
        <v>561</v>
      </c>
    </row>
    <row r="898" spans="1:8" x14ac:dyDescent="0.25">
      <c r="A898" s="75">
        <v>40592</v>
      </c>
      <c r="B898" s="8" t="s">
        <v>311</v>
      </c>
      <c r="C898" s="8" t="s">
        <v>308</v>
      </c>
      <c r="D898" s="8" t="s">
        <v>312</v>
      </c>
      <c r="E898" s="8" t="s">
        <v>345</v>
      </c>
      <c r="F898" s="8">
        <v>50</v>
      </c>
      <c r="G898" s="22">
        <v>950</v>
      </c>
      <c r="H898" s="22">
        <v>400</v>
      </c>
    </row>
    <row r="899" spans="1:8" x14ac:dyDescent="0.25">
      <c r="A899" s="75">
        <v>40573</v>
      </c>
      <c r="B899" s="8" t="s">
        <v>311</v>
      </c>
      <c r="C899" s="8" t="s">
        <v>309</v>
      </c>
      <c r="D899" s="8" t="s">
        <v>3</v>
      </c>
      <c r="E899" s="8" t="s">
        <v>322</v>
      </c>
      <c r="F899" s="8">
        <v>58</v>
      </c>
      <c r="G899" s="22">
        <v>1102</v>
      </c>
      <c r="H899" s="22">
        <v>464</v>
      </c>
    </row>
    <row r="900" spans="1:8" x14ac:dyDescent="0.25">
      <c r="A900" s="75">
        <v>40576</v>
      </c>
      <c r="B900" s="8" t="s">
        <v>311</v>
      </c>
      <c r="C900" s="8" t="s">
        <v>309</v>
      </c>
      <c r="D900" s="8" t="s">
        <v>132</v>
      </c>
      <c r="E900" s="8" t="s">
        <v>323</v>
      </c>
      <c r="F900" s="8">
        <v>56</v>
      </c>
      <c r="G900" s="22">
        <v>1064</v>
      </c>
      <c r="H900" s="22">
        <v>448</v>
      </c>
    </row>
    <row r="901" spans="1:8" x14ac:dyDescent="0.25">
      <c r="A901" s="75">
        <v>40607</v>
      </c>
      <c r="B901" s="8" t="s">
        <v>315</v>
      </c>
      <c r="C901" s="8" t="s">
        <v>308</v>
      </c>
      <c r="D901" s="8" t="s">
        <v>136</v>
      </c>
      <c r="E901" s="8" t="s">
        <v>325</v>
      </c>
      <c r="F901" s="8">
        <v>45</v>
      </c>
      <c r="G901" s="22">
        <v>1035</v>
      </c>
      <c r="H901" s="22">
        <v>495</v>
      </c>
    </row>
    <row r="902" spans="1:8" x14ac:dyDescent="0.25">
      <c r="A902" s="75">
        <v>40714</v>
      </c>
      <c r="B902" s="8" t="s">
        <v>321</v>
      </c>
      <c r="C902" s="8" t="s">
        <v>309</v>
      </c>
      <c r="D902" s="8" t="s">
        <v>136</v>
      </c>
      <c r="E902" s="8" t="s">
        <v>347</v>
      </c>
      <c r="F902" s="8">
        <v>10</v>
      </c>
      <c r="G902" s="22">
        <v>220</v>
      </c>
      <c r="H902" s="22">
        <v>100</v>
      </c>
    </row>
    <row r="903" spans="1:8" x14ac:dyDescent="0.25">
      <c r="A903" s="75">
        <v>40660</v>
      </c>
      <c r="B903" s="8" t="s">
        <v>321</v>
      </c>
      <c r="C903" s="8" t="s">
        <v>307</v>
      </c>
      <c r="D903" s="8" t="s">
        <v>3</v>
      </c>
      <c r="E903" s="8" t="s">
        <v>348</v>
      </c>
      <c r="F903" s="8">
        <v>16</v>
      </c>
      <c r="G903" s="22">
        <v>352</v>
      </c>
      <c r="H903" s="22">
        <v>160</v>
      </c>
    </row>
    <row r="904" spans="1:8" x14ac:dyDescent="0.25">
      <c r="A904" s="75">
        <v>40573</v>
      </c>
      <c r="B904" s="8" t="s">
        <v>321</v>
      </c>
      <c r="C904" s="8" t="s">
        <v>309</v>
      </c>
      <c r="D904" s="8" t="s">
        <v>7</v>
      </c>
      <c r="E904" s="8" t="s">
        <v>325</v>
      </c>
      <c r="F904" s="8">
        <v>52</v>
      </c>
      <c r="G904" s="22">
        <v>1144</v>
      </c>
      <c r="H904" s="22">
        <v>520</v>
      </c>
    </row>
    <row r="905" spans="1:8" x14ac:dyDescent="0.25">
      <c r="A905" s="75">
        <v>40569</v>
      </c>
      <c r="B905" s="8" t="s">
        <v>315</v>
      </c>
      <c r="C905" s="8" t="s">
        <v>307</v>
      </c>
      <c r="D905" s="8" t="s">
        <v>3</v>
      </c>
      <c r="E905" s="8" t="s">
        <v>344</v>
      </c>
      <c r="F905" s="8">
        <v>51</v>
      </c>
      <c r="G905" s="22">
        <v>1173</v>
      </c>
      <c r="H905" s="22">
        <v>561</v>
      </c>
    </row>
    <row r="906" spans="1:8" x14ac:dyDescent="0.25">
      <c r="A906" s="75">
        <v>40595</v>
      </c>
      <c r="B906" s="8" t="s">
        <v>317</v>
      </c>
      <c r="C906" s="8" t="s">
        <v>308</v>
      </c>
      <c r="D906" s="8" t="s">
        <v>7</v>
      </c>
      <c r="E906" s="8" t="s">
        <v>337</v>
      </c>
      <c r="F906" s="8">
        <v>36</v>
      </c>
      <c r="G906" s="22">
        <v>756</v>
      </c>
      <c r="H906" s="22">
        <v>333</v>
      </c>
    </row>
    <row r="907" spans="1:8" x14ac:dyDescent="0.25">
      <c r="A907" s="75">
        <v>40656</v>
      </c>
      <c r="B907" s="8" t="s">
        <v>321</v>
      </c>
      <c r="C907" s="8" t="s">
        <v>310</v>
      </c>
      <c r="D907" s="8" t="s">
        <v>312</v>
      </c>
      <c r="E907" s="8" t="s">
        <v>334</v>
      </c>
      <c r="F907" s="8">
        <v>19</v>
      </c>
      <c r="G907" s="22">
        <v>418</v>
      </c>
      <c r="H907" s="22">
        <v>190</v>
      </c>
    </row>
    <row r="908" spans="1:8" x14ac:dyDescent="0.25">
      <c r="A908" s="75">
        <v>40676</v>
      </c>
      <c r="B908" s="8" t="s">
        <v>317</v>
      </c>
      <c r="C908" s="8" t="s">
        <v>310</v>
      </c>
      <c r="D908" s="8" t="s">
        <v>312</v>
      </c>
      <c r="E908" s="8" t="s">
        <v>336</v>
      </c>
      <c r="F908" s="8">
        <v>45</v>
      </c>
      <c r="G908" s="22">
        <v>945</v>
      </c>
      <c r="H908" s="22">
        <v>416.25</v>
      </c>
    </row>
    <row r="909" spans="1:8" x14ac:dyDescent="0.25">
      <c r="A909" s="75">
        <v>40681</v>
      </c>
      <c r="B909" s="8" t="s">
        <v>315</v>
      </c>
      <c r="C909" s="8" t="s">
        <v>309</v>
      </c>
      <c r="D909" s="8" t="s">
        <v>328</v>
      </c>
      <c r="E909" s="8" t="s">
        <v>326</v>
      </c>
      <c r="F909" s="8">
        <v>17</v>
      </c>
      <c r="G909" s="22">
        <v>391</v>
      </c>
      <c r="H909" s="22">
        <v>187</v>
      </c>
    </row>
    <row r="910" spans="1:8" x14ac:dyDescent="0.25">
      <c r="A910" s="75">
        <v>40635</v>
      </c>
      <c r="B910" s="8" t="s">
        <v>315</v>
      </c>
      <c r="C910" s="8" t="s">
        <v>308</v>
      </c>
      <c r="D910" s="8" t="s">
        <v>136</v>
      </c>
      <c r="E910" s="8" t="s">
        <v>340</v>
      </c>
      <c r="F910" s="8">
        <v>30</v>
      </c>
      <c r="G910" s="22">
        <v>690</v>
      </c>
      <c r="H910" s="22">
        <v>330</v>
      </c>
    </row>
    <row r="911" spans="1:8" x14ac:dyDescent="0.25">
      <c r="A911" s="75">
        <v>40637</v>
      </c>
      <c r="B911" s="8" t="s">
        <v>319</v>
      </c>
      <c r="C911" s="8" t="s">
        <v>307</v>
      </c>
      <c r="D911" s="8" t="s">
        <v>3</v>
      </c>
      <c r="E911" s="8" t="s">
        <v>344</v>
      </c>
      <c r="F911" s="8">
        <v>12</v>
      </c>
      <c r="G911" s="22">
        <v>324</v>
      </c>
      <c r="H911" s="22">
        <v>174</v>
      </c>
    </row>
    <row r="912" spans="1:8" x14ac:dyDescent="0.25">
      <c r="A912" s="75">
        <v>40569</v>
      </c>
      <c r="B912" s="8" t="s">
        <v>317</v>
      </c>
      <c r="C912" s="8" t="s">
        <v>309</v>
      </c>
      <c r="D912" s="8" t="s">
        <v>328</v>
      </c>
      <c r="E912" s="8" t="s">
        <v>333</v>
      </c>
      <c r="F912" s="8">
        <v>43</v>
      </c>
      <c r="G912" s="22">
        <v>903</v>
      </c>
      <c r="H912" s="22">
        <v>397.75</v>
      </c>
    </row>
    <row r="913" spans="1:8" x14ac:dyDescent="0.25">
      <c r="A913" s="75">
        <v>40710</v>
      </c>
      <c r="B913" s="8" t="s">
        <v>317</v>
      </c>
      <c r="C913" s="8" t="s">
        <v>308</v>
      </c>
      <c r="D913" s="8" t="s">
        <v>7</v>
      </c>
      <c r="E913" s="8" t="s">
        <v>346</v>
      </c>
      <c r="F913" s="8">
        <v>8</v>
      </c>
      <c r="G913" s="22">
        <v>168</v>
      </c>
      <c r="H913" s="22">
        <v>74</v>
      </c>
    </row>
    <row r="914" spans="1:8" x14ac:dyDescent="0.25">
      <c r="A914" s="75">
        <v>40558</v>
      </c>
      <c r="B914" s="8" t="s">
        <v>311</v>
      </c>
      <c r="C914" s="8" t="s">
        <v>308</v>
      </c>
      <c r="D914" s="8" t="s">
        <v>3</v>
      </c>
      <c r="E914" s="8" t="s">
        <v>338</v>
      </c>
      <c r="F914" s="8">
        <v>6</v>
      </c>
      <c r="G914" s="22">
        <v>114</v>
      </c>
      <c r="H914" s="22">
        <v>48</v>
      </c>
    </row>
    <row r="915" spans="1:8" x14ac:dyDescent="0.25">
      <c r="A915" s="75">
        <v>40653</v>
      </c>
      <c r="B915" s="8" t="s">
        <v>317</v>
      </c>
      <c r="C915" s="8" t="s">
        <v>309</v>
      </c>
      <c r="D915" s="8" t="s">
        <v>3</v>
      </c>
      <c r="E915" s="8" t="s">
        <v>338</v>
      </c>
      <c r="F915" s="8">
        <v>14</v>
      </c>
      <c r="G915" s="22">
        <v>294</v>
      </c>
      <c r="H915" s="22">
        <v>129.5</v>
      </c>
    </row>
    <row r="916" spans="1:8" x14ac:dyDescent="0.25">
      <c r="A916" s="75">
        <v>40545</v>
      </c>
      <c r="B916" s="8" t="s">
        <v>317</v>
      </c>
      <c r="C916" s="8" t="s">
        <v>309</v>
      </c>
      <c r="D916" s="8" t="s">
        <v>7</v>
      </c>
      <c r="E916" s="8" t="s">
        <v>322</v>
      </c>
      <c r="F916" s="8">
        <v>61</v>
      </c>
      <c r="G916" s="22">
        <v>1281</v>
      </c>
      <c r="H916" s="22">
        <v>564.25</v>
      </c>
    </row>
    <row r="917" spans="1:8" x14ac:dyDescent="0.25">
      <c r="A917" s="75">
        <v>40574</v>
      </c>
      <c r="B917" s="8" t="s">
        <v>321</v>
      </c>
      <c r="C917" s="8" t="s">
        <v>308</v>
      </c>
      <c r="D917" s="8" t="s">
        <v>7</v>
      </c>
      <c r="E917" s="8" t="s">
        <v>318</v>
      </c>
      <c r="F917" s="8">
        <v>58</v>
      </c>
      <c r="G917" s="22">
        <v>1276</v>
      </c>
      <c r="H917" s="22">
        <v>580</v>
      </c>
    </row>
    <row r="918" spans="1:8" x14ac:dyDescent="0.25">
      <c r="A918" s="75">
        <v>40594</v>
      </c>
      <c r="B918" s="8" t="s">
        <v>321</v>
      </c>
      <c r="C918" s="8" t="s">
        <v>309</v>
      </c>
      <c r="D918" s="8" t="s">
        <v>136</v>
      </c>
      <c r="E918" s="8" t="s">
        <v>429</v>
      </c>
      <c r="F918" s="8">
        <v>7</v>
      </c>
      <c r="G918" s="22">
        <v>154</v>
      </c>
      <c r="H918" s="22">
        <v>70</v>
      </c>
    </row>
    <row r="919" spans="1:8" x14ac:dyDescent="0.25">
      <c r="A919" s="75">
        <v>40611</v>
      </c>
      <c r="B919" s="8" t="s">
        <v>315</v>
      </c>
      <c r="C919" s="8" t="s">
        <v>310</v>
      </c>
      <c r="D919" s="8" t="s">
        <v>312</v>
      </c>
      <c r="E919" s="8" t="s">
        <v>326</v>
      </c>
      <c r="F919" s="8">
        <v>55</v>
      </c>
      <c r="G919" s="22">
        <v>1265</v>
      </c>
      <c r="H919" s="22">
        <v>605</v>
      </c>
    </row>
    <row r="920" spans="1:8" x14ac:dyDescent="0.25">
      <c r="A920" s="75">
        <v>40590</v>
      </c>
      <c r="B920" s="8" t="s">
        <v>315</v>
      </c>
      <c r="C920" s="8" t="s">
        <v>307</v>
      </c>
      <c r="D920" s="8" t="s">
        <v>132</v>
      </c>
      <c r="E920" s="8" t="s">
        <v>340</v>
      </c>
      <c r="F920" s="8">
        <v>58</v>
      </c>
      <c r="G920" s="22">
        <v>1334</v>
      </c>
      <c r="H920" s="22">
        <v>638</v>
      </c>
    </row>
    <row r="921" spans="1:8" x14ac:dyDescent="0.25">
      <c r="A921" s="75">
        <v>40708</v>
      </c>
      <c r="B921" s="8" t="s">
        <v>311</v>
      </c>
      <c r="C921" s="8" t="s">
        <v>307</v>
      </c>
      <c r="D921" s="8" t="s">
        <v>132</v>
      </c>
      <c r="E921" s="8" t="s">
        <v>334</v>
      </c>
      <c r="F921" s="8">
        <v>51</v>
      </c>
      <c r="G921" s="22">
        <v>969</v>
      </c>
      <c r="H921" s="22">
        <v>408</v>
      </c>
    </row>
    <row r="922" spans="1:8" x14ac:dyDescent="0.25">
      <c r="A922" s="75">
        <v>40603</v>
      </c>
      <c r="B922" s="8" t="s">
        <v>319</v>
      </c>
      <c r="C922" s="8" t="s">
        <v>307</v>
      </c>
      <c r="D922" s="8" t="s">
        <v>132</v>
      </c>
      <c r="E922" s="8" t="s">
        <v>322</v>
      </c>
      <c r="F922" s="8">
        <v>21</v>
      </c>
      <c r="G922" s="22">
        <v>567</v>
      </c>
      <c r="H922" s="22">
        <v>304.5</v>
      </c>
    </row>
    <row r="923" spans="1:8" x14ac:dyDescent="0.25">
      <c r="A923" s="75">
        <v>40571</v>
      </c>
      <c r="B923" s="8" t="s">
        <v>315</v>
      </c>
      <c r="C923" s="8" t="s">
        <v>307</v>
      </c>
      <c r="D923" s="8" t="s">
        <v>3</v>
      </c>
      <c r="E923" s="8" t="s">
        <v>318</v>
      </c>
      <c r="F923" s="8">
        <v>49</v>
      </c>
      <c r="G923" s="22">
        <v>1127</v>
      </c>
      <c r="H923" s="22">
        <v>539</v>
      </c>
    </row>
    <row r="924" spans="1:8" x14ac:dyDescent="0.25">
      <c r="A924" s="75">
        <v>40689</v>
      </c>
      <c r="B924" s="8" t="s">
        <v>317</v>
      </c>
      <c r="C924" s="8" t="s">
        <v>308</v>
      </c>
      <c r="D924" s="8" t="s">
        <v>3</v>
      </c>
      <c r="E924" s="8" t="s">
        <v>324</v>
      </c>
      <c r="F924" s="8">
        <v>58</v>
      </c>
      <c r="G924" s="22">
        <v>1218</v>
      </c>
      <c r="H924" s="22">
        <v>536.5</v>
      </c>
    </row>
    <row r="925" spans="1:8" x14ac:dyDescent="0.25">
      <c r="A925" s="75">
        <v>40618</v>
      </c>
      <c r="B925" s="8" t="s">
        <v>319</v>
      </c>
      <c r="C925" s="8" t="s">
        <v>309</v>
      </c>
      <c r="D925" s="8" t="s">
        <v>136</v>
      </c>
      <c r="E925" s="8" t="s">
        <v>313</v>
      </c>
      <c r="F925" s="8">
        <v>51</v>
      </c>
      <c r="G925" s="22">
        <v>1377</v>
      </c>
      <c r="H925" s="22">
        <v>739.5</v>
      </c>
    </row>
    <row r="926" spans="1:8" x14ac:dyDescent="0.25">
      <c r="A926" s="75">
        <v>40617</v>
      </c>
      <c r="B926" s="8" t="s">
        <v>311</v>
      </c>
      <c r="C926" s="8" t="s">
        <v>309</v>
      </c>
      <c r="D926" s="8" t="s">
        <v>3</v>
      </c>
      <c r="E926" s="8" t="s">
        <v>341</v>
      </c>
      <c r="F926" s="8">
        <v>58</v>
      </c>
      <c r="G926" s="22">
        <v>1102</v>
      </c>
      <c r="H926" s="22">
        <v>464</v>
      </c>
    </row>
    <row r="927" spans="1:8" x14ac:dyDescent="0.25">
      <c r="A927" s="75">
        <v>40645</v>
      </c>
      <c r="B927" s="8" t="s">
        <v>315</v>
      </c>
      <c r="C927" s="8" t="s">
        <v>308</v>
      </c>
      <c r="D927" s="8" t="s">
        <v>136</v>
      </c>
      <c r="E927" s="8" t="s">
        <v>316</v>
      </c>
      <c r="F927" s="8">
        <v>31</v>
      </c>
      <c r="G927" s="22">
        <v>713</v>
      </c>
      <c r="H927" s="22">
        <v>341</v>
      </c>
    </row>
    <row r="928" spans="1:8" x14ac:dyDescent="0.25">
      <c r="A928" s="75">
        <v>40596</v>
      </c>
      <c r="B928" s="8" t="s">
        <v>315</v>
      </c>
      <c r="C928" s="8" t="s">
        <v>310</v>
      </c>
      <c r="D928" s="8" t="s">
        <v>136</v>
      </c>
      <c r="E928" s="8" t="s">
        <v>331</v>
      </c>
      <c r="F928" s="8">
        <v>25</v>
      </c>
      <c r="G928" s="22">
        <v>575</v>
      </c>
      <c r="H928" s="22">
        <v>275</v>
      </c>
    </row>
    <row r="929" spans="1:8" x14ac:dyDescent="0.25">
      <c r="A929" s="75">
        <v>40636</v>
      </c>
      <c r="B929" s="8" t="s">
        <v>311</v>
      </c>
      <c r="C929" s="8" t="s">
        <v>307</v>
      </c>
      <c r="D929" s="8" t="s">
        <v>132</v>
      </c>
      <c r="E929" s="8" t="s">
        <v>342</v>
      </c>
      <c r="F929" s="8">
        <v>23</v>
      </c>
      <c r="G929" s="22">
        <v>437</v>
      </c>
      <c r="H929" s="22">
        <v>184</v>
      </c>
    </row>
    <row r="930" spans="1:8" x14ac:dyDescent="0.25">
      <c r="A930" s="75">
        <v>40634</v>
      </c>
      <c r="B930" s="8" t="s">
        <v>311</v>
      </c>
      <c r="C930" s="8" t="s">
        <v>309</v>
      </c>
      <c r="D930" s="8" t="s">
        <v>312</v>
      </c>
      <c r="E930" s="8" t="s">
        <v>347</v>
      </c>
      <c r="F930" s="8">
        <v>49</v>
      </c>
      <c r="G930" s="22">
        <v>931</v>
      </c>
      <c r="H930" s="22">
        <v>392</v>
      </c>
    </row>
    <row r="931" spans="1:8" x14ac:dyDescent="0.25">
      <c r="A931" s="75">
        <v>40603</v>
      </c>
      <c r="B931" s="8" t="s">
        <v>311</v>
      </c>
      <c r="C931" s="8" t="s">
        <v>310</v>
      </c>
      <c r="D931" s="8" t="s">
        <v>328</v>
      </c>
      <c r="E931" s="8" t="s">
        <v>332</v>
      </c>
      <c r="F931" s="8">
        <v>53</v>
      </c>
      <c r="G931" s="22">
        <v>1007</v>
      </c>
      <c r="H931" s="22">
        <v>424</v>
      </c>
    </row>
    <row r="932" spans="1:8" x14ac:dyDescent="0.25">
      <c r="A932" s="75">
        <v>40554</v>
      </c>
      <c r="B932" s="8" t="s">
        <v>319</v>
      </c>
      <c r="C932" s="8" t="s">
        <v>307</v>
      </c>
      <c r="D932" s="8" t="s">
        <v>328</v>
      </c>
      <c r="E932" s="8" t="s">
        <v>322</v>
      </c>
      <c r="F932" s="8">
        <v>52</v>
      </c>
      <c r="G932" s="22">
        <v>1404</v>
      </c>
      <c r="H932" s="22">
        <v>754</v>
      </c>
    </row>
    <row r="933" spans="1:8" x14ac:dyDescent="0.25">
      <c r="A933" s="75">
        <v>40564</v>
      </c>
      <c r="B933" s="8" t="s">
        <v>319</v>
      </c>
      <c r="C933" s="8" t="s">
        <v>307</v>
      </c>
      <c r="D933" s="8" t="s">
        <v>312</v>
      </c>
      <c r="E933" s="8" t="s">
        <v>320</v>
      </c>
      <c r="F933" s="8">
        <v>29</v>
      </c>
      <c r="G933" s="22">
        <v>783</v>
      </c>
      <c r="H933" s="22">
        <v>420.5</v>
      </c>
    </row>
    <row r="934" spans="1:8" x14ac:dyDescent="0.25">
      <c r="A934" s="75">
        <v>40580</v>
      </c>
      <c r="B934" s="8" t="s">
        <v>319</v>
      </c>
      <c r="C934" s="8" t="s">
        <v>309</v>
      </c>
      <c r="D934" s="8" t="s">
        <v>312</v>
      </c>
      <c r="E934" s="8" t="s">
        <v>338</v>
      </c>
      <c r="F934" s="8">
        <v>23</v>
      </c>
      <c r="G934" s="22">
        <v>621</v>
      </c>
      <c r="H934" s="22">
        <v>333.5</v>
      </c>
    </row>
    <row r="935" spans="1:8" x14ac:dyDescent="0.25">
      <c r="A935" s="75">
        <v>40625</v>
      </c>
      <c r="B935" s="8" t="s">
        <v>321</v>
      </c>
      <c r="C935" s="8" t="s">
        <v>308</v>
      </c>
      <c r="D935" s="8" t="s">
        <v>136</v>
      </c>
      <c r="E935" s="8" t="s">
        <v>330</v>
      </c>
      <c r="F935" s="8">
        <v>16</v>
      </c>
      <c r="G935" s="22">
        <v>352</v>
      </c>
      <c r="H935" s="22">
        <v>160</v>
      </c>
    </row>
    <row r="936" spans="1:8" x14ac:dyDescent="0.25">
      <c r="A936" s="75">
        <v>40656</v>
      </c>
      <c r="B936" s="8" t="s">
        <v>317</v>
      </c>
      <c r="C936" s="8" t="s">
        <v>310</v>
      </c>
      <c r="D936" s="8" t="s">
        <v>132</v>
      </c>
      <c r="E936" s="8" t="s">
        <v>323</v>
      </c>
      <c r="F936" s="8">
        <v>10</v>
      </c>
      <c r="G936" s="22">
        <v>210</v>
      </c>
      <c r="H936" s="22">
        <v>92.5</v>
      </c>
    </row>
    <row r="937" spans="1:8" x14ac:dyDescent="0.25">
      <c r="A937" s="75">
        <v>40588</v>
      </c>
      <c r="B937" s="8" t="s">
        <v>319</v>
      </c>
      <c r="C937" s="8" t="s">
        <v>309</v>
      </c>
      <c r="D937" s="8" t="s">
        <v>328</v>
      </c>
      <c r="E937" s="8" t="s">
        <v>334</v>
      </c>
      <c r="F937" s="8">
        <v>15</v>
      </c>
      <c r="G937" s="22">
        <v>405</v>
      </c>
      <c r="H937" s="22">
        <v>217.5</v>
      </c>
    </row>
    <row r="938" spans="1:8" x14ac:dyDescent="0.25">
      <c r="A938" s="75">
        <v>40676</v>
      </c>
      <c r="B938" s="8" t="s">
        <v>319</v>
      </c>
      <c r="C938" s="8" t="s">
        <v>308</v>
      </c>
      <c r="D938" s="8" t="s">
        <v>132</v>
      </c>
      <c r="E938" s="8" t="s">
        <v>322</v>
      </c>
      <c r="F938" s="8">
        <v>47</v>
      </c>
      <c r="G938" s="22">
        <v>1269</v>
      </c>
      <c r="H938" s="22">
        <v>681.5</v>
      </c>
    </row>
    <row r="939" spans="1:8" x14ac:dyDescent="0.25">
      <c r="A939" s="75">
        <v>40576</v>
      </c>
      <c r="B939" s="8" t="s">
        <v>319</v>
      </c>
      <c r="C939" s="8" t="s">
        <v>308</v>
      </c>
      <c r="D939" s="8" t="s">
        <v>328</v>
      </c>
      <c r="E939" s="8" t="s">
        <v>342</v>
      </c>
      <c r="F939" s="8">
        <v>8</v>
      </c>
      <c r="G939" s="22">
        <v>216</v>
      </c>
      <c r="H939" s="22">
        <v>116</v>
      </c>
    </row>
    <row r="940" spans="1:8" x14ac:dyDescent="0.25">
      <c r="A940" s="75">
        <v>40683</v>
      </c>
      <c r="B940" s="8" t="s">
        <v>321</v>
      </c>
      <c r="C940" s="8" t="s">
        <v>310</v>
      </c>
      <c r="D940" s="8" t="s">
        <v>312</v>
      </c>
      <c r="E940" s="8" t="s">
        <v>329</v>
      </c>
      <c r="F940" s="8">
        <v>48</v>
      </c>
      <c r="G940" s="22">
        <v>1056</v>
      </c>
      <c r="H940" s="22">
        <v>480</v>
      </c>
    </row>
    <row r="941" spans="1:8" x14ac:dyDescent="0.25">
      <c r="A941" s="75">
        <v>40573</v>
      </c>
      <c r="B941" s="8" t="s">
        <v>317</v>
      </c>
      <c r="C941" s="8" t="s">
        <v>310</v>
      </c>
      <c r="D941" s="8" t="s">
        <v>312</v>
      </c>
      <c r="E941" s="8" t="s">
        <v>342</v>
      </c>
      <c r="F941" s="8">
        <v>6</v>
      </c>
      <c r="G941" s="22">
        <v>126</v>
      </c>
      <c r="H941" s="22">
        <v>55.5</v>
      </c>
    </row>
    <row r="942" spans="1:8" x14ac:dyDescent="0.25">
      <c r="A942" s="75">
        <v>40584</v>
      </c>
      <c r="B942" s="8" t="s">
        <v>321</v>
      </c>
      <c r="C942" s="8" t="s">
        <v>310</v>
      </c>
      <c r="D942" s="8" t="s">
        <v>328</v>
      </c>
      <c r="E942" s="8" t="s">
        <v>322</v>
      </c>
      <c r="F942" s="8">
        <v>17</v>
      </c>
      <c r="G942" s="22">
        <v>374</v>
      </c>
      <c r="H942" s="22">
        <v>170</v>
      </c>
    </row>
    <row r="943" spans="1:8" x14ac:dyDescent="0.25">
      <c r="A943" s="75">
        <v>40588</v>
      </c>
      <c r="B943" s="8" t="s">
        <v>311</v>
      </c>
      <c r="C943" s="8" t="s">
        <v>308</v>
      </c>
      <c r="D943" s="8" t="s">
        <v>132</v>
      </c>
      <c r="E943" s="8" t="s">
        <v>316</v>
      </c>
      <c r="F943" s="8">
        <v>38</v>
      </c>
      <c r="G943" s="22">
        <v>722</v>
      </c>
      <c r="H943" s="22">
        <v>304</v>
      </c>
    </row>
    <row r="944" spans="1:8" x14ac:dyDescent="0.25">
      <c r="A944" s="75">
        <v>40624</v>
      </c>
      <c r="B944" s="8" t="s">
        <v>311</v>
      </c>
      <c r="C944" s="8" t="s">
        <v>308</v>
      </c>
      <c r="D944" s="8" t="s">
        <v>136</v>
      </c>
      <c r="E944" s="8" t="s">
        <v>428</v>
      </c>
      <c r="F944" s="8">
        <v>52</v>
      </c>
      <c r="G944" s="22">
        <v>988</v>
      </c>
      <c r="H944" s="22">
        <v>416</v>
      </c>
    </row>
    <row r="945" spans="1:8" x14ac:dyDescent="0.25">
      <c r="A945" s="75">
        <v>40643</v>
      </c>
      <c r="B945" s="8" t="s">
        <v>317</v>
      </c>
      <c r="C945" s="8" t="s">
        <v>307</v>
      </c>
      <c r="D945" s="8" t="s">
        <v>132</v>
      </c>
      <c r="E945" s="8" t="s">
        <v>428</v>
      </c>
      <c r="F945" s="8">
        <v>23</v>
      </c>
      <c r="G945" s="22">
        <v>483</v>
      </c>
      <c r="H945" s="22">
        <v>212.75</v>
      </c>
    </row>
    <row r="946" spans="1:8" x14ac:dyDescent="0.25">
      <c r="A946" s="75">
        <v>40610</v>
      </c>
      <c r="B946" s="8" t="s">
        <v>317</v>
      </c>
      <c r="C946" s="8" t="s">
        <v>310</v>
      </c>
      <c r="D946" s="8" t="s">
        <v>136</v>
      </c>
      <c r="E946" s="8" t="s">
        <v>322</v>
      </c>
      <c r="F946" s="8">
        <v>50</v>
      </c>
      <c r="G946" s="22">
        <v>1050</v>
      </c>
      <c r="H946" s="22">
        <v>462.5</v>
      </c>
    </row>
    <row r="947" spans="1:8" x14ac:dyDescent="0.25">
      <c r="A947" s="75">
        <v>40579</v>
      </c>
      <c r="B947" s="8" t="s">
        <v>311</v>
      </c>
      <c r="C947" s="8" t="s">
        <v>308</v>
      </c>
      <c r="D947" s="8" t="s">
        <v>328</v>
      </c>
      <c r="E947" s="8" t="s">
        <v>335</v>
      </c>
      <c r="F947" s="8">
        <v>11</v>
      </c>
      <c r="G947" s="22">
        <v>209</v>
      </c>
      <c r="H947" s="22">
        <v>88</v>
      </c>
    </row>
    <row r="948" spans="1:8" x14ac:dyDescent="0.25">
      <c r="A948" s="75">
        <v>40554</v>
      </c>
      <c r="B948" s="8" t="s">
        <v>311</v>
      </c>
      <c r="C948" s="8" t="s">
        <v>307</v>
      </c>
      <c r="D948" s="8" t="s">
        <v>136</v>
      </c>
      <c r="E948" s="8" t="s">
        <v>322</v>
      </c>
      <c r="F948" s="8">
        <v>14</v>
      </c>
      <c r="G948" s="22">
        <v>266</v>
      </c>
      <c r="H948" s="22">
        <v>112</v>
      </c>
    </row>
    <row r="949" spans="1:8" x14ac:dyDescent="0.25">
      <c r="A949" s="75">
        <v>40612</v>
      </c>
      <c r="B949" s="8" t="s">
        <v>319</v>
      </c>
      <c r="C949" s="8" t="s">
        <v>307</v>
      </c>
      <c r="D949" s="8" t="s">
        <v>7</v>
      </c>
      <c r="E949" s="8" t="s">
        <v>346</v>
      </c>
      <c r="F949" s="8">
        <v>30</v>
      </c>
      <c r="G949" s="22">
        <v>810</v>
      </c>
      <c r="H949" s="22">
        <v>435</v>
      </c>
    </row>
    <row r="950" spans="1:8" x14ac:dyDescent="0.25">
      <c r="A950" s="75">
        <v>40711</v>
      </c>
      <c r="B950" s="8" t="s">
        <v>319</v>
      </c>
      <c r="C950" s="8" t="s">
        <v>308</v>
      </c>
      <c r="D950" s="8" t="s">
        <v>132</v>
      </c>
      <c r="E950" s="8" t="s">
        <v>329</v>
      </c>
      <c r="F950" s="8">
        <v>6</v>
      </c>
      <c r="G950" s="22">
        <v>162</v>
      </c>
      <c r="H950" s="22">
        <v>87</v>
      </c>
    </row>
    <row r="951" spans="1:8" x14ac:dyDescent="0.25">
      <c r="A951" s="75">
        <v>40566</v>
      </c>
      <c r="B951" s="8" t="s">
        <v>311</v>
      </c>
      <c r="C951" s="8" t="s">
        <v>309</v>
      </c>
      <c r="D951" s="8" t="s">
        <v>3</v>
      </c>
      <c r="E951" s="8" t="s">
        <v>344</v>
      </c>
      <c r="F951" s="8">
        <v>41</v>
      </c>
      <c r="G951" s="22">
        <v>779</v>
      </c>
      <c r="H951" s="22">
        <v>328</v>
      </c>
    </row>
    <row r="952" spans="1:8" x14ac:dyDescent="0.25">
      <c r="A952" s="75">
        <v>40589</v>
      </c>
      <c r="B952" s="8" t="s">
        <v>321</v>
      </c>
      <c r="C952" s="8" t="s">
        <v>310</v>
      </c>
      <c r="D952" s="8" t="s">
        <v>7</v>
      </c>
      <c r="E952" s="8" t="s">
        <v>339</v>
      </c>
      <c r="F952" s="8">
        <v>14</v>
      </c>
      <c r="G952" s="22">
        <v>308</v>
      </c>
      <c r="H952" s="22">
        <v>140</v>
      </c>
    </row>
    <row r="953" spans="1:8" x14ac:dyDescent="0.25">
      <c r="A953" s="75">
        <v>40721</v>
      </c>
      <c r="B953" s="8" t="s">
        <v>319</v>
      </c>
      <c r="C953" s="8" t="s">
        <v>307</v>
      </c>
      <c r="D953" s="8" t="s">
        <v>3</v>
      </c>
      <c r="E953" s="8" t="s">
        <v>338</v>
      </c>
      <c r="F953" s="8">
        <v>48</v>
      </c>
      <c r="G953" s="22">
        <v>1296</v>
      </c>
      <c r="H953" s="22">
        <v>696</v>
      </c>
    </row>
    <row r="954" spans="1:8" x14ac:dyDescent="0.25">
      <c r="A954" s="75">
        <v>40580</v>
      </c>
      <c r="B954" s="8" t="s">
        <v>315</v>
      </c>
      <c r="C954" s="8" t="s">
        <v>310</v>
      </c>
      <c r="D954" s="8" t="s">
        <v>7</v>
      </c>
      <c r="E954" s="8" t="s">
        <v>318</v>
      </c>
      <c r="F954" s="8">
        <v>52</v>
      </c>
      <c r="G954" s="22">
        <v>1196</v>
      </c>
      <c r="H954" s="22">
        <v>572</v>
      </c>
    </row>
    <row r="955" spans="1:8" x14ac:dyDescent="0.25">
      <c r="A955" s="75">
        <v>40708</v>
      </c>
      <c r="B955" s="8" t="s">
        <v>311</v>
      </c>
      <c r="C955" s="8" t="s">
        <v>310</v>
      </c>
      <c r="D955" s="8" t="s">
        <v>3</v>
      </c>
      <c r="E955" s="8" t="s">
        <v>335</v>
      </c>
      <c r="F955" s="8">
        <v>31</v>
      </c>
      <c r="G955" s="22">
        <v>589</v>
      </c>
      <c r="H955" s="22">
        <v>248</v>
      </c>
    </row>
    <row r="956" spans="1:8" x14ac:dyDescent="0.25">
      <c r="A956" s="75">
        <v>40677</v>
      </c>
      <c r="B956" s="8" t="s">
        <v>311</v>
      </c>
      <c r="C956" s="8" t="s">
        <v>307</v>
      </c>
      <c r="D956" s="8" t="s">
        <v>328</v>
      </c>
      <c r="E956" s="8" t="s">
        <v>327</v>
      </c>
      <c r="F956" s="8">
        <v>59</v>
      </c>
      <c r="G956" s="22">
        <v>1121</v>
      </c>
      <c r="H956" s="22">
        <v>472</v>
      </c>
    </row>
    <row r="957" spans="1:8" x14ac:dyDescent="0.25">
      <c r="A957" s="75">
        <v>40720</v>
      </c>
      <c r="B957" s="8" t="s">
        <v>315</v>
      </c>
      <c r="C957" s="8" t="s">
        <v>309</v>
      </c>
      <c r="D957" s="8" t="s">
        <v>7</v>
      </c>
      <c r="E957" s="8" t="s">
        <v>323</v>
      </c>
      <c r="F957" s="8">
        <v>38</v>
      </c>
      <c r="G957" s="22">
        <v>874</v>
      </c>
      <c r="H957" s="22">
        <v>418</v>
      </c>
    </row>
    <row r="958" spans="1:8" x14ac:dyDescent="0.25">
      <c r="A958" s="75">
        <v>40584</v>
      </c>
      <c r="B958" s="8" t="s">
        <v>317</v>
      </c>
      <c r="C958" s="8" t="s">
        <v>310</v>
      </c>
      <c r="D958" s="8" t="s">
        <v>3</v>
      </c>
      <c r="E958" s="8" t="s">
        <v>344</v>
      </c>
      <c r="F958" s="8">
        <v>57</v>
      </c>
      <c r="G958" s="22">
        <v>1197</v>
      </c>
      <c r="H958" s="22">
        <v>527.25</v>
      </c>
    </row>
    <row r="959" spans="1:8" x14ac:dyDescent="0.25">
      <c r="A959" s="75">
        <v>40656</v>
      </c>
      <c r="B959" s="8" t="s">
        <v>311</v>
      </c>
      <c r="C959" s="8" t="s">
        <v>310</v>
      </c>
      <c r="D959" s="8" t="s">
        <v>132</v>
      </c>
      <c r="E959" s="8" t="s">
        <v>318</v>
      </c>
      <c r="F959" s="8">
        <v>63</v>
      </c>
      <c r="G959" s="22">
        <v>1197</v>
      </c>
      <c r="H959" s="22">
        <v>504</v>
      </c>
    </row>
    <row r="960" spans="1:8" x14ac:dyDescent="0.25">
      <c r="A960" s="75">
        <v>40644</v>
      </c>
      <c r="B960" s="8" t="s">
        <v>317</v>
      </c>
      <c r="C960" s="8" t="s">
        <v>308</v>
      </c>
      <c r="D960" s="8" t="s">
        <v>312</v>
      </c>
      <c r="E960" s="8" t="s">
        <v>338</v>
      </c>
      <c r="F960" s="8">
        <v>38</v>
      </c>
      <c r="G960" s="22">
        <v>798</v>
      </c>
      <c r="H960" s="22">
        <v>351.5</v>
      </c>
    </row>
    <row r="961" spans="1:8" x14ac:dyDescent="0.25">
      <c r="A961" s="75">
        <v>40597</v>
      </c>
      <c r="B961" s="8" t="s">
        <v>321</v>
      </c>
      <c r="C961" s="8" t="s">
        <v>307</v>
      </c>
      <c r="D961" s="8" t="s">
        <v>7</v>
      </c>
      <c r="E961" s="8" t="s">
        <v>347</v>
      </c>
      <c r="F961" s="8">
        <v>8</v>
      </c>
      <c r="G961" s="22">
        <v>176</v>
      </c>
      <c r="H961" s="22">
        <v>80</v>
      </c>
    </row>
    <row r="962" spans="1:8" x14ac:dyDescent="0.25">
      <c r="A962" s="75">
        <v>40658</v>
      </c>
      <c r="B962" s="8" t="s">
        <v>317</v>
      </c>
      <c r="C962" s="8" t="s">
        <v>310</v>
      </c>
      <c r="D962" s="8" t="s">
        <v>136</v>
      </c>
      <c r="E962" s="8" t="s">
        <v>332</v>
      </c>
      <c r="F962" s="8">
        <v>47</v>
      </c>
      <c r="G962" s="22">
        <v>987</v>
      </c>
      <c r="H962" s="22">
        <v>434.75</v>
      </c>
    </row>
    <row r="963" spans="1:8" x14ac:dyDescent="0.25">
      <c r="A963" s="75">
        <v>40592</v>
      </c>
      <c r="B963" s="8" t="s">
        <v>321</v>
      </c>
      <c r="C963" s="8" t="s">
        <v>309</v>
      </c>
      <c r="D963" s="8" t="s">
        <v>3</v>
      </c>
      <c r="E963" s="8" t="s">
        <v>346</v>
      </c>
      <c r="F963" s="8">
        <v>50</v>
      </c>
      <c r="G963" s="22">
        <v>1100</v>
      </c>
      <c r="H963" s="22">
        <v>500</v>
      </c>
    </row>
    <row r="964" spans="1:8" x14ac:dyDescent="0.25">
      <c r="A964" s="75">
        <v>40617</v>
      </c>
      <c r="B964" s="8" t="s">
        <v>311</v>
      </c>
      <c r="C964" s="8" t="s">
        <v>309</v>
      </c>
      <c r="D964" s="8" t="s">
        <v>328</v>
      </c>
      <c r="E964" s="8" t="s">
        <v>343</v>
      </c>
      <c r="F964" s="8">
        <v>36</v>
      </c>
      <c r="G964" s="22">
        <v>684</v>
      </c>
      <c r="H964" s="22">
        <v>288</v>
      </c>
    </row>
    <row r="965" spans="1:8" x14ac:dyDescent="0.25">
      <c r="A965" s="75">
        <v>40590</v>
      </c>
      <c r="B965" s="8" t="s">
        <v>315</v>
      </c>
      <c r="C965" s="8" t="s">
        <v>308</v>
      </c>
      <c r="D965" s="8" t="s">
        <v>136</v>
      </c>
      <c r="E965" s="8" t="s">
        <v>339</v>
      </c>
      <c r="F965" s="8">
        <v>37</v>
      </c>
      <c r="G965" s="22">
        <v>851</v>
      </c>
      <c r="H965" s="22">
        <v>407</v>
      </c>
    </row>
    <row r="966" spans="1:8" x14ac:dyDescent="0.25">
      <c r="A966" s="75">
        <v>40640</v>
      </c>
      <c r="B966" s="8" t="s">
        <v>317</v>
      </c>
      <c r="C966" s="8" t="s">
        <v>309</v>
      </c>
      <c r="D966" s="8" t="s">
        <v>312</v>
      </c>
      <c r="E966" s="8" t="s">
        <v>343</v>
      </c>
      <c r="F966" s="8">
        <v>51</v>
      </c>
      <c r="G966" s="22">
        <v>1071</v>
      </c>
      <c r="H966" s="22">
        <v>471.75</v>
      </c>
    </row>
    <row r="967" spans="1:8" x14ac:dyDescent="0.25">
      <c r="A967" s="75">
        <v>40632</v>
      </c>
      <c r="B967" s="8" t="s">
        <v>315</v>
      </c>
      <c r="C967" s="8" t="s">
        <v>308</v>
      </c>
      <c r="D967" s="8" t="s">
        <v>328</v>
      </c>
      <c r="E967" s="8" t="s">
        <v>339</v>
      </c>
      <c r="F967" s="8">
        <v>65</v>
      </c>
      <c r="G967" s="22">
        <v>1495</v>
      </c>
      <c r="H967" s="22">
        <v>715</v>
      </c>
    </row>
    <row r="968" spans="1:8" x14ac:dyDescent="0.25">
      <c r="A968" s="75">
        <v>40611</v>
      </c>
      <c r="B968" s="8" t="s">
        <v>315</v>
      </c>
      <c r="C968" s="8" t="s">
        <v>309</v>
      </c>
      <c r="D968" s="8" t="s">
        <v>132</v>
      </c>
      <c r="E968" s="8" t="s">
        <v>338</v>
      </c>
      <c r="F968" s="8">
        <v>46</v>
      </c>
      <c r="G968" s="22">
        <v>1058</v>
      </c>
      <c r="H968" s="22">
        <v>506</v>
      </c>
    </row>
    <row r="969" spans="1:8" x14ac:dyDescent="0.25">
      <c r="A969" s="75">
        <v>40591</v>
      </c>
      <c r="B969" s="8" t="s">
        <v>315</v>
      </c>
      <c r="C969" s="8" t="s">
        <v>307</v>
      </c>
      <c r="D969" s="8" t="s">
        <v>136</v>
      </c>
      <c r="E969" s="8" t="s">
        <v>322</v>
      </c>
      <c r="F969" s="8">
        <v>8</v>
      </c>
      <c r="G969" s="22">
        <v>184</v>
      </c>
      <c r="H969" s="22">
        <v>88</v>
      </c>
    </row>
    <row r="970" spans="1:8" x14ac:dyDescent="0.25">
      <c r="A970" s="75">
        <v>40660</v>
      </c>
      <c r="B970" s="8" t="s">
        <v>321</v>
      </c>
      <c r="C970" s="8" t="s">
        <v>307</v>
      </c>
      <c r="D970" s="8" t="s">
        <v>136</v>
      </c>
      <c r="E970" s="8" t="s">
        <v>327</v>
      </c>
      <c r="F970" s="8">
        <v>35</v>
      </c>
      <c r="G970" s="22">
        <v>770</v>
      </c>
      <c r="H970" s="22">
        <v>350</v>
      </c>
    </row>
    <row r="971" spans="1:8" x14ac:dyDescent="0.25">
      <c r="A971" s="75">
        <v>40711</v>
      </c>
      <c r="B971" s="8" t="s">
        <v>321</v>
      </c>
      <c r="C971" s="8" t="s">
        <v>308</v>
      </c>
      <c r="D971" s="8" t="s">
        <v>3</v>
      </c>
      <c r="E971" s="8" t="s">
        <v>345</v>
      </c>
      <c r="F971" s="8">
        <v>56</v>
      </c>
      <c r="G971" s="22">
        <v>1232</v>
      </c>
      <c r="H971" s="22">
        <v>560</v>
      </c>
    </row>
    <row r="972" spans="1:8" x14ac:dyDescent="0.25">
      <c r="A972" s="75">
        <v>40659</v>
      </c>
      <c r="B972" s="8" t="s">
        <v>317</v>
      </c>
      <c r="C972" s="8" t="s">
        <v>307</v>
      </c>
      <c r="D972" s="8" t="s">
        <v>3</v>
      </c>
      <c r="E972" s="8" t="s">
        <v>343</v>
      </c>
      <c r="F972" s="8">
        <v>7</v>
      </c>
      <c r="G972" s="22">
        <v>147</v>
      </c>
      <c r="H972" s="22">
        <v>64.75</v>
      </c>
    </row>
    <row r="973" spans="1:8" x14ac:dyDescent="0.25">
      <c r="A973" s="75">
        <v>40644</v>
      </c>
      <c r="B973" s="8" t="s">
        <v>311</v>
      </c>
      <c r="C973" s="8" t="s">
        <v>310</v>
      </c>
      <c r="D973" s="8" t="s">
        <v>132</v>
      </c>
      <c r="E973" s="8" t="s">
        <v>340</v>
      </c>
      <c r="F973" s="8">
        <v>41</v>
      </c>
      <c r="G973" s="22">
        <v>779</v>
      </c>
      <c r="H973" s="22">
        <v>328</v>
      </c>
    </row>
    <row r="974" spans="1:8" x14ac:dyDescent="0.25">
      <c r="A974" s="75">
        <v>40705</v>
      </c>
      <c r="B974" s="8" t="s">
        <v>317</v>
      </c>
      <c r="C974" s="8" t="s">
        <v>310</v>
      </c>
      <c r="D974" s="8" t="s">
        <v>136</v>
      </c>
      <c r="E974" s="8" t="s">
        <v>343</v>
      </c>
      <c r="F974" s="8">
        <v>42</v>
      </c>
      <c r="G974" s="22">
        <v>882</v>
      </c>
      <c r="H974" s="22">
        <v>388.5</v>
      </c>
    </row>
    <row r="975" spans="1:8" x14ac:dyDescent="0.25">
      <c r="A975" s="75">
        <v>40617</v>
      </c>
      <c r="B975" s="8" t="s">
        <v>315</v>
      </c>
      <c r="C975" s="8" t="s">
        <v>307</v>
      </c>
      <c r="D975" s="8" t="s">
        <v>328</v>
      </c>
      <c r="E975" s="8" t="s">
        <v>429</v>
      </c>
      <c r="F975" s="8">
        <v>40</v>
      </c>
      <c r="G975" s="22">
        <v>920</v>
      </c>
      <c r="H975" s="22">
        <v>440</v>
      </c>
    </row>
    <row r="976" spans="1:8" x14ac:dyDescent="0.25">
      <c r="A976" s="75">
        <v>40639</v>
      </c>
      <c r="B976" s="8" t="s">
        <v>311</v>
      </c>
      <c r="C976" s="8" t="s">
        <v>307</v>
      </c>
      <c r="D976" s="8" t="s">
        <v>3</v>
      </c>
      <c r="E976" s="8" t="s">
        <v>344</v>
      </c>
      <c r="F976" s="8">
        <v>36</v>
      </c>
      <c r="G976" s="22">
        <v>684</v>
      </c>
      <c r="H976" s="22">
        <v>288</v>
      </c>
    </row>
    <row r="977" spans="1:8" x14ac:dyDescent="0.25">
      <c r="A977" s="75">
        <v>40594</v>
      </c>
      <c r="B977" s="8" t="s">
        <v>315</v>
      </c>
      <c r="C977" s="8" t="s">
        <v>307</v>
      </c>
      <c r="D977" s="8" t="s">
        <v>7</v>
      </c>
      <c r="E977" s="8" t="s">
        <v>335</v>
      </c>
      <c r="F977" s="8">
        <v>14</v>
      </c>
      <c r="G977" s="22">
        <v>322</v>
      </c>
      <c r="H977" s="22">
        <v>154</v>
      </c>
    </row>
    <row r="978" spans="1:8" x14ac:dyDescent="0.25">
      <c r="A978" s="75">
        <v>40619</v>
      </c>
      <c r="B978" s="8" t="s">
        <v>311</v>
      </c>
      <c r="C978" s="8" t="s">
        <v>308</v>
      </c>
      <c r="D978" s="8" t="s">
        <v>136</v>
      </c>
      <c r="E978" s="8" t="s">
        <v>313</v>
      </c>
      <c r="F978" s="8">
        <v>12</v>
      </c>
      <c r="G978" s="22">
        <v>228</v>
      </c>
      <c r="H978" s="22">
        <v>96</v>
      </c>
    </row>
    <row r="979" spans="1:8" x14ac:dyDescent="0.25">
      <c r="A979" s="75">
        <v>40676</v>
      </c>
      <c r="B979" s="8" t="s">
        <v>315</v>
      </c>
      <c r="C979" s="8" t="s">
        <v>308</v>
      </c>
      <c r="D979" s="8" t="s">
        <v>3</v>
      </c>
      <c r="E979" s="8" t="s">
        <v>334</v>
      </c>
      <c r="F979" s="8">
        <v>56</v>
      </c>
      <c r="G979" s="22">
        <v>1288</v>
      </c>
      <c r="H979" s="22">
        <v>616</v>
      </c>
    </row>
    <row r="980" spans="1:8" x14ac:dyDescent="0.25">
      <c r="A980" s="75">
        <v>40618</v>
      </c>
      <c r="B980" s="8" t="s">
        <v>319</v>
      </c>
      <c r="C980" s="8" t="s">
        <v>307</v>
      </c>
      <c r="D980" s="8" t="s">
        <v>136</v>
      </c>
      <c r="E980" s="8" t="s">
        <v>327</v>
      </c>
      <c r="F980" s="8">
        <v>8</v>
      </c>
      <c r="G980" s="22">
        <v>216</v>
      </c>
      <c r="H980" s="22">
        <v>116</v>
      </c>
    </row>
    <row r="981" spans="1:8" x14ac:dyDescent="0.25">
      <c r="A981" s="75">
        <v>40660</v>
      </c>
      <c r="B981" s="8" t="s">
        <v>321</v>
      </c>
      <c r="C981" s="8" t="s">
        <v>307</v>
      </c>
      <c r="D981" s="8" t="s">
        <v>3</v>
      </c>
      <c r="E981" s="8" t="s">
        <v>322</v>
      </c>
      <c r="F981" s="8">
        <v>17</v>
      </c>
      <c r="G981" s="22">
        <v>374</v>
      </c>
      <c r="H981" s="22">
        <v>170</v>
      </c>
    </row>
    <row r="982" spans="1:8" x14ac:dyDescent="0.25">
      <c r="A982" s="75">
        <v>40552</v>
      </c>
      <c r="B982" s="8" t="s">
        <v>319</v>
      </c>
      <c r="C982" s="8" t="s">
        <v>307</v>
      </c>
      <c r="D982" s="8" t="s">
        <v>312</v>
      </c>
      <c r="E982" s="8" t="s">
        <v>331</v>
      </c>
      <c r="F982" s="8">
        <v>8</v>
      </c>
      <c r="G982" s="22">
        <v>216</v>
      </c>
      <c r="H982" s="22">
        <v>116</v>
      </c>
    </row>
    <row r="983" spans="1:8" x14ac:dyDescent="0.25">
      <c r="A983" s="75">
        <v>40649</v>
      </c>
      <c r="B983" s="8" t="s">
        <v>317</v>
      </c>
      <c r="C983" s="8" t="s">
        <v>307</v>
      </c>
      <c r="D983" s="8" t="s">
        <v>132</v>
      </c>
      <c r="E983" s="8" t="s">
        <v>326</v>
      </c>
      <c r="F983" s="8">
        <v>23</v>
      </c>
      <c r="G983" s="22">
        <v>483</v>
      </c>
      <c r="H983" s="22">
        <v>212.75</v>
      </c>
    </row>
    <row r="984" spans="1:8" x14ac:dyDescent="0.25">
      <c r="A984" s="75">
        <v>40650</v>
      </c>
      <c r="B984" s="8" t="s">
        <v>311</v>
      </c>
      <c r="C984" s="8" t="s">
        <v>310</v>
      </c>
      <c r="D984" s="8" t="s">
        <v>3</v>
      </c>
      <c r="E984" s="8" t="s">
        <v>330</v>
      </c>
      <c r="F984" s="8">
        <v>36</v>
      </c>
      <c r="G984" s="22">
        <v>684</v>
      </c>
      <c r="H984" s="22">
        <v>288</v>
      </c>
    </row>
    <row r="985" spans="1:8" x14ac:dyDescent="0.25">
      <c r="A985" s="75">
        <v>40681</v>
      </c>
      <c r="B985" s="8" t="s">
        <v>319</v>
      </c>
      <c r="C985" s="8" t="s">
        <v>310</v>
      </c>
      <c r="D985" s="8" t="s">
        <v>3</v>
      </c>
      <c r="E985" s="8" t="s">
        <v>326</v>
      </c>
      <c r="F985" s="8">
        <v>20</v>
      </c>
      <c r="G985" s="22">
        <v>540</v>
      </c>
      <c r="H985" s="22">
        <v>290</v>
      </c>
    </row>
    <row r="986" spans="1:8" x14ac:dyDescent="0.25">
      <c r="A986" s="75">
        <v>40639</v>
      </c>
      <c r="B986" s="8" t="s">
        <v>321</v>
      </c>
      <c r="C986" s="8" t="s">
        <v>309</v>
      </c>
      <c r="D986" s="8" t="s">
        <v>328</v>
      </c>
      <c r="E986" s="8" t="s">
        <v>344</v>
      </c>
      <c r="F986" s="8">
        <v>63</v>
      </c>
      <c r="G986" s="22">
        <v>1386</v>
      </c>
      <c r="H986" s="22">
        <v>630</v>
      </c>
    </row>
    <row r="987" spans="1:8" x14ac:dyDescent="0.25">
      <c r="A987" s="75">
        <v>40578</v>
      </c>
      <c r="B987" s="8" t="s">
        <v>319</v>
      </c>
      <c r="C987" s="8" t="s">
        <v>308</v>
      </c>
      <c r="D987" s="8" t="s">
        <v>312</v>
      </c>
      <c r="E987" s="8" t="s">
        <v>322</v>
      </c>
      <c r="F987" s="8">
        <v>24</v>
      </c>
      <c r="G987" s="22">
        <v>648</v>
      </c>
      <c r="H987" s="22">
        <v>348</v>
      </c>
    </row>
    <row r="988" spans="1:8" x14ac:dyDescent="0.25">
      <c r="A988" s="75">
        <v>40711</v>
      </c>
      <c r="B988" s="8" t="s">
        <v>321</v>
      </c>
      <c r="C988" s="8" t="s">
        <v>309</v>
      </c>
      <c r="D988" s="8" t="s">
        <v>328</v>
      </c>
      <c r="E988" s="8" t="s">
        <v>346</v>
      </c>
      <c r="F988" s="8">
        <v>14</v>
      </c>
      <c r="G988" s="22">
        <v>308</v>
      </c>
      <c r="H988" s="22">
        <v>140</v>
      </c>
    </row>
    <row r="989" spans="1:8" x14ac:dyDescent="0.25">
      <c r="A989" s="75">
        <v>40666</v>
      </c>
      <c r="B989" s="8" t="s">
        <v>311</v>
      </c>
      <c r="C989" s="8" t="s">
        <v>309</v>
      </c>
      <c r="D989" s="8" t="s">
        <v>312</v>
      </c>
      <c r="E989" s="8" t="s">
        <v>322</v>
      </c>
      <c r="F989" s="8">
        <v>22</v>
      </c>
      <c r="G989" s="22">
        <v>418</v>
      </c>
      <c r="H989" s="22">
        <v>176</v>
      </c>
    </row>
    <row r="990" spans="1:8" x14ac:dyDescent="0.25">
      <c r="A990" s="75">
        <v>40693</v>
      </c>
      <c r="B990" s="8" t="s">
        <v>317</v>
      </c>
      <c r="C990" s="8" t="s">
        <v>310</v>
      </c>
      <c r="D990" s="8" t="s">
        <v>328</v>
      </c>
      <c r="E990" s="8" t="s">
        <v>322</v>
      </c>
      <c r="F990" s="8">
        <v>22</v>
      </c>
      <c r="G990" s="22">
        <v>462</v>
      </c>
      <c r="H990" s="22">
        <v>203.5</v>
      </c>
    </row>
    <row r="991" spans="1:8" x14ac:dyDescent="0.25">
      <c r="A991" s="75">
        <v>40642</v>
      </c>
      <c r="B991" s="8" t="s">
        <v>321</v>
      </c>
      <c r="C991" s="8" t="s">
        <v>310</v>
      </c>
      <c r="D991" s="8" t="s">
        <v>312</v>
      </c>
      <c r="E991" s="8" t="s">
        <v>342</v>
      </c>
      <c r="F991" s="8">
        <v>10</v>
      </c>
      <c r="G991" s="22">
        <v>220</v>
      </c>
      <c r="H991" s="22">
        <v>100</v>
      </c>
    </row>
    <row r="992" spans="1:8" x14ac:dyDescent="0.25">
      <c r="A992" s="75">
        <v>40593</v>
      </c>
      <c r="B992" s="8" t="s">
        <v>317</v>
      </c>
      <c r="C992" s="8" t="s">
        <v>310</v>
      </c>
      <c r="D992" s="8" t="s">
        <v>328</v>
      </c>
      <c r="E992" s="8" t="s">
        <v>334</v>
      </c>
      <c r="F992" s="8">
        <v>17</v>
      </c>
      <c r="G992" s="22">
        <v>357</v>
      </c>
      <c r="H992" s="22">
        <v>157.25</v>
      </c>
    </row>
    <row r="993" spans="1:8" x14ac:dyDescent="0.25">
      <c r="A993" s="75">
        <v>40708</v>
      </c>
      <c r="B993" s="8" t="s">
        <v>315</v>
      </c>
      <c r="C993" s="8" t="s">
        <v>307</v>
      </c>
      <c r="D993" s="8" t="s">
        <v>3</v>
      </c>
      <c r="E993" s="8" t="s">
        <v>331</v>
      </c>
      <c r="F993" s="8">
        <v>48</v>
      </c>
      <c r="G993" s="22">
        <v>1104</v>
      </c>
      <c r="H993" s="22">
        <v>528</v>
      </c>
    </row>
    <row r="994" spans="1:8" x14ac:dyDescent="0.25">
      <c r="A994" s="75">
        <v>40702</v>
      </c>
      <c r="B994" s="8" t="s">
        <v>315</v>
      </c>
      <c r="C994" s="8" t="s">
        <v>308</v>
      </c>
      <c r="D994" s="8" t="s">
        <v>136</v>
      </c>
      <c r="E994" s="8" t="s">
        <v>318</v>
      </c>
      <c r="F994" s="8">
        <v>18</v>
      </c>
      <c r="G994" s="22">
        <v>414</v>
      </c>
      <c r="H994" s="22">
        <v>198</v>
      </c>
    </row>
    <row r="995" spans="1:8" x14ac:dyDescent="0.25">
      <c r="A995" s="75">
        <v>40696</v>
      </c>
      <c r="B995" s="8" t="s">
        <v>319</v>
      </c>
      <c r="C995" s="8" t="s">
        <v>307</v>
      </c>
      <c r="D995" s="8" t="s">
        <v>7</v>
      </c>
      <c r="E995" s="8" t="s">
        <v>347</v>
      </c>
      <c r="F995" s="8">
        <v>62</v>
      </c>
      <c r="G995" s="22">
        <v>1674</v>
      </c>
      <c r="H995" s="22">
        <v>899</v>
      </c>
    </row>
    <row r="996" spans="1:8" x14ac:dyDescent="0.25">
      <c r="A996" s="75">
        <v>40713</v>
      </c>
      <c r="B996" s="8" t="s">
        <v>319</v>
      </c>
      <c r="C996" s="8" t="s">
        <v>310</v>
      </c>
      <c r="D996" s="8" t="s">
        <v>7</v>
      </c>
      <c r="E996" s="8" t="s">
        <v>432</v>
      </c>
      <c r="F996" s="8">
        <v>65</v>
      </c>
      <c r="G996" s="22">
        <v>1755</v>
      </c>
      <c r="H996" s="22">
        <v>942.5</v>
      </c>
    </row>
    <row r="997" spans="1:8" x14ac:dyDescent="0.25">
      <c r="A997" s="75">
        <v>40652</v>
      </c>
      <c r="B997" s="8" t="s">
        <v>317</v>
      </c>
      <c r="C997" s="8" t="s">
        <v>308</v>
      </c>
      <c r="D997" s="8" t="s">
        <v>3</v>
      </c>
      <c r="E997" s="8" t="s">
        <v>346</v>
      </c>
      <c r="F997" s="8">
        <v>22</v>
      </c>
      <c r="G997" s="22">
        <v>462</v>
      </c>
      <c r="H997" s="22">
        <v>203.5</v>
      </c>
    </row>
    <row r="998" spans="1:8" x14ac:dyDescent="0.25">
      <c r="A998" s="75">
        <v>40605</v>
      </c>
      <c r="B998" s="8" t="s">
        <v>321</v>
      </c>
      <c r="C998" s="8" t="s">
        <v>310</v>
      </c>
      <c r="D998" s="8" t="s">
        <v>136</v>
      </c>
      <c r="E998" s="8" t="s">
        <v>334</v>
      </c>
      <c r="F998" s="8">
        <v>48</v>
      </c>
      <c r="G998" s="22">
        <v>1056</v>
      </c>
      <c r="H998" s="22">
        <v>480</v>
      </c>
    </row>
    <row r="999" spans="1:8" x14ac:dyDescent="0.25">
      <c r="A999" s="75">
        <v>40665</v>
      </c>
      <c r="B999" s="8" t="s">
        <v>311</v>
      </c>
      <c r="C999" s="8" t="s">
        <v>308</v>
      </c>
      <c r="D999" s="8" t="s">
        <v>3</v>
      </c>
      <c r="E999" s="8" t="s">
        <v>318</v>
      </c>
      <c r="F999" s="8">
        <v>39</v>
      </c>
      <c r="G999" s="22">
        <v>741</v>
      </c>
      <c r="H999" s="22">
        <v>312</v>
      </c>
    </row>
    <row r="1000" spans="1:8" x14ac:dyDescent="0.25">
      <c r="A1000" s="75">
        <v>40582</v>
      </c>
      <c r="B1000" s="8" t="s">
        <v>321</v>
      </c>
      <c r="C1000" s="8" t="s">
        <v>310</v>
      </c>
      <c r="D1000" s="8" t="s">
        <v>136</v>
      </c>
      <c r="E1000" s="8" t="s">
        <v>340</v>
      </c>
      <c r="F1000" s="8">
        <v>54</v>
      </c>
      <c r="G1000" s="22">
        <v>1188</v>
      </c>
      <c r="H1000" s="22">
        <v>540</v>
      </c>
    </row>
    <row r="1001" spans="1:8" x14ac:dyDescent="0.25">
      <c r="A1001" s="75">
        <v>40643</v>
      </c>
      <c r="B1001" s="8" t="s">
        <v>315</v>
      </c>
      <c r="C1001" s="8" t="s">
        <v>309</v>
      </c>
      <c r="D1001" s="8" t="s">
        <v>136</v>
      </c>
      <c r="E1001" s="8" t="s">
        <v>333</v>
      </c>
      <c r="F1001" s="8">
        <v>35</v>
      </c>
      <c r="G1001" s="22">
        <v>805</v>
      </c>
      <c r="H1001" s="22">
        <v>385</v>
      </c>
    </row>
    <row r="1002" spans="1:8" x14ac:dyDescent="0.25">
      <c r="A1002" s="75">
        <v>40576</v>
      </c>
      <c r="B1002" s="8" t="s">
        <v>311</v>
      </c>
      <c r="C1002" s="8" t="s">
        <v>309</v>
      </c>
      <c r="D1002" s="8" t="s">
        <v>7</v>
      </c>
      <c r="E1002" s="8" t="s">
        <v>326</v>
      </c>
      <c r="F1002" s="8">
        <v>42</v>
      </c>
      <c r="G1002" s="22">
        <v>798</v>
      </c>
      <c r="H1002" s="22">
        <v>336</v>
      </c>
    </row>
    <row r="1003" spans="1:8" x14ac:dyDescent="0.25">
      <c r="A1003" s="75">
        <v>40693</v>
      </c>
      <c r="B1003" s="8" t="s">
        <v>319</v>
      </c>
      <c r="C1003" s="8" t="s">
        <v>310</v>
      </c>
      <c r="D1003" s="8" t="s">
        <v>328</v>
      </c>
      <c r="E1003" s="8" t="s">
        <v>314</v>
      </c>
      <c r="F1003" s="8">
        <v>29</v>
      </c>
      <c r="G1003" s="22">
        <v>783</v>
      </c>
      <c r="H1003" s="22">
        <v>420.5</v>
      </c>
    </row>
    <row r="1004" spans="1:8" x14ac:dyDescent="0.25">
      <c r="A1004" s="75">
        <v>40712</v>
      </c>
      <c r="B1004" s="8" t="s">
        <v>319</v>
      </c>
      <c r="C1004" s="8" t="s">
        <v>307</v>
      </c>
      <c r="D1004" s="8" t="s">
        <v>328</v>
      </c>
      <c r="E1004" s="8" t="s">
        <v>332</v>
      </c>
      <c r="F1004" s="8">
        <v>20</v>
      </c>
      <c r="G1004" s="22">
        <v>540</v>
      </c>
      <c r="H1004" s="22">
        <v>290</v>
      </c>
    </row>
    <row r="1005" spans="1:8" x14ac:dyDescent="0.25">
      <c r="A1005" s="75">
        <v>40545</v>
      </c>
      <c r="B1005" s="8" t="s">
        <v>317</v>
      </c>
      <c r="C1005" s="8" t="s">
        <v>310</v>
      </c>
      <c r="D1005" s="8" t="s">
        <v>3</v>
      </c>
      <c r="E1005" s="8" t="s">
        <v>344</v>
      </c>
      <c r="F1005" s="8">
        <v>54</v>
      </c>
      <c r="G1005" s="22">
        <v>1134</v>
      </c>
      <c r="H1005" s="22">
        <v>499.5</v>
      </c>
    </row>
    <row r="1006" spans="1:8" x14ac:dyDescent="0.25">
      <c r="A1006" s="75">
        <v>40563</v>
      </c>
      <c r="B1006" s="8" t="s">
        <v>317</v>
      </c>
      <c r="C1006" s="8" t="s">
        <v>309</v>
      </c>
      <c r="D1006" s="8" t="s">
        <v>312</v>
      </c>
      <c r="E1006" s="8" t="s">
        <v>335</v>
      </c>
      <c r="F1006" s="8">
        <v>62</v>
      </c>
      <c r="G1006" s="22">
        <v>1302</v>
      </c>
      <c r="H1006" s="22">
        <v>573.5</v>
      </c>
    </row>
    <row r="1007" spans="1:8" x14ac:dyDescent="0.25">
      <c r="A1007" s="75">
        <v>40706</v>
      </c>
      <c r="B1007" s="8" t="s">
        <v>321</v>
      </c>
      <c r="C1007" s="8" t="s">
        <v>310</v>
      </c>
      <c r="D1007" s="8" t="s">
        <v>312</v>
      </c>
      <c r="E1007" s="8" t="s">
        <v>432</v>
      </c>
      <c r="F1007" s="8">
        <v>6</v>
      </c>
      <c r="G1007" s="22">
        <v>132</v>
      </c>
      <c r="H1007" s="22">
        <v>60</v>
      </c>
    </row>
    <row r="1008" spans="1:8" x14ac:dyDescent="0.25">
      <c r="A1008" s="75">
        <v>40706</v>
      </c>
      <c r="B1008" s="8" t="s">
        <v>321</v>
      </c>
      <c r="C1008" s="8" t="s">
        <v>307</v>
      </c>
      <c r="D1008" s="8" t="s">
        <v>132</v>
      </c>
      <c r="E1008" s="8" t="s">
        <v>332</v>
      </c>
      <c r="F1008" s="8">
        <v>17</v>
      </c>
      <c r="G1008" s="22">
        <v>374</v>
      </c>
      <c r="H1008" s="22">
        <v>170</v>
      </c>
    </row>
    <row r="1009" spans="1:8" x14ac:dyDescent="0.25">
      <c r="A1009" s="75">
        <v>40583</v>
      </c>
      <c r="B1009" s="8" t="s">
        <v>315</v>
      </c>
      <c r="C1009" s="8" t="s">
        <v>309</v>
      </c>
      <c r="D1009" s="8" t="s">
        <v>312</v>
      </c>
      <c r="E1009" s="8" t="s">
        <v>334</v>
      </c>
      <c r="F1009" s="8">
        <v>35</v>
      </c>
      <c r="G1009" s="22">
        <v>805</v>
      </c>
      <c r="H1009" s="22">
        <v>385</v>
      </c>
    </row>
    <row r="1010" spans="1:8" x14ac:dyDescent="0.25">
      <c r="A1010" s="75">
        <v>40674</v>
      </c>
      <c r="B1010" s="8" t="s">
        <v>311</v>
      </c>
      <c r="C1010" s="8" t="s">
        <v>309</v>
      </c>
      <c r="D1010" s="8" t="s">
        <v>3</v>
      </c>
      <c r="E1010" s="8" t="s">
        <v>344</v>
      </c>
      <c r="F1010" s="8">
        <v>36</v>
      </c>
      <c r="G1010" s="22">
        <v>684</v>
      </c>
      <c r="H1010" s="22">
        <v>288</v>
      </c>
    </row>
    <row r="1011" spans="1:8" x14ac:dyDescent="0.25">
      <c r="A1011" s="75">
        <v>40694</v>
      </c>
      <c r="B1011" s="8" t="s">
        <v>317</v>
      </c>
      <c r="C1011" s="8" t="s">
        <v>309</v>
      </c>
      <c r="D1011" s="8" t="s">
        <v>7</v>
      </c>
      <c r="E1011" s="8" t="s">
        <v>325</v>
      </c>
      <c r="F1011" s="8">
        <v>14</v>
      </c>
      <c r="G1011" s="22">
        <v>294</v>
      </c>
      <c r="H1011" s="22">
        <v>129.5</v>
      </c>
    </row>
    <row r="1012" spans="1:8" x14ac:dyDescent="0.25">
      <c r="A1012" s="75">
        <v>40644</v>
      </c>
      <c r="B1012" s="8" t="s">
        <v>321</v>
      </c>
      <c r="C1012" s="8" t="s">
        <v>310</v>
      </c>
      <c r="D1012" s="8" t="s">
        <v>7</v>
      </c>
      <c r="E1012" s="8" t="s">
        <v>335</v>
      </c>
      <c r="F1012" s="8">
        <v>36</v>
      </c>
      <c r="G1012" s="22">
        <v>792</v>
      </c>
      <c r="H1012" s="22">
        <v>360</v>
      </c>
    </row>
    <row r="1013" spans="1:8" x14ac:dyDescent="0.25">
      <c r="A1013" s="75">
        <v>40706</v>
      </c>
      <c r="B1013" s="8" t="s">
        <v>317</v>
      </c>
      <c r="C1013" s="8" t="s">
        <v>310</v>
      </c>
      <c r="D1013" s="8" t="s">
        <v>3</v>
      </c>
      <c r="E1013" s="8" t="s">
        <v>344</v>
      </c>
      <c r="F1013" s="8">
        <v>22</v>
      </c>
      <c r="G1013" s="22">
        <v>462</v>
      </c>
      <c r="H1013" s="22">
        <v>203.5</v>
      </c>
    </row>
    <row r="1014" spans="1:8" x14ac:dyDescent="0.25">
      <c r="A1014" s="75">
        <v>40637</v>
      </c>
      <c r="B1014" s="8" t="s">
        <v>311</v>
      </c>
      <c r="C1014" s="8" t="s">
        <v>310</v>
      </c>
      <c r="D1014" s="8" t="s">
        <v>7</v>
      </c>
      <c r="E1014" s="8" t="s">
        <v>346</v>
      </c>
      <c r="F1014" s="8">
        <v>39</v>
      </c>
      <c r="G1014" s="22">
        <v>741</v>
      </c>
      <c r="H1014" s="22">
        <v>312</v>
      </c>
    </row>
    <row r="1015" spans="1:8" x14ac:dyDescent="0.25">
      <c r="A1015" s="75">
        <v>40620</v>
      </c>
      <c r="B1015" s="8" t="s">
        <v>317</v>
      </c>
      <c r="C1015" s="8" t="s">
        <v>307</v>
      </c>
      <c r="D1015" s="8" t="s">
        <v>7</v>
      </c>
      <c r="E1015" s="8" t="s">
        <v>428</v>
      </c>
      <c r="F1015" s="8">
        <v>46</v>
      </c>
      <c r="G1015" s="22">
        <v>966</v>
      </c>
      <c r="H1015" s="22">
        <v>425.5</v>
      </c>
    </row>
    <row r="1016" spans="1:8" x14ac:dyDescent="0.25">
      <c r="A1016" s="75">
        <v>40670</v>
      </c>
      <c r="B1016" s="8" t="s">
        <v>317</v>
      </c>
      <c r="C1016" s="8" t="s">
        <v>307</v>
      </c>
      <c r="D1016" s="8" t="s">
        <v>312</v>
      </c>
      <c r="E1016" s="8" t="s">
        <v>322</v>
      </c>
      <c r="F1016" s="8">
        <v>47</v>
      </c>
      <c r="G1016" s="22">
        <v>987</v>
      </c>
      <c r="H1016" s="22">
        <v>434.75</v>
      </c>
    </row>
    <row r="1017" spans="1:8" x14ac:dyDescent="0.25">
      <c r="A1017" s="75">
        <v>40565</v>
      </c>
      <c r="B1017" s="8" t="s">
        <v>321</v>
      </c>
      <c r="C1017" s="8" t="s">
        <v>308</v>
      </c>
      <c r="D1017" s="8" t="s">
        <v>7</v>
      </c>
      <c r="E1017" s="8" t="s">
        <v>316</v>
      </c>
      <c r="F1017" s="8">
        <v>58</v>
      </c>
      <c r="G1017" s="22">
        <v>1276</v>
      </c>
      <c r="H1017" s="22">
        <v>580</v>
      </c>
    </row>
    <row r="1018" spans="1:8" x14ac:dyDescent="0.25">
      <c r="A1018" s="75">
        <v>40671</v>
      </c>
      <c r="B1018" s="8" t="s">
        <v>317</v>
      </c>
      <c r="C1018" s="8" t="s">
        <v>308</v>
      </c>
      <c r="D1018" s="8" t="s">
        <v>7</v>
      </c>
      <c r="E1018" s="8" t="s">
        <v>320</v>
      </c>
      <c r="F1018" s="8">
        <v>19</v>
      </c>
      <c r="G1018" s="22">
        <v>399</v>
      </c>
      <c r="H1018" s="22">
        <v>175.75</v>
      </c>
    </row>
    <row r="1019" spans="1:8" x14ac:dyDescent="0.25">
      <c r="A1019" s="75">
        <v>40597</v>
      </c>
      <c r="B1019" s="8" t="s">
        <v>315</v>
      </c>
      <c r="C1019" s="8" t="s">
        <v>307</v>
      </c>
      <c r="D1019" s="8" t="s">
        <v>312</v>
      </c>
      <c r="E1019" s="8" t="s">
        <v>322</v>
      </c>
      <c r="F1019" s="8">
        <v>12</v>
      </c>
      <c r="G1019" s="22">
        <v>276</v>
      </c>
      <c r="H1019" s="22">
        <v>132</v>
      </c>
    </row>
    <row r="1020" spans="1:8" x14ac:dyDescent="0.25">
      <c r="A1020" s="75">
        <v>40685</v>
      </c>
      <c r="B1020" s="8" t="s">
        <v>319</v>
      </c>
      <c r="C1020" s="8" t="s">
        <v>307</v>
      </c>
      <c r="D1020" s="8" t="s">
        <v>132</v>
      </c>
      <c r="E1020" s="8" t="s">
        <v>324</v>
      </c>
      <c r="F1020" s="8">
        <v>35</v>
      </c>
      <c r="G1020" s="22">
        <v>945</v>
      </c>
      <c r="H1020" s="22">
        <v>507.5</v>
      </c>
    </row>
    <row r="1021" spans="1:8" x14ac:dyDescent="0.25">
      <c r="A1021" s="75">
        <v>40562</v>
      </c>
      <c r="B1021" s="8" t="s">
        <v>321</v>
      </c>
      <c r="C1021" s="8" t="s">
        <v>310</v>
      </c>
      <c r="D1021" s="8" t="s">
        <v>312</v>
      </c>
      <c r="E1021" s="8" t="s">
        <v>335</v>
      </c>
      <c r="F1021" s="8">
        <v>50</v>
      </c>
      <c r="G1021" s="22">
        <v>1100</v>
      </c>
      <c r="H1021" s="22">
        <v>500</v>
      </c>
    </row>
    <row r="1022" spans="1:8" x14ac:dyDescent="0.25">
      <c r="A1022" s="75">
        <v>40714</v>
      </c>
      <c r="B1022" s="8" t="s">
        <v>317</v>
      </c>
      <c r="C1022" s="8" t="s">
        <v>309</v>
      </c>
      <c r="D1022" s="8" t="s">
        <v>136</v>
      </c>
      <c r="E1022" s="8" t="s">
        <v>340</v>
      </c>
      <c r="F1022" s="8">
        <v>7</v>
      </c>
      <c r="G1022" s="22">
        <v>147</v>
      </c>
      <c r="H1022" s="22">
        <v>64.75</v>
      </c>
    </row>
    <row r="1023" spans="1:8" x14ac:dyDescent="0.25">
      <c r="A1023" s="75">
        <v>40692</v>
      </c>
      <c r="B1023" s="8" t="s">
        <v>315</v>
      </c>
      <c r="C1023" s="8" t="s">
        <v>307</v>
      </c>
      <c r="D1023" s="8" t="s">
        <v>312</v>
      </c>
      <c r="E1023" s="8" t="s">
        <v>341</v>
      </c>
      <c r="F1023" s="8">
        <v>55</v>
      </c>
      <c r="G1023" s="22">
        <v>1265</v>
      </c>
      <c r="H1023" s="22">
        <v>605</v>
      </c>
    </row>
    <row r="1024" spans="1:8" x14ac:dyDescent="0.25">
      <c r="A1024" s="75">
        <v>40551</v>
      </c>
      <c r="B1024" s="8" t="s">
        <v>319</v>
      </c>
      <c r="C1024" s="8" t="s">
        <v>308</v>
      </c>
      <c r="D1024" s="8" t="s">
        <v>136</v>
      </c>
      <c r="E1024" s="8" t="s">
        <v>348</v>
      </c>
      <c r="F1024" s="8">
        <v>63</v>
      </c>
      <c r="G1024" s="22">
        <v>1701</v>
      </c>
      <c r="H1024" s="22">
        <v>913.5</v>
      </c>
    </row>
    <row r="1025" spans="1:8" x14ac:dyDescent="0.25">
      <c r="A1025" s="75">
        <v>40709</v>
      </c>
      <c r="B1025" s="8" t="s">
        <v>317</v>
      </c>
      <c r="C1025" s="8" t="s">
        <v>310</v>
      </c>
      <c r="D1025" s="8" t="s">
        <v>328</v>
      </c>
      <c r="E1025" s="8" t="s">
        <v>342</v>
      </c>
      <c r="F1025" s="8">
        <v>13</v>
      </c>
      <c r="G1025" s="22">
        <v>273</v>
      </c>
      <c r="H1025" s="22">
        <v>120.25</v>
      </c>
    </row>
    <row r="1026" spans="1:8" x14ac:dyDescent="0.25">
      <c r="A1026" s="75">
        <v>40625</v>
      </c>
      <c r="B1026" s="8" t="s">
        <v>311</v>
      </c>
      <c r="C1026" s="8" t="s">
        <v>308</v>
      </c>
      <c r="D1026" s="8" t="s">
        <v>132</v>
      </c>
      <c r="E1026" s="8" t="s">
        <v>334</v>
      </c>
      <c r="F1026" s="8">
        <v>12</v>
      </c>
      <c r="G1026" s="22">
        <v>228</v>
      </c>
      <c r="H1026" s="22">
        <v>96</v>
      </c>
    </row>
    <row r="1027" spans="1:8" x14ac:dyDescent="0.25">
      <c r="A1027" s="75">
        <v>40625</v>
      </c>
      <c r="B1027" s="8" t="s">
        <v>315</v>
      </c>
      <c r="C1027" s="8" t="s">
        <v>309</v>
      </c>
      <c r="D1027" s="8" t="s">
        <v>136</v>
      </c>
      <c r="E1027" s="8" t="s">
        <v>335</v>
      </c>
      <c r="F1027" s="8">
        <v>23</v>
      </c>
      <c r="G1027" s="22">
        <v>529</v>
      </c>
      <c r="H1027" s="22">
        <v>253</v>
      </c>
    </row>
    <row r="1028" spans="1:8" x14ac:dyDescent="0.25">
      <c r="A1028" s="75">
        <v>40696</v>
      </c>
      <c r="B1028" s="8" t="s">
        <v>315</v>
      </c>
      <c r="C1028" s="8" t="s">
        <v>307</v>
      </c>
      <c r="D1028" s="8" t="s">
        <v>328</v>
      </c>
      <c r="E1028" s="8" t="s">
        <v>347</v>
      </c>
      <c r="F1028" s="8">
        <v>56</v>
      </c>
      <c r="G1028" s="22">
        <v>1288</v>
      </c>
      <c r="H1028" s="22">
        <v>616</v>
      </c>
    </row>
    <row r="1029" spans="1:8" x14ac:dyDescent="0.25">
      <c r="A1029" s="75">
        <v>40602</v>
      </c>
      <c r="B1029" s="8" t="s">
        <v>311</v>
      </c>
      <c r="C1029" s="8" t="s">
        <v>310</v>
      </c>
      <c r="D1029" s="8" t="s">
        <v>7</v>
      </c>
      <c r="E1029" s="8" t="s">
        <v>314</v>
      </c>
      <c r="F1029" s="8">
        <v>53</v>
      </c>
      <c r="G1029" s="22">
        <v>1007</v>
      </c>
      <c r="H1029" s="22">
        <v>424</v>
      </c>
    </row>
    <row r="1030" spans="1:8" x14ac:dyDescent="0.25">
      <c r="A1030" s="75">
        <v>40545</v>
      </c>
      <c r="B1030" s="8" t="s">
        <v>321</v>
      </c>
      <c r="C1030" s="8" t="s">
        <v>308</v>
      </c>
      <c r="D1030" s="8" t="s">
        <v>3</v>
      </c>
      <c r="E1030" s="8" t="s">
        <v>428</v>
      </c>
      <c r="F1030" s="8">
        <v>62</v>
      </c>
      <c r="G1030" s="22">
        <v>1364</v>
      </c>
      <c r="H1030" s="22">
        <v>620</v>
      </c>
    </row>
    <row r="1031" spans="1:8" x14ac:dyDescent="0.25">
      <c r="A1031" s="75">
        <v>40614</v>
      </c>
      <c r="B1031" s="8" t="s">
        <v>317</v>
      </c>
      <c r="C1031" s="8" t="s">
        <v>307</v>
      </c>
      <c r="D1031" s="8" t="s">
        <v>136</v>
      </c>
      <c r="E1031" s="8" t="s">
        <v>346</v>
      </c>
      <c r="F1031" s="8">
        <v>26</v>
      </c>
      <c r="G1031" s="22">
        <v>546</v>
      </c>
      <c r="H1031" s="22">
        <v>240.5</v>
      </c>
    </row>
    <row r="1032" spans="1:8" x14ac:dyDescent="0.25">
      <c r="A1032" s="75">
        <v>40697</v>
      </c>
      <c r="B1032" s="8" t="s">
        <v>321</v>
      </c>
      <c r="C1032" s="8" t="s">
        <v>308</v>
      </c>
      <c r="D1032" s="8" t="s">
        <v>136</v>
      </c>
      <c r="E1032" s="8" t="s">
        <v>348</v>
      </c>
      <c r="F1032" s="8">
        <v>22</v>
      </c>
      <c r="G1032" s="22">
        <v>484</v>
      </c>
      <c r="H1032" s="22">
        <v>220</v>
      </c>
    </row>
    <row r="1033" spans="1:8" x14ac:dyDescent="0.25">
      <c r="A1033" s="75">
        <v>40546</v>
      </c>
      <c r="B1033" s="8" t="s">
        <v>315</v>
      </c>
      <c r="C1033" s="8" t="s">
        <v>307</v>
      </c>
      <c r="D1033" s="8" t="s">
        <v>328</v>
      </c>
      <c r="E1033" s="8" t="s">
        <v>330</v>
      </c>
      <c r="F1033" s="8">
        <v>65</v>
      </c>
      <c r="G1033" s="22">
        <v>1495</v>
      </c>
      <c r="H1033" s="22">
        <v>715</v>
      </c>
    </row>
    <row r="1034" spans="1:8" x14ac:dyDescent="0.25">
      <c r="A1034" s="75">
        <v>40712</v>
      </c>
      <c r="B1034" s="8" t="s">
        <v>321</v>
      </c>
      <c r="C1034" s="8" t="s">
        <v>308</v>
      </c>
      <c r="D1034" s="8" t="s">
        <v>132</v>
      </c>
      <c r="E1034" s="8" t="s">
        <v>346</v>
      </c>
      <c r="F1034" s="8">
        <v>23</v>
      </c>
      <c r="G1034" s="22">
        <v>506</v>
      </c>
      <c r="H1034" s="22">
        <v>230</v>
      </c>
    </row>
    <row r="1035" spans="1:8" x14ac:dyDescent="0.25">
      <c r="A1035" s="75">
        <v>40703</v>
      </c>
      <c r="B1035" s="8" t="s">
        <v>319</v>
      </c>
      <c r="C1035" s="8" t="s">
        <v>310</v>
      </c>
      <c r="D1035" s="8" t="s">
        <v>7</v>
      </c>
      <c r="E1035" s="8" t="s">
        <v>316</v>
      </c>
      <c r="F1035" s="8">
        <v>7</v>
      </c>
      <c r="G1035" s="22">
        <v>189</v>
      </c>
      <c r="H1035" s="22">
        <v>101.5</v>
      </c>
    </row>
    <row r="1036" spans="1:8" x14ac:dyDescent="0.25">
      <c r="A1036" s="75">
        <v>40634</v>
      </c>
      <c r="B1036" s="8" t="s">
        <v>311</v>
      </c>
      <c r="C1036" s="8" t="s">
        <v>307</v>
      </c>
      <c r="D1036" s="8" t="s">
        <v>312</v>
      </c>
      <c r="E1036" s="8" t="s">
        <v>338</v>
      </c>
      <c r="F1036" s="8">
        <v>26</v>
      </c>
      <c r="G1036" s="22">
        <v>494</v>
      </c>
      <c r="H1036" s="22">
        <v>208</v>
      </c>
    </row>
    <row r="1037" spans="1:8" x14ac:dyDescent="0.25">
      <c r="A1037" s="75">
        <v>40676</v>
      </c>
      <c r="B1037" s="8" t="s">
        <v>317</v>
      </c>
      <c r="C1037" s="8" t="s">
        <v>309</v>
      </c>
      <c r="D1037" s="8" t="s">
        <v>328</v>
      </c>
      <c r="E1037" s="8" t="s">
        <v>345</v>
      </c>
      <c r="F1037" s="8">
        <v>35</v>
      </c>
      <c r="G1037" s="22">
        <v>735</v>
      </c>
      <c r="H1037" s="22">
        <v>323.75</v>
      </c>
    </row>
    <row r="1038" spans="1:8" x14ac:dyDescent="0.25">
      <c r="A1038" s="75">
        <v>40697</v>
      </c>
      <c r="B1038" s="8" t="s">
        <v>317</v>
      </c>
      <c r="C1038" s="8" t="s">
        <v>307</v>
      </c>
      <c r="D1038" s="8" t="s">
        <v>132</v>
      </c>
      <c r="E1038" s="8" t="s">
        <v>428</v>
      </c>
      <c r="F1038" s="8">
        <v>34</v>
      </c>
      <c r="G1038" s="22">
        <v>714</v>
      </c>
      <c r="H1038" s="22">
        <v>314.5</v>
      </c>
    </row>
    <row r="1039" spans="1:8" x14ac:dyDescent="0.25">
      <c r="A1039" s="75">
        <v>40667</v>
      </c>
      <c r="B1039" s="8" t="s">
        <v>321</v>
      </c>
      <c r="C1039" s="8" t="s">
        <v>309</v>
      </c>
      <c r="D1039" s="8" t="s">
        <v>136</v>
      </c>
      <c r="E1039" s="8" t="s">
        <v>428</v>
      </c>
      <c r="F1039" s="8">
        <v>62</v>
      </c>
      <c r="G1039" s="22">
        <v>1364</v>
      </c>
      <c r="H1039" s="22">
        <v>620</v>
      </c>
    </row>
    <row r="1040" spans="1:8" x14ac:dyDescent="0.25">
      <c r="A1040" s="75">
        <v>40662</v>
      </c>
      <c r="B1040" s="8" t="s">
        <v>321</v>
      </c>
      <c r="C1040" s="8" t="s">
        <v>307</v>
      </c>
      <c r="D1040" s="8" t="s">
        <v>312</v>
      </c>
      <c r="E1040" s="8" t="s">
        <v>329</v>
      </c>
      <c r="F1040" s="8">
        <v>63</v>
      </c>
      <c r="G1040" s="22">
        <v>1386</v>
      </c>
      <c r="H1040" s="22">
        <v>630</v>
      </c>
    </row>
    <row r="1041" spans="1:8" x14ac:dyDescent="0.25">
      <c r="A1041" s="75">
        <v>40670</v>
      </c>
      <c r="B1041" s="8" t="s">
        <v>315</v>
      </c>
      <c r="C1041" s="8" t="s">
        <v>309</v>
      </c>
      <c r="D1041" s="8" t="s">
        <v>312</v>
      </c>
      <c r="E1041" s="8" t="s">
        <v>323</v>
      </c>
      <c r="F1041" s="8">
        <v>36</v>
      </c>
      <c r="G1041" s="22">
        <v>828</v>
      </c>
      <c r="H1041" s="22">
        <v>396</v>
      </c>
    </row>
    <row r="1042" spans="1:8" x14ac:dyDescent="0.25">
      <c r="A1042" s="75">
        <v>40642</v>
      </c>
      <c r="B1042" s="8" t="s">
        <v>315</v>
      </c>
      <c r="C1042" s="8" t="s">
        <v>307</v>
      </c>
      <c r="D1042" s="8" t="s">
        <v>132</v>
      </c>
      <c r="E1042" s="8" t="s">
        <v>329</v>
      </c>
      <c r="F1042" s="8">
        <v>40</v>
      </c>
      <c r="G1042" s="22">
        <v>920</v>
      </c>
      <c r="H1042" s="22">
        <v>440</v>
      </c>
    </row>
    <row r="1043" spans="1:8" x14ac:dyDescent="0.25">
      <c r="A1043" s="75">
        <v>40623</v>
      </c>
      <c r="B1043" s="8" t="s">
        <v>311</v>
      </c>
      <c r="C1043" s="8" t="s">
        <v>307</v>
      </c>
      <c r="D1043" s="8" t="s">
        <v>3</v>
      </c>
      <c r="E1043" s="8" t="s">
        <v>323</v>
      </c>
      <c r="F1043" s="8">
        <v>9</v>
      </c>
      <c r="G1043" s="22">
        <v>171</v>
      </c>
      <c r="H1043" s="22">
        <v>72</v>
      </c>
    </row>
    <row r="1044" spans="1:8" x14ac:dyDescent="0.25">
      <c r="A1044" s="75">
        <v>40646</v>
      </c>
      <c r="B1044" s="8" t="s">
        <v>321</v>
      </c>
      <c r="C1044" s="8" t="s">
        <v>309</v>
      </c>
      <c r="D1044" s="8" t="s">
        <v>7</v>
      </c>
      <c r="E1044" s="8" t="s">
        <v>316</v>
      </c>
      <c r="F1044" s="8">
        <v>7</v>
      </c>
      <c r="G1044" s="22">
        <v>154</v>
      </c>
      <c r="H1044" s="22">
        <v>70</v>
      </c>
    </row>
    <row r="1045" spans="1:8" x14ac:dyDescent="0.25">
      <c r="A1045" s="75">
        <v>40659</v>
      </c>
      <c r="B1045" s="8" t="s">
        <v>321</v>
      </c>
      <c r="C1045" s="8" t="s">
        <v>307</v>
      </c>
      <c r="D1045" s="8" t="s">
        <v>3</v>
      </c>
      <c r="E1045" s="8" t="s">
        <v>333</v>
      </c>
      <c r="F1045" s="8">
        <v>55</v>
      </c>
      <c r="G1045" s="22">
        <v>1210</v>
      </c>
      <c r="H1045" s="22">
        <v>550</v>
      </c>
    </row>
    <row r="1046" spans="1:8" x14ac:dyDescent="0.25">
      <c r="A1046" s="75">
        <v>40571</v>
      </c>
      <c r="B1046" s="8" t="s">
        <v>319</v>
      </c>
      <c r="C1046" s="8" t="s">
        <v>308</v>
      </c>
      <c r="D1046" s="8" t="s">
        <v>132</v>
      </c>
      <c r="E1046" s="8" t="s">
        <v>336</v>
      </c>
      <c r="F1046" s="8">
        <v>29</v>
      </c>
      <c r="G1046" s="22">
        <v>783</v>
      </c>
      <c r="H1046" s="22">
        <v>420.5</v>
      </c>
    </row>
    <row r="1047" spans="1:8" x14ac:dyDescent="0.25">
      <c r="A1047" s="75">
        <v>40580</v>
      </c>
      <c r="B1047" s="8" t="s">
        <v>319</v>
      </c>
      <c r="C1047" s="8" t="s">
        <v>307</v>
      </c>
      <c r="D1047" s="8" t="s">
        <v>7</v>
      </c>
      <c r="E1047" s="8" t="s">
        <v>322</v>
      </c>
      <c r="F1047" s="8">
        <v>6</v>
      </c>
      <c r="G1047" s="22">
        <v>162</v>
      </c>
      <c r="H1047" s="22">
        <v>87</v>
      </c>
    </row>
    <row r="1048" spans="1:8" x14ac:dyDescent="0.25">
      <c r="A1048" s="75">
        <v>40622</v>
      </c>
      <c r="B1048" s="8" t="s">
        <v>321</v>
      </c>
      <c r="C1048" s="8" t="s">
        <v>308</v>
      </c>
      <c r="D1048" s="8" t="s">
        <v>3</v>
      </c>
      <c r="E1048" s="8" t="s">
        <v>329</v>
      </c>
      <c r="F1048" s="8">
        <v>65</v>
      </c>
      <c r="G1048" s="22">
        <v>1430</v>
      </c>
      <c r="H1048" s="22">
        <v>650</v>
      </c>
    </row>
    <row r="1049" spans="1:8" x14ac:dyDescent="0.25">
      <c r="A1049" s="75">
        <v>40598</v>
      </c>
      <c r="B1049" s="8" t="s">
        <v>315</v>
      </c>
      <c r="C1049" s="8" t="s">
        <v>309</v>
      </c>
      <c r="D1049" s="8" t="s">
        <v>328</v>
      </c>
      <c r="E1049" s="8" t="s">
        <v>334</v>
      </c>
      <c r="F1049" s="8">
        <v>14</v>
      </c>
      <c r="G1049" s="22">
        <v>322</v>
      </c>
      <c r="H1049" s="22">
        <v>154</v>
      </c>
    </row>
    <row r="1050" spans="1:8" x14ac:dyDescent="0.25">
      <c r="A1050" s="75">
        <v>40552</v>
      </c>
      <c r="B1050" s="8" t="s">
        <v>317</v>
      </c>
      <c r="C1050" s="8" t="s">
        <v>307</v>
      </c>
      <c r="D1050" s="8" t="s">
        <v>3</v>
      </c>
      <c r="E1050" s="8" t="s">
        <v>322</v>
      </c>
      <c r="F1050" s="8">
        <v>54</v>
      </c>
      <c r="G1050" s="22">
        <v>1134</v>
      </c>
      <c r="H1050" s="22">
        <v>499.5</v>
      </c>
    </row>
    <row r="1051" spans="1:8" x14ac:dyDescent="0.25">
      <c r="A1051" s="75">
        <v>40609</v>
      </c>
      <c r="B1051" s="8" t="s">
        <v>315</v>
      </c>
      <c r="C1051" s="8" t="s">
        <v>309</v>
      </c>
      <c r="D1051" s="8" t="s">
        <v>3</v>
      </c>
      <c r="E1051" s="8" t="s">
        <v>428</v>
      </c>
      <c r="F1051" s="8">
        <v>11</v>
      </c>
      <c r="G1051" s="22">
        <v>253</v>
      </c>
      <c r="H1051" s="22">
        <v>121</v>
      </c>
    </row>
    <row r="1052" spans="1:8" x14ac:dyDescent="0.25">
      <c r="A1052" s="75">
        <v>40668</v>
      </c>
      <c r="B1052" s="8" t="s">
        <v>317</v>
      </c>
      <c r="C1052" s="8" t="s">
        <v>309</v>
      </c>
      <c r="D1052" s="8" t="s">
        <v>136</v>
      </c>
      <c r="E1052" s="8" t="s">
        <v>346</v>
      </c>
      <c r="F1052" s="8">
        <v>61</v>
      </c>
      <c r="G1052" s="22">
        <v>1281</v>
      </c>
      <c r="H1052" s="22">
        <v>564.25</v>
      </c>
    </row>
    <row r="1053" spans="1:8" x14ac:dyDescent="0.25">
      <c r="A1053" s="75">
        <v>40572</v>
      </c>
      <c r="B1053" s="8" t="s">
        <v>315</v>
      </c>
      <c r="C1053" s="8" t="s">
        <v>307</v>
      </c>
      <c r="D1053" s="8" t="s">
        <v>136</v>
      </c>
      <c r="E1053" s="8" t="s">
        <v>335</v>
      </c>
      <c r="F1053" s="8">
        <v>60</v>
      </c>
      <c r="G1053" s="22">
        <v>1380</v>
      </c>
      <c r="H1053" s="22">
        <v>660</v>
      </c>
    </row>
    <row r="1054" spans="1:8" x14ac:dyDescent="0.25">
      <c r="A1054" s="75">
        <v>40716</v>
      </c>
      <c r="B1054" s="8" t="s">
        <v>315</v>
      </c>
      <c r="C1054" s="8" t="s">
        <v>307</v>
      </c>
      <c r="D1054" s="8" t="s">
        <v>328</v>
      </c>
      <c r="E1054" s="8" t="s">
        <v>429</v>
      </c>
      <c r="F1054" s="8">
        <v>20</v>
      </c>
      <c r="G1054" s="22">
        <v>460</v>
      </c>
      <c r="H1054" s="22">
        <v>220</v>
      </c>
    </row>
    <row r="1055" spans="1:8" x14ac:dyDescent="0.25">
      <c r="A1055" s="75">
        <v>40550</v>
      </c>
      <c r="B1055" s="8" t="s">
        <v>317</v>
      </c>
      <c r="C1055" s="8" t="s">
        <v>310</v>
      </c>
      <c r="D1055" s="8" t="s">
        <v>3</v>
      </c>
      <c r="E1055" s="8" t="s">
        <v>340</v>
      </c>
      <c r="F1055" s="8">
        <v>19</v>
      </c>
      <c r="G1055" s="22">
        <v>399</v>
      </c>
      <c r="H1055" s="22">
        <v>175.75</v>
      </c>
    </row>
    <row r="1056" spans="1:8" x14ac:dyDescent="0.25">
      <c r="A1056" s="75">
        <v>40545</v>
      </c>
      <c r="B1056" s="8" t="s">
        <v>319</v>
      </c>
      <c r="C1056" s="8" t="s">
        <v>310</v>
      </c>
      <c r="D1056" s="8" t="s">
        <v>3</v>
      </c>
      <c r="E1056" s="8" t="s">
        <v>339</v>
      </c>
      <c r="F1056" s="8">
        <v>65</v>
      </c>
      <c r="G1056" s="22">
        <v>1755</v>
      </c>
      <c r="H1056" s="22">
        <v>942.5</v>
      </c>
    </row>
    <row r="1057" spans="1:8" x14ac:dyDescent="0.25">
      <c r="A1057" s="75">
        <v>40646</v>
      </c>
      <c r="B1057" s="8" t="s">
        <v>317</v>
      </c>
      <c r="C1057" s="8" t="s">
        <v>309</v>
      </c>
      <c r="D1057" s="8" t="s">
        <v>3</v>
      </c>
      <c r="E1057" s="8" t="s">
        <v>326</v>
      </c>
      <c r="F1057" s="8">
        <v>10</v>
      </c>
      <c r="G1057" s="22">
        <v>210</v>
      </c>
      <c r="H1057" s="22">
        <v>92.5</v>
      </c>
    </row>
    <row r="1058" spans="1:8" x14ac:dyDescent="0.25">
      <c r="A1058" s="75">
        <v>40587</v>
      </c>
      <c r="B1058" s="8" t="s">
        <v>317</v>
      </c>
      <c r="C1058" s="8" t="s">
        <v>309</v>
      </c>
      <c r="D1058" s="8" t="s">
        <v>3</v>
      </c>
      <c r="E1058" s="8" t="s">
        <v>325</v>
      </c>
      <c r="F1058" s="8">
        <v>59</v>
      </c>
      <c r="G1058" s="22">
        <v>1239</v>
      </c>
      <c r="H1058" s="22">
        <v>545.75</v>
      </c>
    </row>
    <row r="1059" spans="1:8" x14ac:dyDescent="0.25">
      <c r="A1059" s="75">
        <v>40627</v>
      </c>
      <c r="B1059" s="8" t="s">
        <v>317</v>
      </c>
      <c r="C1059" s="8" t="s">
        <v>309</v>
      </c>
      <c r="D1059" s="8" t="s">
        <v>136</v>
      </c>
      <c r="E1059" s="8" t="s">
        <v>432</v>
      </c>
      <c r="F1059" s="8">
        <v>28</v>
      </c>
      <c r="G1059" s="22">
        <v>588</v>
      </c>
      <c r="H1059" s="22">
        <v>259</v>
      </c>
    </row>
    <row r="1060" spans="1:8" x14ac:dyDescent="0.25">
      <c r="A1060" s="75">
        <v>40569</v>
      </c>
      <c r="B1060" s="8" t="s">
        <v>311</v>
      </c>
      <c r="C1060" s="8" t="s">
        <v>307</v>
      </c>
      <c r="D1060" s="8" t="s">
        <v>132</v>
      </c>
      <c r="E1060" s="8" t="s">
        <v>313</v>
      </c>
      <c r="F1060" s="8">
        <v>26</v>
      </c>
      <c r="G1060" s="22">
        <v>494</v>
      </c>
      <c r="H1060" s="22">
        <v>208</v>
      </c>
    </row>
    <row r="1061" spans="1:8" x14ac:dyDescent="0.25">
      <c r="A1061" s="75">
        <v>40706</v>
      </c>
      <c r="B1061" s="8" t="s">
        <v>315</v>
      </c>
      <c r="C1061" s="8" t="s">
        <v>308</v>
      </c>
      <c r="D1061" s="8" t="s">
        <v>136</v>
      </c>
      <c r="E1061" s="8" t="s">
        <v>331</v>
      </c>
      <c r="F1061" s="8">
        <v>11</v>
      </c>
      <c r="G1061" s="22">
        <v>253</v>
      </c>
      <c r="H1061" s="22">
        <v>121</v>
      </c>
    </row>
    <row r="1062" spans="1:8" x14ac:dyDescent="0.25">
      <c r="A1062" s="75">
        <v>40583</v>
      </c>
      <c r="B1062" s="8" t="s">
        <v>319</v>
      </c>
      <c r="C1062" s="8" t="s">
        <v>308</v>
      </c>
      <c r="D1062" s="8" t="s">
        <v>312</v>
      </c>
      <c r="E1062" s="8" t="s">
        <v>339</v>
      </c>
      <c r="F1062" s="8">
        <v>56</v>
      </c>
      <c r="G1062" s="22">
        <v>1512</v>
      </c>
      <c r="H1062" s="22">
        <v>812</v>
      </c>
    </row>
    <row r="1063" spans="1:8" x14ac:dyDescent="0.25">
      <c r="A1063" s="75">
        <v>40666</v>
      </c>
      <c r="B1063" s="8" t="s">
        <v>315</v>
      </c>
      <c r="C1063" s="8" t="s">
        <v>309</v>
      </c>
      <c r="D1063" s="8" t="s">
        <v>132</v>
      </c>
      <c r="E1063" s="8" t="s">
        <v>337</v>
      </c>
      <c r="F1063" s="8">
        <v>48</v>
      </c>
      <c r="G1063" s="22">
        <v>1104</v>
      </c>
      <c r="H1063" s="22">
        <v>528</v>
      </c>
    </row>
    <row r="1064" spans="1:8" x14ac:dyDescent="0.25">
      <c r="A1064" s="75">
        <v>40639</v>
      </c>
      <c r="B1064" s="8" t="s">
        <v>311</v>
      </c>
      <c r="C1064" s="8" t="s">
        <v>308</v>
      </c>
      <c r="D1064" s="8" t="s">
        <v>312</v>
      </c>
      <c r="E1064" s="8" t="s">
        <v>341</v>
      </c>
      <c r="F1064" s="8">
        <v>58</v>
      </c>
      <c r="G1064" s="22">
        <v>1102</v>
      </c>
      <c r="H1064" s="22">
        <v>464</v>
      </c>
    </row>
    <row r="1065" spans="1:8" x14ac:dyDescent="0.25">
      <c r="A1065" s="75">
        <v>40721</v>
      </c>
      <c r="B1065" s="8" t="s">
        <v>311</v>
      </c>
      <c r="C1065" s="8" t="s">
        <v>308</v>
      </c>
      <c r="D1065" s="8" t="s">
        <v>7</v>
      </c>
      <c r="E1065" s="8" t="s">
        <v>330</v>
      </c>
      <c r="F1065" s="8">
        <v>48</v>
      </c>
      <c r="G1065" s="22">
        <v>912</v>
      </c>
      <c r="H1065" s="22">
        <v>384</v>
      </c>
    </row>
    <row r="1066" spans="1:8" x14ac:dyDescent="0.25">
      <c r="A1066" s="75">
        <v>40695</v>
      </c>
      <c r="B1066" s="8" t="s">
        <v>317</v>
      </c>
      <c r="C1066" s="8" t="s">
        <v>310</v>
      </c>
      <c r="D1066" s="8" t="s">
        <v>312</v>
      </c>
      <c r="E1066" s="8" t="s">
        <v>323</v>
      </c>
      <c r="F1066" s="8">
        <v>17</v>
      </c>
      <c r="G1066" s="22">
        <v>357</v>
      </c>
      <c r="H1066" s="22">
        <v>157.25</v>
      </c>
    </row>
    <row r="1067" spans="1:8" x14ac:dyDescent="0.25">
      <c r="A1067" s="75">
        <v>40608</v>
      </c>
      <c r="B1067" s="8" t="s">
        <v>321</v>
      </c>
      <c r="C1067" s="8" t="s">
        <v>310</v>
      </c>
      <c r="D1067" s="8" t="s">
        <v>132</v>
      </c>
      <c r="E1067" s="8" t="s">
        <v>347</v>
      </c>
      <c r="F1067" s="8">
        <v>18</v>
      </c>
      <c r="G1067" s="22">
        <v>396</v>
      </c>
      <c r="H1067" s="22">
        <v>180</v>
      </c>
    </row>
    <row r="1068" spans="1:8" x14ac:dyDescent="0.25">
      <c r="A1068" s="75">
        <v>40562</v>
      </c>
      <c r="B1068" s="8" t="s">
        <v>315</v>
      </c>
      <c r="C1068" s="8" t="s">
        <v>307</v>
      </c>
      <c r="D1068" s="8" t="s">
        <v>7</v>
      </c>
      <c r="E1068" s="8" t="s">
        <v>339</v>
      </c>
      <c r="F1068" s="8">
        <v>10</v>
      </c>
      <c r="G1068" s="22">
        <v>230</v>
      </c>
      <c r="H1068" s="22">
        <v>110</v>
      </c>
    </row>
    <row r="1069" spans="1:8" x14ac:dyDescent="0.25">
      <c r="A1069" s="75">
        <v>40565</v>
      </c>
      <c r="B1069" s="8" t="s">
        <v>317</v>
      </c>
      <c r="C1069" s="8" t="s">
        <v>309</v>
      </c>
      <c r="D1069" s="8" t="s">
        <v>136</v>
      </c>
      <c r="E1069" s="8" t="s">
        <v>335</v>
      </c>
      <c r="F1069" s="8">
        <v>11</v>
      </c>
      <c r="G1069" s="22">
        <v>231</v>
      </c>
      <c r="H1069" s="22">
        <v>101.75</v>
      </c>
    </row>
    <row r="1070" spans="1:8" x14ac:dyDescent="0.25">
      <c r="A1070" s="75">
        <v>40591</v>
      </c>
      <c r="B1070" s="8" t="s">
        <v>311</v>
      </c>
      <c r="C1070" s="8" t="s">
        <v>307</v>
      </c>
      <c r="D1070" s="8" t="s">
        <v>136</v>
      </c>
      <c r="E1070" s="8" t="s">
        <v>323</v>
      </c>
      <c r="F1070" s="8">
        <v>47</v>
      </c>
      <c r="G1070" s="22">
        <v>893</v>
      </c>
      <c r="H1070" s="22">
        <v>376</v>
      </c>
    </row>
    <row r="1071" spans="1:8" x14ac:dyDescent="0.25">
      <c r="A1071" s="75">
        <v>40712</v>
      </c>
      <c r="B1071" s="8" t="s">
        <v>319</v>
      </c>
      <c r="C1071" s="8" t="s">
        <v>310</v>
      </c>
      <c r="D1071" s="8" t="s">
        <v>312</v>
      </c>
      <c r="E1071" s="8" t="s">
        <v>324</v>
      </c>
      <c r="F1071" s="8">
        <v>58</v>
      </c>
      <c r="G1071" s="22">
        <v>1566</v>
      </c>
      <c r="H1071" s="22">
        <v>841</v>
      </c>
    </row>
    <row r="1072" spans="1:8" x14ac:dyDescent="0.25">
      <c r="A1072" s="75">
        <v>40633</v>
      </c>
      <c r="B1072" s="8" t="s">
        <v>311</v>
      </c>
      <c r="C1072" s="8" t="s">
        <v>308</v>
      </c>
      <c r="D1072" s="8" t="s">
        <v>328</v>
      </c>
      <c r="E1072" s="8" t="s">
        <v>329</v>
      </c>
      <c r="F1072" s="8">
        <v>27</v>
      </c>
      <c r="G1072" s="22">
        <v>513</v>
      </c>
      <c r="H1072" s="22">
        <v>216</v>
      </c>
    </row>
    <row r="1073" spans="1:8" x14ac:dyDescent="0.25">
      <c r="A1073" s="75">
        <v>40580</v>
      </c>
      <c r="B1073" s="8" t="s">
        <v>317</v>
      </c>
      <c r="C1073" s="8" t="s">
        <v>310</v>
      </c>
      <c r="D1073" s="8" t="s">
        <v>328</v>
      </c>
      <c r="E1073" s="8" t="s">
        <v>432</v>
      </c>
      <c r="F1073" s="8">
        <v>56</v>
      </c>
      <c r="G1073" s="22">
        <v>1176</v>
      </c>
      <c r="H1073" s="22">
        <v>518</v>
      </c>
    </row>
    <row r="1074" spans="1:8" x14ac:dyDescent="0.25">
      <c r="A1074" s="75">
        <v>40689</v>
      </c>
      <c r="B1074" s="8" t="s">
        <v>317</v>
      </c>
      <c r="C1074" s="8" t="s">
        <v>307</v>
      </c>
      <c r="D1074" s="8" t="s">
        <v>7</v>
      </c>
      <c r="E1074" s="8" t="s">
        <v>320</v>
      </c>
      <c r="F1074" s="8">
        <v>6</v>
      </c>
      <c r="G1074" s="22">
        <v>126</v>
      </c>
      <c r="H1074" s="22">
        <v>55.5</v>
      </c>
    </row>
    <row r="1075" spans="1:8" x14ac:dyDescent="0.25">
      <c r="A1075" s="75">
        <v>40617</v>
      </c>
      <c r="B1075" s="8" t="s">
        <v>321</v>
      </c>
      <c r="C1075" s="8" t="s">
        <v>309</v>
      </c>
      <c r="D1075" s="8" t="s">
        <v>328</v>
      </c>
      <c r="E1075" s="8" t="s">
        <v>322</v>
      </c>
      <c r="F1075" s="8">
        <v>27</v>
      </c>
      <c r="G1075" s="22">
        <v>594</v>
      </c>
      <c r="H1075" s="22">
        <v>270</v>
      </c>
    </row>
    <row r="1076" spans="1:8" x14ac:dyDescent="0.25">
      <c r="A1076" s="75">
        <v>40719</v>
      </c>
      <c r="B1076" s="8" t="s">
        <v>315</v>
      </c>
      <c r="C1076" s="8" t="s">
        <v>309</v>
      </c>
      <c r="D1076" s="8" t="s">
        <v>3</v>
      </c>
      <c r="E1076" s="8" t="s">
        <v>336</v>
      </c>
      <c r="F1076" s="8">
        <v>45</v>
      </c>
      <c r="G1076" s="22">
        <v>1035</v>
      </c>
      <c r="H1076" s="22">
        <v>495</v>
      </c>
    </row>
    <row r="1077" spans="1:8" x14ac:dyDescent="0.25">
      <c r="A1077" s="75">
        <v>40709</v>
      </c>
      <c r="B1077" s="8" t="s">
        <v>321</v>
      </c>
      <c r="C1077" s="8" t="s">
        <v>310</v>
      </c>
      <c r="D1077" s="8" t="s">
        <v>7</v>
      </c>
      <c r="E1077" s="8" t="s">
        <v>322</v>
      </c>
      <c r="F1077" s="8">
        <v>43</v>
      </c>
      <c r="G1077" s="22">
        <v>946</v>
      </c>
      <c r="H1077" s="22">
        <v>430</v>
      </c>
    </row>
    <row r="1078" spans="1:8" x14ac:dyDescent="0.25">
      <c r="A1078" s="75">
        <v>40648</v>
      </c>
      <c r="B1078" s="8" t="s">
        <v>317</v>
      </c>
      <c r="C1078" s="8" t="s">
        <v>307</v>
      </c>
      <c r="D1078" s="8" t="s">
        <v>7</v>
      </c>
      <c r="E1078" s="8" t="s">
        <v>323</v>
      </c>
      <c r="F1078" s="8">
        <v>12</v>
      </c>
      <c r="G1078" s="22">
        <v>252</v>
      </c>
      <c r="H1078" s="22">
        <v>111</v>
      </c>
    </row>
    <row r="1079" spans="1:8" x14ac:dyDescent="0.25">
      <c r="A1079" s="75">
        <v>40650</v>
      </c>
      <c r="B1079" s="8" t="s">
        <v>321</v>
      </c>
      <c r="C1079" s="8" t="s">
        <v>309</v>
      </c>
      <c r="D1079" s="8" t="s">
        <v>132</v>
      </c>
      <c r="E1079" s="8" t="s">
        <v>432</v>
      </c>
      <c r="F1079" s="8">
        <v>49</v>
      </c>
      <c r="G1079" s="22">
        <v>1078</v>
      </c>
      <c r="H1079" s="22">
        <v>490</v>
      </c>
    </row>
    <row r="1080" spans="1:8" x14ac:dyDescent="0.25">
      <c r="A1080" s="75">
        <v>40553</v>
      </c>
      <c r="B1080" s="8" t="s">
        <v>321</v>
      </c>
      <c r="C1080" s="8" t="s">
        <v>310</v>
      </c>
      <c r="D1080" s="8" t="s">
        <v>3</v>
      </c>
      <c r="E1080" s="8" t="s">
        <v>428</v>
      </c>
      <c r="F1080" s="8">
        <v>28</v>
      </c>
      <c r="G1080" s="22">
        <v>616</v>
      </c>
      <c r="H1080" s="22">
        <v>280</v>
      </c>
    </row>
    <row r="1081" spans="1:8" x14ac:dyDescent="0.25">
      <c r="A1081" s="75">
        <v>40636</v>
      </c>
      <c r="B1081" s="8" t="s">
        <v>321</v>
      </c>
      <c r="C1081" s="8" t="s">
        <v>307</v>
      </c>
      <c r="D1081" s="8" t="s">
        <v>312</v>
      </c>
      <c r="E1081" s="8" t="s">
        <v>329</v>
      </c>
      <c r="F1081" s="8">
        <v>28</v>
      </c>
      <c r="G1081" s="22">
        <v>616</v>
      </c>
      <c r="H1081" s="22">
        <v>280</v>
      </c>
    </row>
    <row r="1082" spans="1:8" x14ac:dyDescent="0.25">
      <c r="A1082" s="75">
        <v>40664</v>
      </c>
      <c r="B1082" s="8" t="s">
        <v>321</v>
      </c>
      <c r="C1082" s="8" t="s">
        <v>310</v>
      </c>
      <c r="D1082" s="8" t="s">
        <v>132</v>
      </c>
      <c r="E1082" s="8" t="s">
        <v>340</v>
      </c>
      <c r="F1082" s="8">
        <v>9</v>
      </c>
      <c r="G1082" s="22">
        <v>198</v>
      </c>
      <c r="H1082" s="22">
        <v>90</v>
      </c>
    </row>
    <row r="1083" spans="1:8" x14ac:dyDescent="0.25">
      <c r="A1083" s="75">
        <v>40672</v>
      </c>
      <c r="B1083" s="8" t="s">
        <v>317</v>
      </c>
      <c r="C1083" s="8" t="s">
        <v>308</v>
      </c>
      <c r="D1083" s="8" t="s">
        <v>312</v>
      </c>
      <c r="E1083" s="8" t="s">
        <v>320</v>
      </c>
      <c r="F1083" s="8">
        <v>30</v>
      </c>
      <c r="G1083" s="22">
        <v>630</v>
      </c>
      <c r="H1083" s="22">
        <v>277.5</v>
      </c>
    </row>
    <row r="1084" spans="1:8" x14ac:dyDescent="0.25">
      <c r="A1084" s="75">
        <v>40643</v>
      </c>
      <c r="B1084" s="8" t="s">
        <v>311</v>
      </c>
      <c r="C1084" s="8" t="s">
        <v>310</v>
      </c>
      <c r="D1084" s="8" t="s">
        <v>328</v>
      </c>
      <c r="E1084" s="8" t="s">
        <v>345</v>
      </c>
      <c r="F1084" s="8">
        <v>11</v>
      </c>
      <c r="G1084" s="22">
        <v>209</v>
      </c>
      <c r="H1084" s="22">
        <v>88</v>
      </c>
    </row>
    <row r="1085" spans="1:8" x14ac:dyDescent="0.25">
      <c r="A1085" s="75">
        <v>40598</v>
      </c>
      <c r="B1085" s="8" t="s">
        <v>311</v>
      </c>
      <c r="C1085" s="8" t="s">
        <v>308</v>
      </c>
      <c r="D1085" s="8" t="s">
        <v>3</v>
      </c>
      <c r="E1085" s="8" t="s">
        <v>337</v>
      </c>
      <c r="F1085" s="8">
        <v>64</v>
      </c>
      <c r="G1085" s="22">
        <v>1216</v>
      </c>
      <c r="H1085" s="22">
        <v>512</v>
      </c>
    </row>
    <row r="1086" spans="1:8" x14ac:dyDescent="0.25">
      <c r="A1086" s="75">
        <v>40646</v>
      </c>
      <c r="B1086" s="8" t="s">
        <v>321</v>
      </c>
      <c r="C1086" s="8" t="s">
        <v>307</v>
      </c>
      <c r="D1086" s="8" t="s">
        <v>136</v>
      </c>
      <c r="E1086" s="8" t="s">
        <v>343</v>
      </c>
      <c r="F1086" s="8">
        <v>39</v>
      </c>
      <c r="G1086" s="22">
        <v>858</v>
      </c>
      <c r="H1086" s="22">
        <v>390</v>
      </c>
    </row>
    <row r="1087" spans="1:8" x14ac:dyDescent="0.25">
      <c r="A1087" s="75">
        <v>40610</v>
      </c>
      <c r="B1087" s="8" t="s">
        <v>317</v>
      </c>
      <c r="C1087" s="8" t="s">
        <v>307</v>
      </c>
      <c r="D1087" s="8" t="s">
        <v>328</v>
      </c>
      <c r="E1087" s="8" t="s">
        <v>345</v>
      </c>
      <c r="F1087" s="8">
        <v>11</v>
      </c>
      <c r="G1087" s="22">
        <v>231</v>
      </c>
      <c r="H1087" s="22">
        <v>101.75</v>
      </c>
    </row>
    <row r="1088" spans="1:8" x14ac:dyDescent="0.25">
      <c r="A1088" s="75">
        <v>40658</v>
      </c>
      <c r="B1088" s="8" t="s">
        <v>321</v>
      </c>
      <c r="C1088" s="8" t="s">
        <v>310</v>
      </c>
      <c r="D1088" s="8" t="s">
        <v>7</v>
      </c>
      <c r="E1088" s="8" t="s">
        <v>329</v>
      </c>
      <c r="F1088" s="8">
        <v>51</v>
      </c>
      <c r="G1088" s="22">
        <v>1122</v>
      </c>
      <c r="H1088" s="22">
        <v>510</v>
      </c>
    </row>
    <row r="1089" spans="1:8" x14ac:dyDescent="0.25">
      <c r="A1089" s="75">
        <v>40683</v>
      </c>
      <c r="B1089" s="8" t="s">
        <v>317</v>
      </c>
      <c r="C1089" s="8" t="s">
        <v>307</v>
      </c>
      <c r="D1089" s="8" t="s">
        <v>312</v>
      </c>
      <c r="E1089" s="8" t="s">
        <v>428</v>
      </c>
      <c r="F1089" s="8">
        <v>18</v>
      </c>
      <c r="G1089" s="22">
        <v>378</v>
      </c>
      <c r="H1089" s="22">
        <v>166.5</v>
      </c>
    </row>
    <row r="1090" spans="1:8" x14ac:dyDescent="0.25">
      <c r="A1090" s="75">
        <v>40663</v>
      </c>
      <c r="B1090" s="8" t="s">
        <v>311</v>
      </c>
      <c r="C1090" s="8" t="s">
        <v>309</v>
      </c>
      <c r="D1090" s="8" t="s">
        <v>136</v>
      </c>
      <c r="E1090" s="8" t="s">
        <v>345</v>
      </c>
      <c r="F1090" s="8">
        <v>52</v>
      </c>
      <c r="G1090" s="22">
        <v>988</v>
      </c>
      <c r="H1090" s="22">
        <v>416</v>
      </c>
    </row>
    <row r="1091" spans="1:8" x14ac:dyDescent="0.25">
      <c r="A1091" s="75">
        <v>40662</v>
      </c>
      <c r="B1091" s="8" t="s">
        <v>315</v>
      </c>
      <c r="C1091" s="8" t="s">
        <v>310</v>
      </c>
      <c r="D1091" s="8" t="s">
        <v>3</v>
      </c>
      <c r="E1091" s="8" t="s">
        <v>343</v>
      </c>
      <c r="F1091" s="8">
        <v>24</v>
      </c>
      <c r="G1091" s="22">
        <v>552</v>
      </c>
      <c r="H1091" s="22">
        <v>264</v>
      </c>
    </row>
    <row r="1092" spans="1:8" x14ac:dyDescent="0.25">
      <c r="A1092" s="75">
        <v>40700</v>
      </c>
      <c r="B1092" s="8" t="s">
        <v>317</v>
      </c>
      <c r="C1092" s="8" t="s">
        <v>309</v>
      </c>
      <c r="D1092" s="8" t="s">
        <v>328</v>
      </c>
      <c r="E1092" s="8" t="s">
        <v>429</v>
      </c>
      <c r="F1092" s="8">
        <v>20</v>
      </c>
      <c r="G1092" s="22">
        <v>420</v>
      </c>
      <c r="H1092" s="22">
        <v>185</v>
      </c>
    </row>
    <row r="1093" spans="1:8" x14ac:dyDescent="0.25">
      <c r="A1093" s="75">
        <v>40582</v>
      </c>
      <c r="B1093" s="8" t="s">
        <v>311</v>
      </c>
      <c r="C1093" s="8" t="s">
        <v>307</v>
      </c>
      <c r="D1093" s="8" t="s">
        <v>136</v>
      </c>
      <c r="E1093" s="8" t="s">
        <v>344</v>
      </c>
      <c r="F1093" s="8">
        <v>26</v>
      </c>
      <c r="G1093" s="22">
        <v>494</v>
      </c>
      <c r="H1093" s="22">
        <v>208</v>
      </c>
    </row>
    <row r="1094" spans="1:8" x14ac:dyDescent="0.25">
      <c r="A1094" s="75">
        <v>40568</v>
      </c>
      <c r="B1094" s="8" t="s">
        <v>319</v>
      </c>
      <c r="C1094" s="8" t="s">
        <v>308</v>
      </c>
      <c r="D1094" s="8" t="s">
        <v>132</v>
      </c>
      <c r="E1094" s="8" t="s">
        <v>331</v>
      </c>
      <c r="F1094" s="8">
        <v>28</v>
      </c>
      <c r="G1094" s="22">
        <v>756</v>
      </c>
      <c r="H1094" s="22">
        <v>406</v>
      </c>
    </row>
    <row r="1095" spans="1:8" x14ac:dyDescent="0.25">
      <c r="A1095" s="75">
        <v>40643</v>
      </c>
      <c r="B1095" s="8" t="s">
        <v>311</v>
      </c>
      <c r="C1095" s="8" t="s">
        <v>310</v>
      </c>
      <c r="D1095" s="8" t="s">
        <v>132</v>
      </c>
      <c r="E1095" s="8" t="s">
        <v>313</v>
      </c>
      <c r="F1095" s="8">
        <v>28</v>
      </c>
      <c r="G1095" s="22">
        <v>532</v>
      </c>
      <c r="H1095" s="22">
        <v>224</v>
      </c>
    </row>
    <row r="1096" spans="1:8" x14ac:dyDescent="0.25">
      <c r="A1096" s="75">
        <v>40699</v>
      </c>
      <c r="B1096" s="8" t="s">
        <v>317</v>
      </c>
      <c r="C1096" s="8" t="s">
        <v>310</v>
      </c>
      <c r="D1096" s="8" t="s">
        <v>136</v>
      </c>
      <c r="E1096" s="8" t="s">
        <v>325</v>
      </c>
      <c r="F1096" s="8">
        <v>29</v>
      </c>
      <c r="G1096" s="22">
        <v>609</v>
      </c>
      <c r="H1096" s="22">
        <v>268.25</v>
      </c>
    </row>
    <row r="1097" spans="1:8" x14ac:dyDescent="0.25">
      <c r="A1097" s="75">
        <v>40705</v>
      </c>
      <c r="B1097" s="8" t="s">
        <v>311</v>
      </c>
      <c r="C1097" s="8" t="s">
        <v>309</v>
      </c>
      <c r="D1097" s="8" t="s">
        <v>312</v>
      </c>
      <c r="E1097" s="8" t="s">
        <v>313</v>
      </c>
      <c r="F1097" s="8">
        <v>11</v>
      </c>
      <c r="G1097" s="22">
        <v>209</v>
      </c>
      <c r="H1097" s="22">
        <v>88</v>
      </c>
    </row>
    <row r="1098" spans="1:8" x14ac:dyDescent="0.25">
      <c r="A1098" s="75">
        <v>40629</v>
      </c>
      <c r="B1098" s="8" t="s">
        <v>321</v>
      </c>
      <c r="C1098" s="8" t="s">
        <v>307</v>
      </c>
      <c r="D1098" s="8" t="s">
        <v>132</v>
      </c>
      <c r="E1098" s="8" t="s">
        <v>347</v>
      </c>
      <c r="F1098" s="8">
        <v>11</v>
      </c>
      <c r="G1098" s="22">
        <v>242</v>
      </c>
      <c r="H1098" s="22">
        <v>110</v>
      </c>
    </row>
    <row r="1099" spans="1:8" x14ac:dyDescent="0.25">
      <c r="A1099" s="75">
        <v>40701</v>
      </c>
      <c r="B1099" s="8" t="s">
        <v>311</v>
      </c>
      <c r="C1099" s="8" t="s">
        <v>310</v>
      </c>
      <c r="D1099" s="8" t="s">
        <v>328</v>
      </c>
      <c r="E1099" s="8" t="s">
        <v>343</v>
      </c>
      <c r="F1099" s="8">
        <v>28</v>
      </c>
      <c r="G1099" s="22">
        <v>532</v>
      </c>
      <c r="H1099" s="22">
        <v>224</v>
      </c>
    </row>
    <row r="1100" spans="1:8" x14ac:dyDescent="0.25">
      <c r="A1100" s="75">
        <v>40675</v>
      </c>
      <c r="B1100" s="8" t="s">
        <v>315</v>
      </c>
      <c r="C1100" s="8" t="s">
        <v>307</v>
      </c>
      <c r="D1100" s="8" t="s">
        <v>136</v>
      </c>
      <c r="E1100" s="8" t="s">
        <v>331</v>
      </c>
      <c r="F1100" s="8">
        <v>25</v>
      </c>
      <c r="G1100" s="22">
        <v>575</v>
      </c>
      <c r="H1100" s="22">
        <v>275</v>
      </c>
    </row>
    <row r="1101" spans="1:8" x14ac:dyDescent="0.25">
      <c r="A1101" s="75">
        <v>40663</v>
      </c>
      <c r="B1101" s="8" t="s">
        <v>311</v>
      </c>
      <c r="C1101" s="8" t="s">
        <v>309</v>
      </c>
      <c r="D1101" s="8" t="s">
        <v>3</v>
      </c>
      <c r="E1101" s="8" t="s">
        <v>337</v>
      </c>
      <c r="F1101" s="8">
        <v>28</v>
      </c>
      <c r="G1101" s="22">
        <v>532</v>
      </c>
      <c r="H1101" s="22">
        <v>224</v>
      </c>
    </row>
    <row r="1102" spans="1:8" x14ac:dyDescent="0.25">
      <c r="A1102" s="75">
        <v>40682</v>
      </c>
      <c r="B1102" s="8" t="s">
        <v>315</v>
      </c>
      <c r="C1102" s="8" t="s">
        <v>310</v>
      </c>
      <c r="D1102" s="8" t="s">
        <v>3</v>
      </c>
      <c r="E1102" s="8" t="s">
        <v>322</v>
      </c>
      <c r="F1102" s="8">
        <v>42</v>
      </c>
      <c r="G1102" s="22">
        <v>966</v>
      </c>
      <c r="H1102" s="22">
        <v>462</v>
      </c>
    </row>
    <row r="1103" spans="1:8" x14ac:dyDescent="0.25">
      <c r="A1103" s="75">
        <v>40626</v>
      </c>
      <c r="B1103" s="8" t="s">
        <v>311</v>
      </c>
      <c r="C1103" s="8" t="s">
        <v>310</v>
      </c>
      <c r="D1103" s="8" t="s">
        <v>328</v>
      </c>
      <c r="E1103" s="8" t="s">
        <v>345</v>
      </c>
      <c r="F1103" s="8">
        <v>10</v>
      </c>
      <c r="G1103" s="22">
        <v>190</v>
      </c>
      <c r="H1103" s="22">
        <v>80</v>
      </c>
    </row>
    <row r="1104" spans="1:8" x14ac:dyDescent="0.25">
      <c r="A1104" s="75">
        <v>40617</v>
      </c>
      <c r="B1104" s="8" t="s">
        <v>319</v>
      </c>
      <c r="C1104" s="8" t="s">
        <v>310</v>
      </c>
      <c r="D1104" s="8" t="s">
        <v>132</v>
      </c>
      <c r="E1104" s="8" t="s">
        <v>320</v>
      </c>
      <c r="F1104" s="8">
        <v>29</v>
      </c>
      <c r="G1104" s="22">
        <v>783</v>
      </c>
      <c r="H1104" s="22">
        <v>420.5</v>
      </c>
    </row>
    <row r="1105" spans="1:8" x14ac:dyDescent="0.25">
      <c r="A1105" s="75">
        <v>40626</v>
      </c>
      <c r="B1105" s="8" t="s">
        <v>321</v>
      </c>
      <c r="C1105" s="8" t="s">
        <v>309</v>
      </c>
      <c r="D1105" s="8" t="s">
        <v>312</v>
      </c>
      <c r="E1105" s="8" t="s">
        <v>347</v>
      </c>
      <c r="F1105" s="8">
        <v>31</v>
      </c>
      <c r="G1105" s="22">
        <v>682</v>
      </c>
      <c r="H1105" s="22">
        <v>310</v>
      </c>
    </row>
    <row r="1106" spans="1:8" x14ac:dyDescent="0.25">
      <c r="A1106" s="75">
        <v>40610</v>
      </c>
      <c r="B1106" s="8" t="s">
        <v>319</v>
      </c>
      <c r="C1106" s="8" t="s">
        <v>310</v>
      </c>
      <c r="D1106" s="8" t="s">
        <v>312</v>
      </c>
      <c r="E1106" s="8" t="s">
        <v>345</v>
      </c>
      <c r="F1106" s="8">
        <v>64</v>
      </c>
      <c r="G1106" s="22">
        <v>1728</v>
      </c>
      <c r="H1106" s="22">
        <v>928</v>
      </c>
    </row>
    <row r="1107" spans="1:8" x14ac:dyDescent="0.25">
      <c r="A1107" s="75">
        <v>40665</v>
      </c>
      <c r="B1107" s="8" t="s">
        <v>315</v>
      </c>
      <c r="C1107" s="8" t="s">
        <v>309</v>
      </c>
      <c r="D1107" s="8" t="s">
        <v>328</v>
      </c>
      <c r="E1107" s="8" t="s">
        <v>343</v>
      </c>
      <c r="F1107" s="8">
        <v>46</v>
      </c>
      <c r="G1107" s="22">
        <v>1058</v>
      </c>
      <c r="H1107" s="22">
        <v>506</v>
      </c>
    </row>
    <row r="1108" spans="1:8" x14ac:dyDescent="0.25">
      <c r="A1108" s="75">
        <v>40594</v>
      </c>
      <c r="B1108" s="8" t="s">
        <v>311</v>
      </c>
      <c r="C1108" s="8" t="s">
        <v>309</v>
      </c>
      <c r="D1108" s="8" t="s">
        <v>312</v>
      </c>
      <c r="E1108" s="8" t="s">
        <v>342</v>
      </c>
      <c r="F1108" s="8">
        <v>54</v>
      </c>
      <c r="G1108" s="22">
        <v>1026</v>
      </c>
      <c r="H1108" s="22">
        <v>432</v>
      </c>
    </row>
    <row r="1109" spans="1:8" x14ac:dyDescent="0.25">
      <c r="A1109" s="75">
        <v>40716</v>
      </c>
      <c r="B1109" s="8" t="s">
        <v>311</v>
      </c>
      <c r="C1109" s="8" t="s">
        <v>309</v>
      </c>
      <c r="D1109" s="8" t="s">
        <v>136</v>
      </c>
      <c r="E1109" s="8" t="s">
        <v>348</v>
      </c>
      <c r="F1109" s="8">
        <v>6</v>
      </c>
      <c r="G1109" s="22">
        <v>114</v>
      </c>
      <c r="H1109" s="22">
        <v>48</v>
      </c>
    </row>
    <row r="1110" spans="1:8" x14ac:dyDescent="0.25">
      <c r="A1110" s="75">
        <v>40706</v>
      </c>
      <c r="B1110" s="8" t="s">
        <v>319</v>
      </c>
      <c r="C1110" s="8" t="s">
        <v>309</v>
      </c>
      <c r="D1110" s="8" t="s">
        <v>3</v>
      </c>
      <c r="E1110" s="8" t="s">
        <v>340</v>
      </c>
      <c r="F1110" s="8">
        <v>6</v>
      </c>
      <c r="G1110" s="22">
        <v>162</v>
      </c>
      <c r="H1110" s="22">
        <v>87</v>
      </c>
    </row>
    <row r="1111" spans="1:8" x14ac:dyDescent="0.25">
      <c r="A1111" s="75">
        <v>40672</v>
      </c>
      <c r="B1111" s="8" t="s">
        <v>319</v>
      </c>
      <c r="C1111" s="8" t="s">
        <v>309</v>
      </c>
      <c r="D1111" s="8" t="s">
        <v>3</v>
      </c>
      <c r="E1111" s="8" t="s">
        <v>345</v>
      </c>
      <c r="F1111" s="8">
        <v>9</v>
      </c>
      <c r="G1111" s="22">
        <v>243</v>
      </c>
      <c r="H1111" s="22">
        <v>130.5</v>
      </c>
    </row>
    <row r="1112" spans="1:8" x14ac:dyDescent="0.25">
      <c r="A1112" s="75">
        <v>40719</v>
      </c>
      <c r="B1112" s="8" t="s">
        <v>315</v>
      </c>
      <c r="C1112" s="8" t="s">
        <v>310</v>
      </c>
      <c r="D1112" s="8" t="s">
        <v>136</v>
      </c>
      <c r="E1112" s="8" t="s">
        <v>342</v>
      </c>
      <c r="F1112" s="8">
        <v>56</v>
      </c>
      <c r="G1112" s="22">
        <v>1288</v>
      </c>
      <c r="H1112" s="22">
        <v>616</v>
      </c>
    </row>
    <row r="1113" spans="1:8" x14ac:dyDescent="0.25">
      <c r="A1113" s="75">
        <v>40692</v>
      </c>
      <c r="B1113" s="8" t="s">
        <v>317</v>
      </c>
      <c r="C1113" s="8" t="s">
        <v>307</v>
      </c>
      <c r="D1113" s="8" t="s">
        <v>7</v>
      </c>
      <c r="E1113" s="8" t="s">
        <v>347</v>
      </c>
      <c r="F1113" s="8">
        <v>45</v>
      </c>
      <c r="G1113" s="22">
        <v>945</v>
      </c>
      <c r="H1113" s="22">
        <v>416.25</v>
      </c>
    </row>
    <row r="1114" spans="1:8" x14ac:dyDescent="0.25">
      <c r="A1114" s="75">
        <v>40624</v>
      </c>
      <c r="B1114" s="8" t="s">
        <v>311</v>
      </c>
      <c r="C1114" s="8" t="s">
        <v>310</v>
      </c>
      <c r="D1114" s="8" t="s">
        <v>136</v>
      </c>
      <c r="E1114" s="8" t="s">
        <v>348</v>
      </c>
      <c r="F1114" s="8">
        <v>50</v>
      </c>
      <c r="G1114" s="22">
        <v>950</v>
      </c>
      <c r="H1114" s="22">
        <v>400</v>
      </c>
    </row>
    <row r="1115" spans="1:8" x14ac:dyDescent="0.25">
      <c r="A1115" s="75">
        <v>40619</v>
      </c>
      <c r="B1115" s="8" t="s">
        <v>311</v>
      </c>
      <c r="C1115" s="8" t="s">
        <v>308</v>
      </c>
      <c r="D1115" s="8" t="s">
        <v>3</v>
      </c>
      <c r="E1115" s="8" t="s">
        <v>333</v>
      </c>
      <c r="F1115" s="8">
        <v>21</v>
      </c>
      <c r="G1115" s="22">
        <v>399</v>
      </c>
      <c r="H1115" s="22">
        <v>168</v>
      </c>
    </row>
    <row r="1116" spans="1:8" x14ac:dyDescent="0.25">
      <c r="A1116" s="75">
        <v>40640</v>
      </c>
      <c r="B1116" s="8" t="s">
        <v>315</v>
      </c>
      <c r="C1116" s="8" t="s">
        <v>307</v>
      </c>
      <c r="D1116" s="8" t="s">
        <v>328</v>
      </c>
      <c r="E1116" s="8" t="s">
        <v>334</v>
      </c>
      <c r="F1116" s="8">
        <v>59</v>
      </c>
      <c r="G1116" s="22">
        <v>1357</v>
      </c>
      <c r="H1116" s="22">
        <v>649</v>
      </c>
    </row>
    <row r="1117" spans="1:8" x14ac:dyDescent="0.25">
      <c r="A1117" s="75">
        <v>40650</v>
      </c>
      <c r="B1117" s="8" t="s">
        <v>311</v>
      </c>
      <c r="C1117" s="8" t="s">
        <v>309</v>
      </c>
      <c r="D1117" s="8" t="s">
        <v>3</v>
      </c>
      <c r="E1117" s="8" t="s">
        <v>322</v>
      </c>
      <c r="F1117" s="8">
        <v>15</v>
      </c>
      <c r="G1117" s="22">
        <v>285</v>
      </c>
      <c r="H1117" s="22">
        <v>120</v>
      </c>
    </row>
    <row r="1118" spans="1:8" x14ac:dyDescent="0.25">
      <c r="A1118" s="75">
        <v>40565</v>
      </c>
      <c r="B1118" s="8" t="s">
        <v>315</v>
      </c>
      <c r="C1118" s="8" t="s">
        <v>309</v>
      </c>
      <c r="D1118" s="8" t="s">
        <v>136</v>
      </c>
      <c r="E1118" s="8" t="s">
        <v>346</v>
      </c>
      <c r="F1118" s="8">
        <v>17</v>
      </c>
      <c r="G1118" s="22">
        <v>391</v>
      </c>
      <c r="H1118" s="22">
        <v>187</v>
      </c>
    </row>
    <row r="1119" spans="1:8" x14ac:dyDescent="0.25">
      <c r="A1119" s="75">
        <v>40656</v>
      </c>
      <c r="B1119" s="8" t="s">
        <v>315</v>
      </c>
      <c r="C1119" s="8" t="s">
        <v>309</v>
      </c>
      <c r="D1119" s="8" t="s">
        <v>328</v>
      </c>
      <c r="E1119" s="8" t="s">
        <v>340</v>
      </c>
      <c r="F1119" s="8">
        <v>44</v>
      </c>
      <c r="G1119" s="22">
        <v>1012</v>
      </c>
      <c r="H1119" s="22">
        <v>484</v>
      </c>
    </row>
    <row r="1120" spans="1:8" x14ac:dyDescent="0.25">
      <c r="A1120" s="75">
        <v>40718</v>
      </c>
      <c r="B1120" s="8" t="s">
        <v>317</v>
      </c>
      <c r="C1120" s="8" t="s">
        <v>309</v>
      </c>
      <c r="D1120" s="8" t="s">
        <v>136</v>
      </c>
      <c r="E1120" s="8" t="s">
        <v>324</v>
      </c>
      <c r="F1120" s="8">
        <v>58</v>
      </c>
      <c r="G1120" s="22">
        <v>1218</v>
      </c>
      <c r="H1120" s="22">
        <v>536.5</v>
      </c>
    </row>
    <row r="1121" spans="1:8" x14ac:dyDescent="0.25">
      <c r="A1121" s="75">
        <v>40588</v>
      </c>
      <c r="B1121" s="8" t="s">
        <v>321</v>
      </c>
      <c r="C1121" s="8" t="s">
        <v>307</v>
      </c>
      <c r="D1121" s="8" t="s">
        <v>328</v>
      </c>
      <c r="E1121" s="8" t="s">
        <v>429</v>
      </c>
      <c r="F1121" s="8">
        <v>27</v>
      </c>
      <c r="G1121" s="22">
        <v>594</v>
      </c>
      <c r="H1121" s="22">
        <v>270</v>
      </c>
    </row>
    <row r="1122" spans="1:8" x14ac:dyDescent="0.25">
      <c r="A1122" s="75">
        <v>40553</v>
      </c>
      <c r="B1122" s="8" t="s">
        <v>319</v>
      </c>
      <c r="C1122" s="8" t="s">
        <v>308</v>
      </c>
      <c r="D1122" s="8" t="s">
        <v>3</v>
      </c>
      <c r="E1122" s="8" t="s">
        <v>322</v>
      </c>
      <c r="F1122" s="8">
        <v>11</v>
      </c>
      <c r="G1122" s="22">
        <v>297</v>
      </c>
      <c r="H1122" s="22">
        <v>159.5</v>
      </c>
    </row>
    <row r="1123" spans="1:8" x14ac:dyDescent="0.25">
      <c r="A1123" s="75">
        <v>40707</v>
      </c>
      <c r="B1123" s="8" t="s">
        <v>321</v>
      </c>
      <c r="C1123" s="8" t="s">
        <v>310</v>
      </c>
      <c r="D1123" s="8" t="s">
        <v>3</v>
      </c>
      <c r="E1123" s="8" t="s">
        <v>322</v>
      </c>
      <c r="F1123" s="8">
        <v>41</v>
      </c>
      <c r="G1123" s="22">
        <v>902</v>
      </c>
      <c r="H1123" s="22">
        <v>410</v>
      </c>
    </row>
    <row r="1124" spans="1:8" x14ac:dyDescent="0.25">
      <c r="A1124" s="75">
        <v>40546</v>
      </c>
      <c r="B1124" s="8" t="s">
        <v>315</v>
      </c>
      <c r="C1124" s="8" t="s">
        <v>308</v>
      </c>
      <c r="D1124" s="8" t="s">
        <v>3</v>
      </c>
      <c r="E1124" s="8" t="s">
        <v>323</v>
      </c>
      <c r="F1124" s="8">
        <v>10</v>
      </c>
      <c r="G1124" s="22">
        <v>230</v>
      </c>
      <c r="H1124" s="22">
        <v>110</v>
      </c>
    </row>
    <row r="1125" spans="1:8" x14ac:dyDescent="0.25">
      <c r="A1125" s="75">
        <v>40599</v>
      </c>
      <c r="B1125" s="8" t="s">
        <v>321</v>
      </c>
      <c r="C1125" s="8" t="s">
        <v>310</v>
      </c>
      <c r="D1125" s="8" t="s">
        <v>136</v>
      </c>
      <c r="E1125" s="8" t="s">
        <v>329</v>
      </c>
      <c r="F1125" s="8">
        <v>49</v>
      </c>
      <c r="G1125" s="22">
        <v>1078</v>
      </c>
      <c r="H1125" s="22">
        <v>490</v>
      </c>
    </row>
    <row r="1126" spans="1:8" x14ac:dyDescent="0.25">
      <c r="A1126" s="75">
        <v>40657</v>
      </c>
      <c r="B1126" s="8" t="s">
        <v>317</v>
      </c>
      <c r="C1126" s="8" t="s">
        <v>307</v>
      </c>
      <c r="D1126" s="8" t="s">
        <v>312</v>
      </c>
      <c r="E1126" s="8" t="s">
        <v>322</v>
      </c>
      <c r="F1126" s="8">
        <v>57</v>
      </c>
      <c r="G1126" s="22">
        <v>1197</v>
      </c>
      <c r="H1126" s="22">
        <v>527.25</v>
      </c>
    </row>
    <row r="1127" spans="1:8" x14ac:dyDescent="0.25">
      <c r="A1127" s="75">
        <v>40683</v>
      </c>
      <c r="B1127" s="8" t="s">
        <v>317</v>
      </c>
      <c r="C1127" s="8" t="s">
        <v>310</v>
      </c>
      <c r="D1127" s="8" t="s">
        <v>328</v>
      </c>
      <c r="E1127" s="8" t="s">
        <v>336</v>
      </c>
      <c r="F1127" s="8">
        <v>40</v>
      </c>
      <c r="G1127" s="22">
        <v>840</v>
      </c>
      <c r="H1127" s="22">
        <v>370</v>
      </c>
    </row>
    <row r="1128" spans="1:8" x14ac:dyDescent="0.25">
      <c r="A1128" s="75">
        <v>40637</v>
      </c>
      <c r="B1128" s="8" t="s">
        <v>317</v>
      </c>
      <c r="C1128" s="8" t="s">
        <v>307</v>
      </c>
      <c r="D1128" s="8" t="s">
        <v>132</v>
      </c>
      <c r="E1128" s="8" t="s">
        <v>432</v>
      </c>
      <c r="F1128" s="8">
        <v>58</v>
      </c>
      <c r="G1128" s="22">
        <v>1218</v>
      </c>
      <c r="H1128" s="22">
        <v>536.5</v>
      </c>
    </row>
    <row r="1129" spans="1:8" x14ac:dyDescent="0.25">
      <c r="A1129" s="75">
        <v>40683</v>
      </c>
      <c r="B1129" s="8" t="s">
        <v>317</v>
      </c>
      <c r="C1129" s="8" t="s">
        <v>308</v>
      </c>
      <c r="D1129" s="8" t="s">
        <v>132</v>
      </c>
      <c r="E1129" s="8" t="s">
        <v>330</v>
      </c>
      <c r="F1129" s="8">
        <v>48</v>
      </c>
      <c r="G1129" s="22">
        <v>1008</v>
      </c>
      <c r="H1129" s="22">
        <v>444</v>
      </c>
    </row>
    <row r="1130" spans="1:8" x14ac:dyDescent="0.25">
      <c r="A1130" s="75">
        <v>40682</v>
      </c>
      <c r="B1130" s="8" t="s">
        <v>319</v>
      </c>
      <c r="C1130" s="8" t="s">
        <v>310</v>
      </c>
      <c r="D1130" s="8" t="s">
        <v>132</v>
      </c>
      <c r="E1130" s="8" t="s">
        <v>326</v>
      </c>
      <c r="F1130" s="8">
        <v>25</v>
      </c>
      <c r="G1130" s="22">
        <v>675</v>
      </c>
      <c r="H1130" s="22">
        <v>362.5</v>
      </c>
    </row>
    <row r="1131" spans="1:8" x14ac:dyDescent="0.25">
      <c r="A1131" s="75">
        <v>40552</v>
      </c>
      <c r="B1131" s="8" t="s">
        <v>319</v>
      </c>
      <c r="C1131" s="8" t="s">
        <v>308</v>
      </c>
      <c r="D1131" s="8" t="s">
        <v>328</v>
      </c>
      <c r="E1131" s="8" t="s">
        <v>345</v>
      </c>
      <c r="F1131" s="8">
        <v>10</v>
      </c>
      <c r="G1131" s="22">
        <v>270</v>
      </c>
      <c r="H1131" s="22">
        <v>145</v>
      </c>
    </row>
    <row r="1132" spans="1:8" x14ac:dyDescent="0.25">
      <c r="A1132" s="75">
        <v>40638</v>
      </c>
      <c r="B1132" s="8" t="s">
        <v>319</v>
      </c>
      <c r="C1132" s="8" t="s">
        <v>308</v>
      </c>
      <c r="D1132" s="8" t="s">
        <v>3</v>
      </c>
      <c r="E1132" s="8" t="s">
        <v>345</v>
      </c>
      <c r="F1132" s="8">
        <v>41</v>
      </c>
      <c r="G1132" s="22">
        <v>1107</v>
      </c>
      <c r="H1132" s="22">
        <v>594.5</v>
      </c>
    </row>
    <row r="1133" spans="1:8" x14ac:dyDescent="0.25">
      <c r="A1133" s="75">
        <v>40589</v>
      </c>
      <c r="B1133" s="8" t="s">
        <v>319</v>
      </c>
      <c r="C1133" s="8" t="s">
        <v>307</v>
      </c>
      <c r="D1133" s="8" t="s">
        <v>132</v>
      </c>
      <c r="E1133" s="8" t="s">
        <v>347</v>
      </c>
      <c r="F1133" s="8">
        <v>49</v>
      </c>
      <c r="G1133" s="22">
        <v>1323</v>
      </c>
      <c r="H1133" s="22">
        <v>710.5</v>
      </c>
    </row>
    <row r="1134" spans="1:8" x14ac:dyDescent="0.25">
      <c r="A1134" s="75">
        <v>40653</v>
      </c>
      <c r="B1134" s="8" t="s">
        <v>311</v>
      </c>
      <c r="C1134" s="8" t="s">
        <v>308</v>
      </c>
      <c r="D1134" s="8" t="s">
        <v>312</v>
      </c>
      <c r="E1134" s="8" t="s">
        <v>432</v>
      </c>
      <c r="F1134" s="8">
        <v>27</v>
      </c>
      <c r="G1134" s="22">
        <v>513</v>
      </c>
      <c r="H1134" s="22">
        <v>216</v>
      </c>
    </row>
    <row r="1135" spans="1:8" x14ac:dyDescent="0.25">
      <c r="A1135" s="75">
        <v>40552</v>
      </c>
      <c r="B1135" s="8" t="s">
        <v>315</v>
      </c>
      <c r="C1135" s="8" t="s">
        <v>309</v>
      </c>
      <c r="D1135" s="8" t="s">
        <v>328</v>
      </c>
      <c r="E1135" s="8" t="s">
        <v>335</v>
      </c>
      <c r="F1135" s="8">
        <v>60</v>
      </c>
      <c r="G1135" s="22">
        <v>1380</v>
      </c>
      <c r="H1135" s="22">
        <v>660</v>
      </c>
    </row>
    <row r="1136" spans="1:8" x14ac:dyDescent="0.25">
      <c r="A1136" s="75">
        <v>40682</v>
      </c>
      <c r="B1136" s="8" t="s">
        <v>311</v>
      </c>
      <c r="C1136" s="8" t="s">
        <v>308</v>
      </c>
      <c r="D1136" s="8" t="s">
        <v>328</v>
      </c>
      <c r="E1136" s="8" t="s">
        <v>338</v>
      </c>
      <c r="F1136" s="8">
        <v>23</v>
      </c>
      <c r="G1136" s="22">
        <v>437</v>
      </c>
      <c r="H1136" s="22">
        <v>184</v>
      </c>
    </row>
    <row r="1137" spans="1:8" x14ac:dyDescent="0.25">
      <c r="A1137" s="75">
        <v>40688</v>
      </c>
      <c r="B1137" s="8" t="s">
        <v>321</v>
      </c>
      <c r="C1137" s="8" t="s">
        <v>309</v>
      </c>
      <c r="D1137" s="8" t="s">
        <v>3</v>
      </c>
      <c r="E1137" s="8" t="s">
        <v>345</v>
      </c>
      <c r="F1137" s="8">
        <v>34</v>
      </c>
      <c r="G1137" s="22">
        <v>748</v>
      </c>
      <c r="H1137" s="22">
        <v>340</v>
      </c>
    </row>
    <row r="1138" spans="1:8" x14ac:dyDescent="0.25">
      <c r="A1138" s="75">
        <v>40597</v>
      </c>
      <c r="B1138" s="8" t="s">
        <v>317</v>
      </c>
      <c r="C1138" s="8" t="s">
        <v>308</v>
      </c>
      <c r="D1138" s="8" t="s">
        <v>3</v>
      </c>
      <c r="E1138" s="8" t="s">
        <v>320</v>
      </c>
      <c r="F1138" s="8">
        <v>30</v>
      </c>
      <c r="G1138" s="22">
        <v>630</v>
      </c>
      <c r="H1138" s="22">
        <v>277.5</v>
      </c>
    </row>
    <row r="1139" spans="1:8" x14ac:dyDescent="0.25">
      <c r="A1139" s="75">
        <v>40582</v>
      </c>
      <c r="B1139" s="8" t="s">
        <v>321</v>
      </c>
      <c r="C1139" s="8" t="s">
        <v>309</v>
      </c>
      <c r="D1139" s="8" t="s">
        <v>312</v>
      </c>
      <c r="E1139" s="8" t="s">
        <v>336</v>
      </c>
      <c r="F1139" s="8">
        <v>10</v>
      </c>
      <c r="G1139" s="22">
        <v>220</v>
      </c>
      <c r="H1139" s="22">
        <v>100</v>
      </c>
    </row>
    <row r="1140" spans="1:8" x14ac:dyDescent="0.25">
      <c r="A1140" s="75">
        <v>40632</v>
      </c>
      <c r="B1140" s="8" t="s">
        <v>319</v>
      </c>
      <c r="C1140" s="8" t="s">
        <v>309</v>
      </c>
      <c r="D1140" s="8" t="s">
        <v>312</v>
      </c>
      <c r="E1140" s="8" t="s">
        <v>339</v>
      </c>
      <c r="F1140" s="8">
        <v>52</v>
      </c>
      <c r="G1140" s="22">
        <v>1404</v>
      </c>
      <c r="H1140" s="22">
        <v>754</v>
      </c>
    </row>
    <row r="1141" spans="1:8" x14ac:dyDescent="0.25">
      <c r="A1141" s="75">
        <v>40628</v>
      </c>
      <c r="B1141" s="8" t="s">
        <v>319</v>
      </c>
      <c r="C1141" s="8" t="s">
        <v>308</v>
      </c>
      <c r="D1141" s="8" t="s">
        <v>7</v>
      </c>
      <c r="E1141" s="8" t="s">
        <v>323</v>
      </c>
      <c r="F1141" s="8">
        <v>35</v>
      </c>
      <c r="G1141" s="22">
        <v>945</v>
      </c>
      <c r="H1141" s="22">
        <v>507.5</v>
      </c>
    </row>
    <row r="1142" spans="1:8" x14ac:dyDescent="0.25">
      <c r="A1142" s="75">
        <v>40638</v>
      </c>
      <c r="B1142" s="8" t="s">
        <v>317</v>
      </c>
      <c r="C1142" s="8" t="s">
        <v>308</v>
      </c>
      <c r="D1142" s="8" t="s">
        <v>328</v>
      </c>
      <c r="E1142" s="8" t="s">
        <v>330</v>
      </c>
      <c r="F1142" s="8">
        <v>28</v>
      </c>
      <c r="G1142" s="22">
        <v>588</v>
      </c>
      <c r="H1142" s="22">
        <v>259</v>
      </c>
    </row>
    <row r="1143" spans="1:8" x14ac:dyDescent="0.25">
      <c r="A1143" s="75">
        <v>40649</v>
      </c>
      <c r="B1143" s="8" t="s">
        <v>317</v>
      </c>
      <c r="C1143" s="8" t="s">
        <v>308</v>
      </c>
      <c r="D1143" s="8" t="s">
        <v>132</v>
      </c>
      <c r="E1143" s="8" t="s">
        <v>324</v>
      </c>
      <c r="F1143" s="8">
        <v>20</v>
      </c>
      <c r="G1143" s="22">
        <v>420</v>
      </c>
      <c r="H1143" s="22">
        <v>185</v>
      </c>
    </row>
    <row r="1144" spans="1:8" x14ac:dyDescent="0.25">
      <c r="A1144" s="75">
        <v>40714</v>
      </c>
      <c r="B1144" s="8" t="s">
        <v>317</v>
      </c>
      <c r="C1144" s="8" t="s">
        <v>308</v>
      </c>
      <c r="D1144" s="8" t="s">
        <v>328</v>
      </c>
      <c r="E1144" s="8" t="s">
        <v>336</v>
      </c>
      <c r="F1144" s="8">
        <v>51</v>
      </c>
      <c r="G1144" s="22">
        <v>1071</v>
      </c>
      <c r="H1144" s="22">
        <v>471.75</v>
      </c>
    </row>
    <row r="1145" spans="1:8" x14ac:dyDescent="0.25">
      <c r="A1145" s="75">
        <v>40551</v>
      </c>
      <c r="B1145" s="8" t="s">
        <v>311</v>
      </c>
      <c r="C1145" s="8" t="s">
        <v>309</v>
      </c>
      <c r="D1145" s="8" t="s">
        <v>7</v>
      </c>
      <c r="E1145" s="8" t="s">
        <v>332</v>
      </c>
      <c r="F1145" s="8">
        <v>6</v>
      </c>
      <c r="G1145" s="22">
        <v>114</v>
      </c>
      <c r="H1145" s="22">
        <v>48</v>
      </c>
    </row>
    <row r="1146" spans="1:8" x14ac:dyDescent="0.25">
      <c r="A1146" s="75">
        <v>40714</v>
      </c>
      <c r="B1146" s="8" t="s">
        <v>317</v>
      </c>
      <c r="C1146" s="8" t="s">
        <v>309</v>
      </c>
      <c r="D1146" s="8" t="s">
        <v>328</v>
      </c>
      <c r="E1146" s="8" t="s">
        <v>337</v>
      </c>
      <c r="F1146" s="8">
        <v>22</v>
      </c>
      <c r="G1146" s="22">
        <v>462</v>
      </c>
      <c r="H1146" s="22">
        <v>203.5</v>
      </c>
    </row>
    <row r="1147" spans="1:8" x14ac:dyDescent="0.25">
      <c r="A1147" s="75">
        <v>40554</v>
      </c>
      <c r="B1147" s="8" t="s">
        <v>311</v>
      </c>
      <c r="C1147" s="8" t="s">
        <v>308</v>
      </c>
      <c r="D1147" s="8" t="s">
        <v>132</v>
      </c>
      <c r="E1147" s="8" t="s">
        <v>325</v>
      </c>
      <c r="F1147" s="8">
        <v>6</v>
      </c>
      <c r="G1147" s="22">
        <v>114</v>
      </c>
      <c r="H1147" s="22">
        <v>48</v>
      </c>
    </row>
    <row r="1148" spans="1:8" x14ac:dyDescent="0.25">
      <c r="A1148" s="75">
        <v>40650</v>
      </c>
      <c r="B1148" s="8" t="s">
        <v>317</v>
      </c>
      <c r="C1148" s="8" t="s">
        <v>307</v>
      </c>
      <c r="D1148" s="8" t="s">
        <v>132</v>
      </c>
      <c r="E1148" s="8" t="s">
        <v>322</v>
      </c>
      <c r="F1148" s="8">
        <v>9</v>
      </c>
      <c r="G1148" s="22">
        <v>189</v>
      </c>
      <c r="H1148" s="22">
        <v>83.25</v>
      </c>
    </row>
    <row r="1149" spans="1:8" x14ac:dyDescent="0.25">
      <c r="A1149" s="75">
        <v>40565</v>
      </c>
      <c r="B1149" s="8" t="s">
        <v>321</v>
      </c>
      <c r="C1149" s="8" t="s">
        <v>308</v>
      </c>
      <c r="D1149" s="8" t="s">
        <v>312</v>
      </c>
      <c r="E1149" s="8" t="s">
        <v>313</v>
      </c>
      <c r="F1149" s="8">
        <v>16</v>
      </c>
      <c r="G1149" s="22">
        <v>352</v>
      </c>
      <c r="H1149" s="22">
        <v>160</v>
      </c>
    </row>
    <row r="1150" spans="1:8" x14ac:dyDescent="0.25">
      <c r="A1150" s="75">
        <v>40570</v>
      </c>
      <c r="B1150" s="8" t="s">
        <v>311</v>
      </c>
      <c r="C1150" s="8" t="s">
        <v>308</v>
      </c>
      <c r="D1150" s="8" t="s">
        <v>312</v>
      </c>
      <c r="E1150" s="8" t="s">
        <v>326</v>
      </c>
      <c r="F1150" s="8">
        <v>9</v>
      </c>
      <c r="G1150" s="22">
        <v>171</v>
      </c>
      <c r="H1150" s="22">
        <v>72</v>
      </c>
    </row>
    <row r="1151" spans="1:8" x14ac:dyDescent="0.25">
      <c r="A1151" s="75">
        <v>40549</v>
      </c>
      <c r="B1151" s="8" t="s">
        <v>315</v>
      </c>
      <c r="C1151" s="8" t="s">
        <v>308</v>
      </c>
      <c r="D1151" s="8" t="s">
        <v>328</v>
      </c>
      <c r="E1151" s="8" t="s">
        <v>336</v>
      </c>
      <c r="F1151" s="8">
        <v>26</v>
      </c>
      <c r="G1151" s="22">
        <v>598</v>
      </c>
      <c r="H1151" s="22">
        <v>286</v>
      </c>
    </row>
    <row r="1152" spans="1:8" x14ac:dyDescent="0.25">
      <c r="A1152" s="75">
        <v>40587</v>
      </c>
      <c r="B1152" s="8" t="s">
        <v>317</v>
      </c>
      <c r="C1152" s="8" t="s">
        <v>308</v>
      </c>
      <c r="D1152" s="8" t="s">
        <v>7</v>
      </c>
      <c r="E1152" s="8" t="s">
        <v>335</v>
      </c>
      <c r="F1152" s="8">
        <v>53</v>
      </c>
      <c r="G1152" s="22">
        <v>1113</v>
      </c>
      <c r="H1152" s="22">
        <v>490.25</v>
      </c>
    </row>
    <row r="1153" spans="1:8" x14ac:dyDescent="0.25">
      <c r="A1153" s="75">
        <v>40563</v>
      </c>
      <c r="B1153" s="8" t="s">
        <v>311</v>
      </c>
      <c r="C1153" s="8" t="s">
        <v>310</v>
      </c>
      <c r="D1153" s="8" t="s">
        <v>328</v>
      </c>
      <c r="E1153" s="8" t="s">
        <v>332</v>
      </c>
      <c r="F1153" s="8">
        <v>65</v>
      </c>
      <c r="G1153" s="22">
        <v>1235</v>
      </c>
      <c r="H1153" s="22">
        <v>520</v>
      </c>
    </row>
    <row r="1154" spans="1:8" x14ac:dyDescent="0.25">
      <c r="A1154" s="75">
        <v>40714</v>
      </c>
      <c r="B1154" s="8" t="s">
        <v>315</v>
      </c>
      <c r="C1154" s="8" t="s">
        <v>307</v>
      </c>
      <c r="D1154" s="8" t="s">
        <v>7</v>
      </c>
      <c r="E1154" s="8" t="s">
        <v>318</v>
      </c>
      <c r="F1154" s="8">
        <v>60</v>
      </c>
      <c r="G1154" s="22">
        <v>1380</v>
      </c>
      <c r="H1154" s="22">
        <v>660</v>
      </c>
    </row>
    <row r="1155" spans="1:8" x14ac:dyDescent="0.25">
      <c r="A1155" s="75">
        <v>40659</v>
      </c>
      <c r="B1155" s="8" t="s">
        <v>321</v>
      </c>
      <c r="C1155" s="8" t="s">
        <v>309</v>
      </c>
      <c r="D1155" s="8" t="s">
        <v>328</v>
      </c>
      <c r="E1155" s="8" t="s">
        <v>432</v>
      </c>
      <c r="F1155" s="8">
        <v>26</v>
      </c>
      <c r="G1155" s="22">
        <v>572</v>
      </c>
      <c r="H1155" s="22">
        <v>260</v>
      </c>
    </row>
    <row r="1156" spans="1:8" x14ac:dyDescent="0.25">
      <c r="A1156" s="75">
        <v>40552</v>
      </c>
      <c r="B1156" s="8" t="s">
        <v>319</v>
      </c>
      <c r="C1156" s="8" t="s">
        <v>308</v>
      </c>
      <c r="D1156" s="8" t="s">
        <v>132</v>
      </c>
      <c r="E1156" s="8" t="s">
        <v>346</v>
      </c>
      <c r="F1156" s="8">
        <v>61</v>
      </c>
      <c r="G1156" s="22">
        <v>1647</v>
      </c>
      <c r="H1156" s="22">
        <v>884.5</v>
      </c>
    </row>
    <row r="1157" spans="1:8" x14ac:dyDescent="0.25">
      <c r="A1157" s="75">
        <v>40567</v>
      </c>
      <c r="B1157" s="8" t="s">
        <v>317</v>
      </c>
      <c r="C1157" s="8" t="s">
        <v>307</v>
      </c>
      <c r="D1157" s="8" t="s">
        <v>3</v>
      </c>
      <c r="E1157" s="8" t="s">
        <v>330</v>
      </c>
      <c r="F1157" s="8">
        <v>19</v>
      </c>
      <c r="G1157" s="22">
        <v>399</v>
      </c>
      <c r="H1157" s="22">
        <v>175.75</v>
      </c>
    </row>
    <row r="1158" spans="1:8" x14ac:dyDescent="0.25">
      <c r="A1158" s="75">
        <v>40723</v>
      </c>
      <c r="B1158" s="8" t="s">
        <v>317</v>
      </c>
      <c r="C1158" s="8" t="s">
        <v>308</v>
      </c>
      <c r="D1158" s="8" t="s">
        <v>7</v>
      </c>
      <c r="E1158" s="8" t="s">
        <v>344</v>
      </c>
      <c r="F1158" s="8">
        <v>23</v>
      </c>
      <c r="G1158" s="22">
        <v>483</v>
      </c>
      <c r="H1158" s="22">
        <v>212.75</v>
      </c>
    </row>
    <row r="1159" spans="1:8" x14ac:dyDescent="0.25">
      <c r="A1159" s="75">
        <v>40583</v>
      </c>
      <c r="B1159" s="8" t="s">
        <v>311</v>
      </c>
      <c r="C1159" s="8" t="s">
        <v>308</v>
      </c>
      <c r="D1159" s="8" t="s">
        <v>7</v>
      </c>
      <c r="E1159" s="8" t="s">
        <v>329</v>
      </c>
      <c r="F1159" s="8">
        <v>61</v>
      </c>
      <c r="G1159" s="22">
        <v>1159</v>
      </c>
      <c r="H1159" s="22">
        <v>488</v>
      </c>
    </row>
    <row r="1160" spans="1:8" x14ac:dyDescent="0.25">
      <c r="A1160" s="75">
        <v>40703</v>
      </c>
      <c r="B1160" s="8" t="s">
        <v>321</v>
      </c>
      <c r="C1160" s="8" t="s">
        <v>310</v>
      </c>
      <c r="D1160" s="8" t="s">
        <v>136</v>
      </c>
      <c r="E1160" s="8" t="s">
        <v>345</v>
      </c>
      <c r="F1160" s="8">
        <v>63</v>
      </c>
      <c r="G1160" s="22">
        <v>1386</v>
      </c>
      <c r="H1160" s="22">
        <v>630</v>
      </c>
    </row>
    <row r="1161" spans="1:8" x14ac:dyDescent="0.25">
      <c r="A1161" s="75">
        <v>40716</v>
      </c>
      <c r="B1161" s="8" t="s">
        <v>311</v>
      </c>
      <c r="C1161" s="8" t="s">
        <v>309</v>
      </c>
      <c r="D1161" s="8" t="s">
        <v>7</v>
      </c>
      <c r="E1161" s="8" t="s">
        <v>341</v>
      </c>
      <c r="F1161" s="8">
        <v>25</v>
      </c>
      <c r="G1161" s="22">
        <v>475</v>
      </c>
      <c r="H1161" s="22">
        <v>200</v>
      </c>
    </row>
    <row r="1162" spans="1:8" x14ac:dyDescent="0.25">
      <c r="A1162" s="75">
        <v>40548</v>
      </c>
      <c r="B1162" s="8" t="s">
        <v>311</v>
      </c>
      <c r="C1162" s="8" t="s">
        <v>309</v>
      </c>
      <c r="D1162" s="8" t="s">
        <v>136</v>
      </c>
      <c r="E1162" s="8" t="s">
        <v>331</v>
      </c>
      <c r="F1162" s="8">
        <v>63</v>
      </c>
      <c r="G1162" s="22">
        <v>1197</v>
      </c>
      <c r="H1162" s="22">
        <v>504</v>
      </c>
    </row>
    <row r="1163" spans="1:8" x14ac:dyDescent="0.25">
      <c r="A1163" s="75">
        <v>40676</v>
      </c>
      <c r="B1163" s="8" t="s">
        <v>311</v>
      </c>
      <c r="C1163" s="8" t="s">
        <v>308</v>
      </c>
      <c r="D1163" s="8" t="s">
        <v>7</v>
      </c>
      <c r="E1163" s="8" t="s">
        <v>347</v>
      </c>
      <c r="F1163" s="8">
        <v>29</v>
      </c>
      <c r="G1163" s="22">
        <v>551</v>
      </c>
      <c r="H1163" s="22">
        <v>232</v>
      </c>
    </row>
    <row r="1164" spans="1:8" x14ac:dyDescent="0.25">
      <c r="A1164" s="75">
        <v>40579</v>
      </c>
      <c r="B1164" s="8" t="s">
        <v>315</v>
      </c>
      <c r="C1164" s="8" t="s">
        <v>310</v>
      </c>
      <c r="D1164" s="8" t="s">
        <v>7</v>
      </c>
      <c r="E1164" s="8" t="s">
        <v>320</v>
      </c>
      <c r="F1164" s="8">
        <v>8</v>
      </c>
      <c r="G1164" s="22">
        <v>184</v>
      </c>
      <c r="H1164" s="22">
        <v>88</v>
      </c>
    </row>
    <row r="1165" spans="1:8" x14ac:dyDescent="0.25">
      <c r="A1165" s="75">
        <v>40608</v>
      </c>
      <c r="B1165" s="8" t="s">
        <v>319</v>
      </c>
      <c r="C1165" s="8" t="s">
        <v>308</v>
      </c>
      <c r="D1165" s="8" t="s">
        <v>132</v>
      </c>
      <c r="E1165" s="8" t="s">
        <v>322</v>
      </c>
      <c r="F1165" s="8">
        <v>9</v>
      </c>
      <c r="G1165" s="22">
        <v>243</v>
      </c>
      <c r="H1165" s="22">
        <v>130.5</v>
      </c>
    </row>
    <row r="1166" spans="1:8" x14ac:dyDescent="0.25">
      <c r="A1166" s="75">
        <v>40687</v>
      </c>
      <c r="B1166" s="8" t="s">
        <v>319</v>
      </c>
      <c r="C1166" s="8" t="s">
        <v>309</v>
      </c>
      <c r="D1166" s="8" t="s">
        <v>3</v>
      </c>
      <c r="E1166" s="8" t="s">
        <v>318</v>
      </c>
      <c r="F1166" s="8">
        <v>57</v>
      </c>
      <c r="G1166" s="22">
        <v>1539</v>
      </c>
      <c r="H1166" s="22">
        <v>826.5</v>
      </c>
    </row>
    <row r="1167" spans="1:8" x14ac:dyDescent="0.25">
      <c r="A1167" s="75">
        <v>40647</v>
      </c>
      <c r="B1167" s="8" t="s">
        <v>311</v>
      </c>
      <c r="C1167" s="8" t="s">
        <v>308</v>
      </c>
      <c r="D1167" s="8" t="s">
        <v>132</v>
      </c>
      <c r="E1167" s="8" t="s">
        <v>334</v>
      </c>
      <c r="F1167" s="8">
        <v>7</v>
      </c>
      <c r="G1167" s="22">
        <v>133</v>
      </c>
      <c r="H1167" s="22">
        <v>56</v>
      </c>
    </row>
    <row r="1168" spans="1:8" x14ac:dyDescent="0.25">
      <c r="A1168" s="75">
        <v>40688</v>
      </c>
      <c r="B1168" s="8" t="s">
        <v>315</v>
      </c>
      <c r="C1168" s="8" t="s">
        <v>310</v>
      </c>
      <c r="D1168" s="8" t="s">
        <v>136</v>
      </c>
      <c r="E1168" s="8" t="s">
        <v>346</v>
      </c>
      <c r="F1168" s="8">
        <v>46</v>
      </c>
      <c r="G1168" s="22">
        <v>1058</v>
      </c>
      <c r="H1168" s="22">
        <v>506</v>
      </c>
    </row>
    <row r="1169" spans="1:8" x14ac:dyDescent="0.25">
      <c r="A1169" s="75">
        <v>40556</v>
      </c>
      <c r="B1169" s="8" t="s">
        <v>317</v>
      </c>
      <c r="C1169" s="8" t="s">
        <v>307</v>
      </c>
      <c r="D1169" s="8" t="s">
        <v>328</v>
      </c>
      <c r="E1169" s="8" t="s">
        <v>332</v>
      </c>
      <c r="F1169" s="8">
        <v>41</v>
      </c>
      <c r="G1169" s="22">
        <v>861</v>
      </c>
      <c r="H1169" s="22">
        <v>379.25</v>
      </c>
    </row>
    <row r="1170" spans="1:8" x14ac:dyDescent="0.25">
      <c r="A1170" s="75">
        <v>40674</v>
      </c>
      <c r="B1170" s="8" t="s">
        <v>321</v>
      </c>
      <c r="C1170" s="8" t="s">
        <v>308</v>
      </c>
      <c r="D1170" s="8" t="s">
        <v>328</v>
      </c>
      <c r="E1170" s="8" t="s">
        <v>337</v>
      </c>
      <c r="F1170" s="8">
        <v>12</v>
      </c>
      <c r="G1170" s="22">
        <v>264</v>
      </c>
      <c r="H1170" s="22">
        <v>120</v>
      </c>
    </row>
    <row r="1171" spans="1:8" x14ac:dyDescent="0.25">
      <c r="A1171" s="75">
        <v>40588</v>
      </c>
      <c r="B1171" s="8" t="s">
        <v>317</v>
      </c>
      <c r="C1171" s="8" t="s">
        <v>310</v>
      </c>
      <c r="D1171" s="8" t="s">
        <v>312</v>
      </c>
      <c r="E1171" s="8" t="s">
        <v>344</v>
      </c>
      <c r="F1171" s="8">
        <v>15</v>
      </c>
      <c r="G1171" s="22">
        <v>315</v>
      </c>
      <c r="H1171" s="22">
        <v>138.75</v>
      </c>
    </row>
    <row r="1172" spans="1:8" x14ac:dyDescent="0.25">
      <c r="A1172" s="75">
        <v>40720</v>
      </c>
      <c r="B1172" s="8" t="s">
        <v>311</v>
      </c>
      <c r="C1172" s="8" t="s">
        <v>310</v>
      </c>
      <c r="D1172" s="8" t="s">
        <v>136</v>
      </c>
      <c r="E1172" s="8" t="s">
        <v>316</v>
      </c>
      <c r="F1172" s="8">
        <v>31</v>
      </c>
      <c r="G1172" s="22">
        <v>589</v>
      </c>
      <c r="H1172" s="22">
        <v>248</v>
      </c>
    </row>
    <row r="1173" spans="1:8" x14ac:dyDescent="0.25">
      <c r="A1173" s="75">
        <v>40628</v>
      </c>
      <c r="B1173" s="8" t="s">
        <v>317</v>
      </c>
      <c r="C1173" s="8" t="s">
        <v>307</v>
      </c>
      <c r="D1173" s="8" t="s">
        <v>328</v>
      </c>
      <c r="E1173" s="8" t="s">
        <v>336</v>
      </c>
      <c r="F1173" s="8">
        <v>11</v>
      </c>
      <c r="G1173" s="22">
        <v>231</v>
      </c>
      <c r="H1173" s="22">
        <v>101.75</v>
      </c>
    </row>
    <row r="1174" spans="1:8" x14ac:dyDescent="0.25">
      <c r="A1174" s="75">
        <v>40559</v>
      </c>
      <c r="B1174" s="8" t="s">
        <v>311</v>
      </c>
      <c r="C1174" s="8" t="s">
        <v>310</v>
      </c>
      <c r="D1174" s="8" t="s">
        <v>7</v>
      </c>
      <c r="E1174" s="8" t="s">
        <v>347</v>
      </c>
      <c r="F1174" s="8">
        <v>61</v>
      </c>
      <c r="G1174" s="22">
        <v>1159</v>
      </c>
      <c r="H1174" s="22">
        <v>488</v>
      </c>
    </row>
    <row r="1175" spans="1:8" x14ac:dyDescent="0.25">
      <c r="A1175" s="75">
        <v>40688</v>
      </c>
      <c r="B1175" s="8" t="s">
        <v>311</v>
      </c>
      <c r="C1175" s="8" t="s">
        <v>308</v>
      </c>
      <c r="D1175" s="8" t="s">
        <v>328</v>
      </c>
      <c r="E1175" s="8" t="s">
        <v>345</v>
      </c>
      <c r="F1175" s="8">
        <v>59</v>
      </c>
      <c r="G1175" s="22">
        <v>1121</v>
      </c>
      <c r="H1175" s="22">
        <v>472</v>
      </c>
    </row>
    <row r="1176" spans="1:8" x14ac:dyDescent="0.25">
      <c r="A1176" s="75">
        <v>40710</v>
      </c>
      <c r="B1176" s="8" t="s">
        <v>319</v>
      </c>
      <c r="C1176" s="8" t="s">
        <v>310</v>
      </c>
      <c r="D1176" s="8" t="s">
        <v>328</v>
      </c>
      <c r="E1176" s="8" t="s">
        <v>329</v>
      </c>
      <c r="F1176" s="8">
        <v>18</v>
      </c>
      <c r="G1176" s="22">
        <v>486</v>
      </c>
      <c r="H1176" s="22">
        <v>261</v>
      </c>
    </row>
    <row r="1177" spans="1:8" x14ac:dyDescent="0.25">
      <c r="A1177" s="75">
        <v>40649</v>
      </c>
      <c r="B1177" s="8" t="s">
        <v>315</v>
      </c>
      <c r="C1177" s="8" t="s">
        <v>307</v>
      </c>
      <c r="D1177" s="8" t="s">
        <v>3</v>
      </c>
      <c r="E1177" s="8" t="s">
        <v>337</v>
      </c>
      <c r="F1177" s="8">
        <v>20</v>
      </c>
      <c r="G1177" s="22">
        <v>460</v>
      </c>
      <c r="H1177" s="22">
        <v>220</v>
      </c>
    </row>
    <row r="1178" spans="1:8" x14ac:dyDescent="0.25">
      <c r="A1178" s="75">
        <v>40597</v>
      </c>
      <c r="B1178" s="8" t="s">
        <v>317</v>
      </c>
      <c r="C1178" s="8" t="s">
        <v>308</v>
      </c>
      <c r="D1178" s="8" t="s">
        <v>136</v>
      </c>
      <c r="E1178" s="8" t="s">
        <v>348</v>
      </c>
      <c r="F1178" s="8">
        <v>51</v>
      </c>
      <c r="G1178" s="22">
        <v>1071</v>
      </c>
      <c r="H1178" s="22">
        <v>471.75</v>
      </c>
    </row>
    <row r="1179" spans="1:8" x14ac:dyDescent="0.25">
      <c r="A1179" s="75">
        <v>40558</v>
      </c>
      <c r="B1179" s="8" t="s">
        <v>317</v>
      </c>
      <c r="C1179" s="8" t="s">
        <v>309</v>
      </c>
      <c r="D1179" s="8" t="s">
        <v>136</v>
      </c>
      <c r="E1179" s="8" t="s">
        <v>344</v>
      </c>
      <c r="F1179" s="8">
        <v>16</v>
      </c>
      <c r="G1179" s="22">
        <v>336</v>
      </c>
      <c r="H1179" s="22">
        <v>148</v>
      </c>
    </row>
    <row r="1180" spans="1:8" x14ac:dyDescent="0.25">
      <c r="A1180" s="75">
        <v>40582</v>
      </c>
      <c r="B1180" s="8" t="s">
        <v>311</v>
      </c>
      <c r="C1180" s="8" t="s">
        <v>307</v>
      </c>
      <c r="D1180" s="8" t="s">
        <v>312</v>
      </c>
      <c r="E1180" s="8" t="s">
        <v>323</v>
      </c>
      <c r="F1180" s="8">
        <v>61</v>
      </c>
      <c r="G1180" s="22">
        <v>1159</v>
      </c>
      <c r="H1180" s="22">
        <v>488</v>
      </c>
    </row>
    <row r="1181" spans="1:8" x14ac:dyDescent="0.25">
      <c r="A1181" s="75">
        <v>40580</v>
      </c>
      <c r="B1181" s="8" t="s">
        <v>321</v>
      </c>
      <c r="C1181" s="8" t="s">
        <v>307</v>
      </c>
      <c r="D1181" s="8" t="s">
        <v>132</v>
      </c>
      <c r="E1181" s="8" t="s">
        <v>344</v>
      </c>
      <c r="F1181" s="8">
        <v>12</v>
      </c>
      <c r="G1181" s="22">
        <v>264</v>
      </c>
      <c r="H1181" s="22">
        <v>120</v>
      </c>
    </row>
    <row r="1182" spans="1:8" x14ac:dyDescent="0.25">
      <c r="A1182" s="75">
        <v>40637</v>
      </c>
      <c r="B1182" s="8" t="s">
        <v>315</v>
      </c>
      <c r="C1182" s="8" t="s">
        <v>307</v>
      </c>
      <c r="D1182" s="8" t="s">
        <v>132</v>
      </c>
      <c r="E1182" s="8" t="s">
        <v>329</v>
      </c>
      <c r="F1182" s="8">
        <v>18</v>
      </c>
      <c r="G1182" s="22">
        <v>414</v>
      </c>
      <c r="H1182" s="22">
        <v>198</v>
      </c>
    </row>
    <row r="1183" spans="1:8" x14ac:dyDescent="0.25">
      <c r="A1183" s="75">
        <v>40711</v>
      </c>
      <c r="B1183" s="8" t="s">
        <v>315</v>
      </c>
      <c r="C1183" s="8" t="s">
        <v>308</v>
      </c>
      <c r="D1183" s="8" t="s">
        <v>7</v>
      </c>
      <c r="E1183" s="8" t="s">
        <v>345</v>
      </c>
      <c r="F1183" s="8">
        <v>28</v>
      </c>
      <c r="G1183" s="22">
        <v>644</v>
      </c>
      <c r="H1183" s="22">
        <v>308</v>
      </c>
    </row>
    <row r="1184" spans="1:8" x14ac:dyDescent="0.25">
      <c r="A1184" s="75">
        <v>40612</v>
      </c>
      <c r="B1184" s="8" t="s">
        <v>311</v>
      </c>
      <c r="C1184" s="8" t="s">
        <v>307</v>
      </c>
      <c r="D1184" s="8" t="s">
        <v>7</v>
      </c>
      <c r="E1184" s="8" t="s">
        <v>344</v>
      </c>
      <c r="F1184" s="8">
        <v>51</v>
      </c>
      <c r="G1184" s="22">
        <v>969</v>
      </c>
      <c r="H1184" s="22">
        <v>408</v>
      </c>
    </row>
    <row r="1185" spans="1:8" x14ac:dyDescent="0.25">
      <c r="A1185" s="75">
        <v>40720</v>
      </c>
      <c r="B1185" s="8" t="s">
        <v>321</v>
      </c>
      <c r="C1185" s="8" t="s">
        <v>308</v>
      </c>
      <c r="D1185" s="8" t="s">
        <v>312</v>
      </c>
      <c r="E1185" s="8" t="s">
        <v>320</v>
      </c>
      <c r="F1185" s="8">
        <v>40</v>
      </c>
      <c r="G1185" s="22">
        <v>880</v>
      </c>
      <c r="H1185" s="22">
        <v>400</v>
      </c>
    </row>
    <row r="1186" spans="1:8" x14ac:dyDescent="0.25">
      <c r="A1186" s="75">
        <v>40639</v>
      </c>
      <c r="B1186" s="8" t="s">
        <v>315</v>
      </c>
      <c r="C1186" s="8" t="s">
        <v>308</v>
      </c>
      <c r="D1186" s="8" t="s">
        <v>132</v>
      </c>
      <c r="E1186" s="8" t="s">
        <v>343</v>
      </c>
      <c r="F1186" s="8">
        <v>19</v>
      </c>
      <c r="G1186" s="22">
        <v>437</v>
      </c>
      <c r="H1186" s="22">
        <v>209</v>
      </c>
    </row>
    <row r="1187" spans="1:8" x14ac:dyDescent="0.25">
      <c r="A1187" s="75">
        <v>40622</v>
      </c>
      <c r="B1187" s="8" t="s">
        <v>315</v>
      </c>
      <c r="C1187" s="8" t="s">
        <v>307</v>
      </c>
      <c r="D1187" s="8" t="s">
        <v>3</v>
      </c>
      <c r="E1187" s="8" t="s">
        <v>432</v>
      </c>
      <c r="F1187" s="8">
        <v>14</v>
      </c>
      <c r="G1187" s="22">
        <v>322</v>
      </c>
      <c r="H1187" s="22">
        <v>154</v>
      </c>
    </row>
    <row r="1188" spans="1:8" x14ac:dyDescent="0.25">
      <c r="A1188" s="75">
        <v>40565</v>
      </c>
      <c r="B1188" s="8" t="s">
        <v>319</v>
      </c>
      <c r="C1188" s="8" t="s">
        <v>310</v>
      </c>
      <c r="D1188" s="8" t="s">
        <v>312</v>
      </c>
      <c r="E1188" s="8" t="s">
        <v>346</v>
      </c>
      <c r="F1188" s="8">
        <v>63</v>
      </c>
      <c r="G1188" s="22">
        <v>1701</v>
      </c>
      <c r="H1188" s="22">
        <v>913.5</v>
      </c>
    </row>
    <row r="1189" spans="1:8" x14ac:dyDescent="0.25">
      <c r="A1189" s="75">
        <v>40664</v>
      </c>
      <c r="B1189" s="8" t="s">
        <v>317</v>
      </c>
      <c r="C1189" s="8" t="s">
        <v>307</v>
      </c>
      <c r="D1189" s="8" t="s">
        <v>136</v>
      </c>
      <c r="E1189" s="8" t="s">
        <v>346</v>
      </c>
      <c r="F1189" s="8">
        <v>16</v>
      </c>
      <c r="G1189" s="22">
        <v>336</v>
      </c>
      <c r="H1189" s="22">
        <v>148</v>
      </c>
    </row>
    <row r="1190" spans="1:8" x14ac:dyDescent="0.25">
      <c r="A1190" s="75">
        <v>40580</v>
      </c>
      <c r="B1190" s="8" t="s">
        <v>317</v>
      </c>
      <c r="C1190" s="8" t="s">
        <v>310</v>
      </c>
      <c r="D1190" s="8" t="s">
        <v>132</v>
      </c>
      <c r="E1190" s="8" t="s">
        <v>322</v>
      </c>
      <c r="F1190" s="8">
        <v>17</v>
      </c>
      <c r="G1190" s="22">
        <v>357</v>
      </c>
      <c r="H1190" s="22">
        <v>157.25</v>
      </c>
    </row>
    <row r="1191" spans="1:8" x14ac:dyDescent="0.25">
      <c r="A1191" s="75">
        <v>40672</v>
      </c>
      <c r="B1191" s="8" t="s">
        <v>315</v>
      </c>
      <c r="C1191" s="8" t="s">
        <v>308</v>
      </c>
      <c r="D1191" s="8" t="s">
        <v>328</v>
      </c>
      <c r="E1191" s="8" t="s">
        <v>336</v>
      </c>
      <c r="F1191" s="8">
        <v>54</v>
      </c>
      <c r="G1191" s="22">
        <v>1242</v>
      </c>
      <c r="H1191" s="22">
        <v>594</v>
      </c>
    </row>
    <row r="1192" spans="1:8" x14ac:dyDescent="0.25">
      <c r="A1192" s="75">
        <v>40673</v>
      </c>
      <c r="B1192" s="8" t="s">
        <v>321</v>
      </c>
      <c r="C1192" s="8" t="s">
        <v>310</v>
      </c>
      <c r="D1192" s="8" t="s">
        <v>7</v>
      </c>
      <c r="E1192" s="8" t="s">
        <v>322</v>
      </c>
      <c r="F1192" s="8">
        <v>26</v>
      </c>
      <c r="G1192" s="22">
        <v>572</v>
      </c>
      <c r="H1192" s="22">
        <v>260</v>
      </c>
    </row>
    <row r="1193" spans="1:8" x14ac:dyDescent="0.25">
      <c r="A1193" s="75">
        <v>40547</v>
      </c>
      <c r="B1193" s="8" t="s">
        <v>317</v>
      </c>
      <c r="C1193" s="8" t="s">
        <v>309</v>
      </c>
      <c r="D1193" s="8" t="s">
        <v>7</v>
      </c>
      <c r="E1193" s="8" t="s">
        <v>331</v>
      </c>
      <c r="F1193" s="8">
        <v>48</v>
      </c>
      <c r="G1193" s="22">
        <v>1008</v>
      </c>
      <c r="H1193" s="22">
        <v>444</v>
      </c>
    </row>
    <row r="1194" spans="1:8" x14ac:dyDescent="0.25">
      <c r="A1194" s="75">
        <v>40642</v>
      </c>
      <c r="B1194" s="8" t="s">
        <v>311</v>
      </c>
      <c r="C1194" s="8" t="s">
        <v>310</v>
      </c>
      <c r="D1194" s="8" t="s">
        <v>132</v>
      </c>
      <c r="E1194" s="8" t="s">
        <v>345</v>
      </c>
      <c r="F1194" s="8">
        <v>17</v>
      </c>
      <c r="G1194" s="22">
        <v>323</v>
      </c>
      <c r="H1194" s="22">
        <v>136</v>
      </c>
    </row>
    <row r="1195" spans="1:8" x14ac:dyDescent="0.25">
      <c r="A1195" s="75">
        <v>40572</v>
      </c>
      <c r="B1195" s="8" t="s">
        <v>315</v>
      </c>
      <c r="C1195" s="8" t="s">
        <v>308</v>
      </c>
      <c r="D1195" s="8" t="s">
        <v>312</v>
      </c>
      <c r="E1195" s="8" t="s">
        <v>339</v>
      </c>
      <c r="F1195" s="8">
        <v>62</v>
      </c>
      <c r="G1195" s="22">
        <v>1426</v>
      </c>
      <c r="H1195" s="22">
        <v>682</v>
      </c>
    </row>
    <row r="1196" spans="1:8" x14ac:dyDescent="0.25">
      <c r="A1196" s="75">
        <v>40680</v>
      </c>
      <c r="B1196" s="8" t="s">
        <v>311</v>
      </c>
      <c r="C1196" s="8" t="s">
        <v>309</v>
      </c>
      <c r="D1196" s="8" t="s">
        <v>3</v>
      </c>
      <c r="E1196" s="8" t="s">
        <v>340</v>
      </c>
      <c r="F1196" s="8">
        <v>18</v>
      </c>
      <c r="G1196" s="22">
        <v>342</v>
      </c>
      <c r="H1196" s="22">
        <v>144</v>
      </c>
    </row>
    <row r="1197" spans="1:8" x14ac:dyDescent="0.25">
      <c r="A1197" s="75">
        <v>40553</v>
      </c>
      <c r="B1197" s="8" t="s">
        <v>319</v>
      </c>
      <c r="C1197" s="8" t="s">
        <v>310</v>
      </c>
      <c r="D1197" s="8" t="s">
        <v>312</v>
      </c>
      <c r="E1197" s="8" t="s">
        <v>327</v>
      </c>
      <c r="F1197" s="8">
        <v>13</v>
      </c>
      <c r="G1197" s="22">
        <v>351</v>
      </c>
      <c r="H1197" s="22">
        <v>188.5</v>
      </c>
    </row>
    <row r="1198" spans="1:8" x14ac:dyDescent="0.25">
      <c r="A1198" s="75">
        <v>40583</v>
      </c>
      <c r="B1198" s="8" t="s">
        <v>315</v>
      </c>
      <c r="C1198" s="8" t="s">
        <v>308</v>
      </c>
      <c r="D1198" s="8" t="s">
        <v>132</v>
      </c>
      <c r="E1198" s="8" t="s">
        <v>322</v>
      </c>
      <c r="F1198" s="8">
        <v>18</v>
      </c>
      <c r="G1198" s="22">
        <v>414</v>
      </c>
      <c r="H1198" s="22">
        <v>198</v>
      </c>
    </row>
    <row r="1199" spans="1:8" x14ac:dyDescent="0.25">
      <c r="A1199" s="75">
        <v>40625</v>
      </c>
      <c r="B1199" s="8" t="s">
        <v>317</v>
      </c>
      <c r="C1199" s="8" t="s">
        <v>307</v>
      </c>
      <c r="D1199" s="8" t="s">
        <v>132</v>
      </c>
      <c r="E1199" s="8" t="s">
        <v>335</v>
      </c>
      <c r="F1199" s="8">
        <v>13</v>
      </c>
      <c r="G1199" s="22">
        <v>273</v>
      </c>
      <c r="H1199" s="22">
        <v>120.25</v>
      </c>
    </row>
    <row r="1200" spans="1:8" x14ac:dyDescent="0.25">
      <c r="A1200" s="75">
        <v>40581</v>
      </c>
      <c r="B1200" s="8" t="s">
        <v>315</v>
      </c>
      <c r="C1200" s="8" t="s">
        <v>309</v>
      </c>
      <c r="D1200" s="8" t="s">
        <v>328</v>
      </c>
      <c r="E1200" s="8" t="s">
        <v>335</v>
      </c>
      <c r="F1200" s="8">
        <v>33</v>
      </c>
      <c r="G1200" s="22">
        <v>759</v>
      </c>
      <c r="H1200" s="22">
        <v>363</v>
      </c>
    </row>
    <row r="1201" spans="1:8" x14ac:dyDescent="0.25">
      <c r="A1201" s="75">
        <v>40695</v>
      </c>
      <c r="B1201" s="8" t="s">
        <v>315</v>
      </c>
      <c r="C1201" s="8" t="s">
        <v>310</v>
      </c>
      <c r="D1201" s="8" t="s">
        <v>312</v>
      </c>
      <c r="E1201" s="8" t="s">
        <v>322</v>
      </c>
      <c r="F1201" s="8">
        <v>28</v>
      </c>
      <c r="G1201" s="22">
        <v>644</v>
      </c>
      <c r="H1201" s="22">
        <v>308</v>
      </c>
    </row>
    <row r="1202" spans="1:8" x14ac:dyDescent="0.25">
      <c r="A1202" s="75">
        <v>40563</v>
      </c>
      <c r="B1202" s="8" t="s">
        <v>315</v>
      </c>
      <c r="C1202" s="8" t="s">
        <v>307</v>
      </c>
      <c r="D1202" s="8" t="s">
        <v>136</v>
      </c>
      <c r="E1202" s="8" t="s">
        <v>332</v>
      </c>
      <c r="F1202" s="8">
        <v>53</v>
      </c>
      <c r="G1202" s="22">
        <v>1219</v>
      </c>
      <c r="H1202" s="22">
        <v>583</v>
      </c>
    </row>
    <row r="1203" spans="1:8" x14ac:dyDescent="0.25">
      <c r="A1203" s="75">
        <v>40605</v>
      </c>
      <c r="B1203" s="8" t="s">
        <v>311</v>
      </c>
      <c r="C1203" s="8" t="s">
        <v>308</v>
      </c>
      <c r="D1203" s="8" t="s">
        <v>328</v>
      </c>
      <c r="E1203" s="8" t="s">
        <v>335</v>
      </c>
      <c r="F1203" s="8">
        <v>21</v>
      </c>
      <c r="G1203" s="22">
        <v>399</v>
      </c>
      <c r="H1203" s="22">
        <v>168</v>
      </c>
    </row>
    <row r="1204" spans="1:8" x14ac:dyDescent="0.25">
      <c r="A1204" s="75">
        <v>40683</v>
      </c>
      <c r="B1204" s="8" t="s">
        <v>315</v>
      </c>
      <c r="C1204" s="8" t="s">
        <v>309</v>
      </c>
      <c r="D1204" s="8" t="s">
        <v>3</v>
      </c>
      <c r="E1204" s="8" t="s">
        <v>333</v>
      </c>
      <c r="F1204" s="8">
        <v>42</v>
      </c>
      <c r="G1204" s="22">
        <v>966</v>
      </c>
      <c r="H1204" s="22">
        <v>462</v>
      </c>
    </row>
    <row r="1205" spans="1:8" x14ac:dyDescent="0.25">
      <c r="A1205" s="75">
        <v>40552</v>
      </c>
      <c r="B1205" s="8" t="s">
        <v>315</v>
      </c>
      <c r="C1205" s="8" t="s">
        <v>307</v>
      </c>
      <c r="D1205" s="8" t="s">
        <v>312</v>
      </c>
      <c r="E1205" s="8" t="s">
        <v>337</v>
      </c>
      <c r="F1205" s="8">
        <v>45</v>
      </c>
      <c r="G1205" s="22">
        <v>1035</v>
      </c>
      <c r="H1205" s="22">
        <v>495</v>
      </c>
    </row>
    <row r="1206" spans="1:8" x14ac:dyDescent="0.25">
      <c r="A1206" s="75">
        <v>40581</v>
      </c>
      <c r="B1206" s="8" t="s">
        <v>321</v>
      </c>
      <c r="C1206" s="8" t="s">
        <v>308</v>
      </c>
      <c r="D1206" s="8" t="s">
        <v>328</v>
      </c>
      <c r="E1206" s="8" t="s">
        <v>326</v>
      </c>
      <c r="F1206" s="8">
        <v>22</v>
      </c>
      <c r="G1206" s="22">
        <v>484</v>
      </c>
      <c r="H1206" s="22">
        <v>220</v>
      </c>
    </row>
    <row r="1207" spans="1:8" x14ac:dyDescent="0.25">
      <c r="A1207" s="75">
        <v>40640</v>
      </c>
      <c r="B1207" s="8" t="s">
        <v>319</v>
      </c>
      <c r="C1207" s="8" t="s">
        <v>310</v>
      </c>
      <c r="D1207" s="8" t="s">
        <v>7</v>
      </c>
      <c r="E1207" s="8" t="s">
        <v>432</v>
      </c>
      <c r="F1207" s="8">
        <v>25</v>
      </c>
      <c r="G1207" s="22">
        <v>675</v>
      </c>
      <c r="H1207" s="22">
        <v>362.5</v>
      </c>
    </row>
    <row r="1208" spans="1:8" x14ac:dyDescent="0.25">
      <c r="A1208" s="75">
        <v>40676</v>
      </c>
      <c r="B1208" s="8" t="s">
        <v>315</v>
      </c>
      <c r="C1208" s="8" t="s">
        <v>308</v>
      </c>
      <c r="D1208" s="8" t="s">
        <v>328</v>
      </c>
      <c r="E1208" s="8" t="s">
        <v>327</v>
      </c>
      <c r="F1208" s="8">
        <v>51</v>
      </c>
      <c r="G1208" s="22">
        <v>1173</v>
      </c>
      <c r="H1208" s="22">
        <v>561</v>
      </c>
    </row>
    <row r="1209" spans="1:8" x14ac:dyDescent="0.25">
      <c r="A1209" s="75">
        <v>40689</v>
      </c>
      <c r="B1209" s="8" t="s">
        <v>319</v>
      </c>
      <c r="C1209" s="8" t="s">
        <v>310</v>
      </c>
      <c r="D1209" s="8" t="s">
        <v>7</v>
      </c>
      <c r="E1209" s="8" t="s">
        <v>432</v>
      </c>
      <c r="F1209" s="8">
        <v>23</v>
      </c>
      <c r="G1209" s="22">
        <v>621</v>
      </c>
      <c r="H1209" s="22">
        <v>333.5</v>
      </c>
    </row>
    <row r="1210" spans="1:8" x14ac:dyDescent="0.25">
      <c r="A1210" s="75">
        <v>40611</v>
      </c>
      <c r="B1210" s="8" t="s">
        <v>317</v>
      </c>
      <c r="C1210" s="8" t="s">
        <v>310</v>
      </c>
      <c r="D1210" s="8" t="s">
        <v>132</v>
      </c>
      <c r="E1210" s="8" t="s">
        <v>320</v>
      </c>
      <c r="F1210" s="8">
        <v>13</v>
      </c>
      <c r="G1210" s="22">
        <v>273</v>
      </c>
      <c r="H1210" s="22">
        <v>120.25</v>
      </c>
    </row>
    <row r="1211" spans="1:8" x14ac:dyDescent="0.25">
      <c r="A1211" s="75">
        <v>40694</v>
      </c>
      <c r="B1211" s="8" t="s">
        <v>321</v>
      </c>
      <c r="C1211" s="8" t="s">
        <v>307</v>
      </c>
      <c r="D1211" s="8" t="s">
        <v>3</v>
      </c>
      <c r="E1211" s="8" t="s">
        <v>432</v>
      </c>
      <c r="F1211" s="8">
        <v>39</v>
      </c>
      <c r="G1211" s="22">
        <v>858</v>
      </c>
      <c r="H1211" s="22">
        <v>390</v>
      </c>
    </row>
    <row r="1212" spans="1:8" x14ac:dyDescent="0.25">
      <c r="A1212" s="75">
        <v>40665</v>
      </c>
      <c r="B1212" s="8" t="s">
        <v>321</v>
      </c>
      <c r="C1212" s="8" t="s">
        <v>310</v>
      </c>
      <c r="D1212" s="8" t="s">
        <v>312</v>
      </c>
      <c r="E1212" s="8" t="s">
        <v>335</v>
      </c>
      <c r="F1212" s="8">
        <v>39</v>
      </c>
      <c r="G1212" s="22">
        <v>858</v>
      </c>
      <c r="H1212" s="22">
        <v>390</v>
      </c>
    </row>
    <row r="1213" spans="1:8" x14ac:dyDescent="0.25">
      <c r="A1213" s="75">
        <v>40712</v>
      </c>
      <c r="B1213" s="8" t="s">
        <v>317</v>
      </c>
      <c r="C1213" s="8" t="s">
        <v>308</v>
      </c>
      <c r="D1213" s="8" t="s">
        <v>132</v>
      </c>
      <c r="E1213" s="8" t="s">
        <v>314</v>
      </c>
      <c r="F1213" s="8">
        <v>34</v>
      </c>
      <c r="G1213" s="22">
        <v>714</v>
      </c>
      <c r="H1213" s="22">
        <v>314.5</v>
      </c>
    </row>
    <row r="1214" spans="1:8" x14ac:dyDescent="0.25">
      <c r="A1214" s="75">
        <v>40589</v>
      </c>
      <c r="B1214" s="8" t="s">
        <v>311</v>
      </c>
      <c r="C1214" s="8" t="s">
        <v>309</v>
      </c>
      <c r="D1214" s="8" t="s">
        <v>7</v>
      </c>
      <c r="E1214" s="8" t="s">
        <v>332</v>
      </c>
      <c r="F1214" s="8">
        <v>33</v>
      </c>
      <c r="G1214" s="22">
        <v>627</v>
      </c>
      <c r="H1214" s="22">
        <v>264</v>
      </c>
    </row>
    <row r="1215" spans="1:8" x14ac:dyDescent="0.25">
      <c r="A1215" s="75">
        <v>40615</v>
      </c>
      <c r="B1215" s="8" t="s">
        <v>315</v>
      </c>
      <c r="C1215" s="8" t="s">
        <v>307</v>
      </c>
      <c r="D1215" s="8" t="s">
        <v>7</v>
      </c>
      <c r="E1215" s="8" t="s">
        <v>341</v>
      </c>
      <c r="F1215" s="8">
        <v>50</v>
      </c>
      <c r="G1215" s="22">
        <v>1150</v>
      </c>
      <c r="H1215" s="22">
        <v>550</v>
      </c>
    </row>
    <row r="1216" spans="1:8" x14ac:dyDescent="0.25">
      <c r="A1216" s="75">
        <v>40603</v>
      </c>
      <c r="B1216" s="8" t="s">
        <v>311</v>
      </c>
      <c r="C1216" s="8" t="s">
        <v>308</v>
      </c>
      <c r="D1216" s="8" t="s">
        <v>132</v>
      </c>
      <c r="E1216" s="8" t="s">
        <v>342</v>
      </c>
      <c r="F1216" s="8">
        <v>62</v>
      </c>
      <c r="G1216" s="22">
        <v>1178</v>
      </c>
      <c r="H1216" s="22">
        <v>496</v>
      </c>
    </row>
    <row r="1217" spans="1:8" x14ac:dyDescent="0.25">
      <c r="A1217" s="75">
        <v>40617</v>
      </c>
      <c r="B1217" s="8" t="s">
        <v>311</v>
      </c>
      <c r="C1217" s="8" t="s">
        <v>308</v>
      </c>
      <c r="D1217" s="8" t="s">
        <v>328</v>
      </c>
      <c r="E1217" s="8" t="s">
        <v>329</v>
      </c>
      <c r="F1217" s="8">
        <v>44</v>
      </c>
      <c r="G1217" s="22">
        <v>836</v>
      </c>
      <c r="H1217" s="22">
        <v>352</v>
      </c>
    </row>
    <row r="1218" spans="1:8" x14ac:dyDescent="0.25">
      <c r="A1218" s="75">
        <v>40688</v>
      </c>
      <c r="B1218" s="8" t="s">
        <v>315</v>
      </c>
      <c r="C1218" s="8" t="s">
        <v>307</v>
      </c>
      <c r="D1218" s="8" t="s">
        <v>312</v>
      </c>
      <c r="E1218" s="8" t="s">
        <v>322</v>
      </c>
      <c r="F1218" s="8">
        <v>13</v>
      </c>
      <c r="G1218" s="22">
        <v>299</v>
      </c>
      <c r="H1218" s="22">
        <v>143</v>
      </c>
    </row>
    <row r="1219" spans="1:8" x14ac:dyDescent="0.25">
      <c r="A1219" s="75">
        <v>40565</v>
      </c>
      <c r="B1219" s="8" t="s">
        <v>315</v>
      </c>
      <c r="C1219" s="8" t="s">
        <v>308</v>
      </c>
      <c r="D1219" s="8" t="s">
        <v>7</v>
      </c>
      <c r="E1219" s="8" t="s">
        <v>341</v>
      </c>
      <c r="F1219" s="8">
        <v>31</v>
      </c>
      <c r="G1219" s="22">
        <v>713</v>
      </c>
      <c r="H1219" s="22">
        <v>341</v>
      </c>
    </row>
    <row r="1220" spans="1:8" x14ac:dyDescent="0.25">
      <c r="A1220" s="75">
        <v>40609</v>
      </c>
      <c r="B1220" s="8" t="s">
        <v>321</v>
      </c>
      <c r="C1220" s="8" t="s">
        <v>309</v>
      </c>
      <c r="D1220" s="8" t="s">
        <v>132</v>
      </c>
      <c r="E1220" s="8" t="s">
        <v>338</v>
      </c>
      <c r="F1220" s="8">
        <v>51</v>
      </c>
      <c r="G1220" s="22">
        <v>1122</v>
      </c>
      <c r="H1220" s="22">
        <v>510</v>
      </c>
    </row>
    <row r="1221" spans="1:8" x14ac:dyDescent="0.25">
      <c r="A1221" s="75">
        <v>40571</v>
      </c>
      <c r="B1221" s="8" t="s">
        <v>319</v>
      </c>
      <c r="C1221" s="8" t="s">
        <v>308</v>
      </c>
      <c r="D1221" s="8" t="s">
        <v>312</v>
      </c>
      <c r="E1221" s="8" t="s">
        <v>316</v>
      </c>
      <c r="F1221" s="8">
        <v>13</v>
      </c>
      <c r="G1221" s="22">
        <v>351</v>
      </c>
      <c r="H1221" s="22">
        <v>188.5</v>
      </c>
    </row>
    <row r="1222" spans="1:8" x14ac:dyDescent="0.25">
      <c r="A1222" s="75">
        <v>40669</v>
      </c>
      <c r="B1222" s="8" t="s">
        <v>319</v>
      </c>
      <c r="C1222" s="8" t="s">
        <v>308</v>
      </c>
      <c r="D1222" s="8" t="s">
        <v>7</v>
      </c>
      <c r="E1222" s="8" t="s">
        <v>339</v>
      </c>
      <c r="F1222" s="8">
        <v>60</v>
      </c>
      <c r="G1222" s="22">
        <v>1620</v>
      </c>
      <c r="H1222" s="22">
        <v>870</v>
      </c>
    </row>
    <row r="1223" spans="1:8" x14ac:dyDescent="0.25">
      <c r="A1223" s="75">
        <v>40580</v>
      </c>
      <c r="B1223" s="8" t="s">
        <v>319</v>
      </c>
      <c r="C1223" s="8" t="s">
        <v>309</v>
      </c>
      <c r="D1223" s="8" t="s">
        <v>328</v>
      </c>
      <c r="E1223" s="8" t="s">
        <v>316</v>
      </c>
      <c r="F1223" s="8">
        <v>23</v>
      </c>
      <c r="G1223" s="22">
        <v>621</v>
      </c>
      <c r="H1223" s="22">
        <v>333.5</v>
      </c>
    </row>
    <row r="1224" spans="1:8" x14ac:dyDescent="0.25">
      <c r="A1224" s="75">
        <v>40712</v>
      </c>
      <c r="B1224" s="8" t="s">
        <v>321</v>
      </c>
      <c r="C1224" s="8" t="s">
        <v>309</v>
      </c>
      <c r="D1224" s="8" t="s">
        <v>312</v>
      </c>
      <c r="E1224" s="8" t="s">
        <v>432</v>
      </c>
      <c r="F1224" s="8">
        <v>57</v>
      </c>
      <c r="G1224" s="22">
        <v>1254</v>
      </c>
      <c r="H1224" s="22">
        <v>570</v>
      </c>
    </row>
    <row r="1225" spans="1:8" x14ac:dyDescent="0.25">
      <c r="A1225" s="75">
        <v>40617</v>
      </c>
      <c r="B1225" s="8" t="s">
        <v>317</v>
      </c>
      <c r="C1225" s="8" t="s">
        <v>310</v>
      </c>
      <c r="D1225" s="8" t="s">
        <v>132</v>
      </c>
      <c r="E1225" s="8" t="s">
        <v>331</v>
      </c>
      <c r="F1225" s="8">
        <v>57</v>
      </c>
      <c r="G1225" s="22">
        <v>1197</v>
      </c>
      <c r="H1225" s="22">
        <v>527.25</v>
      </c>
    </row>
    <row r="1226" spans="1:8" x14ac:dyDescent="0.25">
      <c r="A1226" s="75">
        <v>40716</v>
      </c>
      <c r="B1226" s="8" t="s">
        <v>315</v>
      </c>
      <c r="C1226" s="8" t="s">
        <v>308</v>
      </c>
      <c r="D1226" s="8" t="s">
        <v>328</v>
      </c>
      <c r="E1226" s="8" t="s">
        <v>346</v>
      </c>
      <c r="F1226" s="8">
        <v>54</v>
      </c>
      <c r="G1226" s="22">
        <v>1242</v>
      </c>
      <c r="H1226" s="22">
        <v>594</v>
      </c>
    </row>
    <row r="1227" spans="1:8" x14ac:dyDescent="0.25">
      <c r="A1227" s="75">
        <v>40609</v>
      </c>
      <c r="B1227" s="8" t="s">
        <v>311</v>
      </c>
      <c r="C1227" s="8" t="s">
        <v>307</v>
      </c>
      <c r="D1227" s="8" t="s">
        <v>132</v>
      </c>
      <c r="E1227" s="8" t="s">
        <v>314</v>
      </c>
      <c r="F1227" s="8">
        <v>6</v>
      </c>
      <c r="G1227" s="22">
        <v>114</v>
      </c>
      <c r="H1227" s="22">
        <v>48</v>
      </c>
    </row>
  </sheetData>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97">
    <tabColor rgb="FF0000FF"/>
  </sheetPr>
  <dimension ref="A1:H13"/>
  <sheetViews>
    <sheetView workbookViewId="0">
      <selection activeCell="C8" sqref="C8"/>
    </sheetView>
  </sheetViews>
  <sheetFormatPr defaultColWidth="9.140625" defaultRowHeight="15" x14ac:dyDescent="0.25"/>
  <cols>
    <col min="7" max="7" width="10.8554687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40566</v>
      </c>
      <c r="B2" s="8" t="s">
        <v>319</v>
      </c>
      <c r="C2" s="8" t="s">
        <v>309</v>
      </c>
      <c r="D2" s="8" t="s">
        <v>3</v>
      </c>
      <c r="E2" s="8" t="s">
        <v>334</v>
      </c>
      <c r="F2" s="8">
        <v>23</v>
      </c>
      <c r="G2" s="22">
        <v>621</v>
      </c>
      <c r="H2" s="22">
        <v>333.5</v>
      </c>
    </row>
    <row r="3" spans="1:8" x14ac:dyDescent="0.25">
      <c r="A3" s="75">
        <v>40561</v>
      </c>
      <c r="B3" s="8" t="s">
        <v>311</v>
      </c>
      <c r="C3" s="8" t="s">
        <v>309</v>
      </c>
      <c r="D3" s="8" t="s">
        <v>136</v>
      </c>
      <c r="E3" s="8" t="s">
        <v>322</v>
      </c>
      <c r="F3" s="8">
        <v>65</v>
      </c>
      <c r="G3" s="22">
        <v>1235</v>
      </c>
      <c r="H3" s="22">
        <v>520</v>
      </c>
    </row>
    <row r="4" spans="1:8" x14ac:dyDescent="0.25">
      <c r="A4" s="75">
        <v>40713</v>
      </c>
      <c r="B4" s="8" t="s">
        <v>317</v>
      </c>
      <c r="C4" s="8" t="s">
        <v>309</v>
      </c>
      <c r="D4" s="8" t="s">
        <v>136</v>
      </c>
      <c r="E4" s="8" t="s">
        <v>324</v>
      </c>
      <c r="F4" s="8">
        <v>47</v>
      </c>
      <c r="G4" s="22">
        <v>987</v>
      </c>
      <c r="H4" s="22">
        <v>434.75</v>
      </c>
    </row>
    <row r="5" spans="1:8" x14ac:dyDescent="0.25">
      <c r="A5" s="75">
        <v>40707</v>
      </c>
      <c r="B5" s="8" t="s">
        <v>319</v>
      </c>
      <c r="C5" s="8" t="s">
        <v>308</v>
      </c>
      <c r="D5" s="8" t="s">
        <v>132</v>
      </c>
      <c r="E5" s="8" t="s">
        <v>343</v>
      </c>
      <c r="F5" s="8">
        <v>24</v>
      </c>
      <c r="G5" s="22">
        <v>648</v>
      </c>
      <c r="H5" s="22">
        <v>348</v>
      </c>
    </row>
    <row r="6" spans="1:8" x14ac:dyDescent="0.25">
      <c r="A6" s="75">
        <v>40638</v>
      </c>
      <c r="B6" s="8" t="s">
        <v>311</v>
      </c>
      <c r="C6" s="8" t="s">
        <v>310</v>
      </c>
      <c r="D6" s="8" t="s">
        <v>136</v>
      </c>
      <c r="E6" s="8" t="s">
        <v>316</v>
      </c>
      <c r="F6" s="8">
        <v>58</v>
      </c>
      <c r="G6" s="22"/>
      <c r="H6" s="22">
        <v>464</v>
      </c>
    </row>
    <row r="7" spans="1:8" x14ac:dyDescent="0.25">
      <c r="A7" s="75">
        <v>40604</v>
      </c>
      <c r="B7" s="8" t="s">
        <v>319</v>
      </c>
      <c r="C7" s="8" t="s">
        <v>309</v>
      </c>
      <c r="D7" s="8" t="s">
        <v>312</v>
      </c>
      <c r="E7" s="8" t="s">
        <v>323</v>
      </c>
      <c r="F7" s="8">
        <v>22</v>
      </c>
      <c r="G7" s="22">
        <v>594</v>
      </c>
      <c r="H7" s="22">
        <v>319</v>
      </c>
    </row>
    <row r="8" spans="1:8" x14ac:dyDescent="0.25">
      <c r="A8" s="75">
        <v>40626</v>
      </c>
      <c r="B8" s="8" t="s">
        <v>319</v>
      </c>
      <c r="C8" s="8" t="s">
        <v>307</v>
      </c>
      <c r="D8" s="8" t="s">
        <v>132</v>
      </c>
      <c r="E8" s="8" t="s">
        <v>316</v>
      </c>
      <c r="F8" s="8">
        <v>8</v>
      </c>
      <c r="G8" s="22">
        <v>216</v>
      </c>
      <c r="H8" s="22">
        <v>116</v>
      </c>
    </row>
    <row r="9" spans="1:8" x14ac:dyDescent="0.25">
      <c r="A9" s="75">
        <v>40601</v>
      </c>
      <c r="B9" s="8" t="s">
        <v>311</v>
      </c>
      <c r="C9" s="8" t="s">
        <v>310</v>
      </c>
      <c r="D9" s="8" t="s">
        <v>132</v>
      </c>
      <c r="E9" s="8" t="s">
        <v>323</v>
      </c>
      <c r="F9" s="8">
        <v>29</v>
      </c>
      <c r="G9" s="22">
        <v>551</v>
      </c>
      <c r="H9" s="22">
        <v>232</v>
      </c>
    </row>
    <row r="10" spans="1:8" x14ac:dyDescent="0.25">
      <c r="A10" s="75">
        <v>40713</v>
      </c>
      <c r="B10" s="8" t="s">
        <v>315</v>
      </c>
      <c r="C10" s="8" t="s">
        <v>309</v>
      </c>
      <c r="D10" s="8" t="s">
        <v>7</v>
      </c>
      <c r="E10" s="8" t="s">
        <v>340</v>
      </c>
      <c r="F10" s="8">
        <v>55</v>
      </c>
      <c r="G10" s="22">
        <v>1265</v>
      </c>
      <c r="H10" s="22">
        <v>605</v>
      </c>
    </row>
    <row r="11" spans="1:8" x14ac:dyDescent="0.25">
      <c r="A11" s="75">
        <v>40680</v>
      </c>
      <c r="B11" s="8" t="s">
        <v>315</v>
      </c>
      <c r="C11" s="8" t="s">
        <v>308</v>
      </c>
      <c r="D11" s="8" t="s">
        <v>312</v>
      </c>
      <c r="E11" s="8" t="s">
        <v>340</v>
      </c>
      <c r="F11" s="8">
        <v>39</v>
      </c>
      <c r="G11" s="22">
        <v>897</v>
      </c>
      <c r="H11" s="22">
        <v>429</v>
      </c>
    </row>
    <row r="12" spans="1:8" x14ac:dyDescent="0.25">
      <c r="A12" s="75">
        <v>40644</v>
      </c>
      <c r="B12" s="8" t="s">
        <v>311</v>
      </c>
      <c r="C12" s="8" t="s">
        <v>308</v>
      </c>
      <c r="D12" s="8" t="s">
        <v>136</v>
      </c>
      <c r="E12" s="8" t="s">
        <v>345</v>
      </c>
      <c r="F12" s="8">
        <v>49</v>
      </c>
      <c r="G12" s="22">
        <v>931</v>
      </c>
      <c r="H12" s="22">
        <v>392</v>
      </c>
    </row>
    <row r="13" spans="1:8" x14ac:dyDescent="0.25">
      <c r="A13" s="75">
        <v>40589</v>
      </c>
      <c r="B13" s="8" t="s">
        <v>315</v>
      </c>
      <c r="C13" s="8" t="s">
        <v>308</v>
      </c>
      <c r="D13" s="8" t="s">
        <v>136</v>
      </c>
      <c r="E13" s="8" t="s">
        <v>313</v>
      </c>
      <c r="F13" s="8">
        <v>63</v>
      </c>
      <c r="G13" s="22">
        <v>1449</v>
      </c>
      <c r="H13" s="22">
        <v>693</v>
      </c>
    </row>
  </sheetData>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99">
    <tabColor rgb="FF0000FF"/>
  </sheetPr>
  <dimension ref="A1:H13"/>
  <sheetViews>
    <sheetView workbookViewId="0">
      <selection activeCell="C8" sqref="C8"/>
    </sheetView>
  </sheetViews>
  <sheetFormatPr defaultColWidth="9.140625" defaultRowHeight="15" x14ac:dyDescent="0.25"/>
  <cols>
    <col min="1" max="1" width="13.7109375" customWidth="1"/>
    <col min="7" max="7" width="10.8554687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40566</v>
      </c>
      <c r="B2" s="8" t="s">
        <v>319</v>
      </c>
      <c r="C2" s="8" t="s">
        <v>309</v>
      </c>
      <c r="D2" s="8" t="s">
        <v>3</v>
      </c>
      <c r="E2" s="8" t="s">
        <v>334</v>
      </c>
      <c r="F2" s="8">
        <v>23</v>
      </c>
      <c r="G2" s="22">
        <v>621</v>
      </c>
      <c r="H2" s="22">
        <v>333.5</v>
      </c>
    </row>
    <row r="3" spans="1:8" x14ac:dyDescent="0.25">
      <c r="A3" s="75">
        <v>40561</v>
      </c>
      <c r="B3" s="8" t="s">
        <v>311</v>
      </c>
      <c r="C3" s="8" t="s">
        <v>309</v>
      </c>
      <c r="D3" s="8" t="s">
        <v>136</v>
      </c>
      <c r="E3" s="8" t="s">
        <v>322</v>
      </c>
      <c r="F3" s="8">
        <v>65</v>
      </c>
      <c r="G3" s="22">
        <v>1235</v>
      </c>
      <c r="H3" s="22">
        <v>520</v>
      </c>
    </row>
    <row r="4" spans="1:8" x14ac:dyDescent="0.25">
      <c r="A4" s="75">
        <v>40713</v>
      </c>
      <c r="B4" s="8" t="s">
        <v>317</v>
      </c>
      <c r="C4" s="8" t="s">
        <v>309</v>
      </c>
      <c r="D4" s="8" t="s">
        <v>136</v>
      </c>
      <c r="E4" s="8" t="s">
        <v>324</v>
      </c>
      <c r="F4" s="8">
        <v>47</v>
      </c>
      <c r="G4" s="22">
        <v>987</v>
      </c>
      <c r="H4" s="22">
        <v>434.75</v>
      </c>
    </row>
    <row r="5" spans="1:8" x14ac:dyDescent="0.25">
      <c r="A5" s="75">
        <v>40707</v>
      </c>
      <c r="B5" s="8" t="s">
        <v>319</v>
      </c>
      <c r="C5" s="8" t="s">
        <v>308</v>
      </c>
      <c r="D5" s="8" t="s">
        <v>132</v>
      </c>
      <c r="E5" s="8" t="s">
        <v>343</v>
      </c>
      <c r="F5" s="8">
        <v>24</v>
      </c>
      <c r="G5" s="22">
        <v>648</v>
      </c>
      <c r="H5" s="22">
        <v>348</v>
      </c>
    </row>
    <row r="6" spans="1:8" x14ac:dyDescent="0.25">
      <c r="A6" s="228" t="s">
        <v>1049</v>
      </c>
      <c r="B6" s="8" t="s">
        <v>311</v>
      </c>
      <c r="C6" s="8" t="s">
        <v>310</v>
      </c>
      <c r="D6" s="8" t="s">
        <v>136</v>
      </c>
      <c r="E6" s="8" t="s">
        <v>316</v>
      </c>
      <c r="F6" s="8">
        <v>58</v>
      </c>
      <c r="G6" s="22">
        <v>1102</v>
      </c>
      <c r="H6" s="22">
        <v>464</v>
      </c>
    </row>
    <row r="7" spans="1:8" x14ac:dyDescent="0.25">
      <c r="A7" s="75">
        <v>40604</v>
      </c>
      <c r="B7" s="8" t="s">
        <v>319</v>
      </c>
      <c r="C7" s="8" t="s">
        <v>309</v>
      </c>
      <c r="D7" s="8" t="s">
        <v>312</v>
      </c>
      <c r="E7" s="8" t="s">
        <v>323</v>
      </c>
      <c r="F7" s="8">
        <v>22</v>
      </c>
      <c r="G7" s="22">
        <v>594</v>
      </c>
      <c r="H7" s="22">
        <v>319</v>
      </c>
    </row>
    <row r="8" spans="1:8" x14ac:dyDescent="0.25">
      <c r="A8" s="75">
        <v>40626</v>
      </c>
      <c r="B8" s="8" t="s">
        <v>319</v>
      </c>
      <c r="C8" s="8" t="s">
        <v>307</v>
      </c>
      <c r="D8" s="8" t="s">
        <v>132</v>
      </c>
      <c r="E8" s="8" t="s">
        <v>316</v>
      </c>
      <c r="F8" s="8">
        <v>8</v>
      </c>
      <c r="G8" s="22">
        <v>216</v>
      </c>
      <c r="H8" s="22">
        <v>116</v>
      </c>
    </row>
    <row r="9" spans="1:8" x14ac:dyDescent="0.25">
      <c r="A9" s="75">
        <v>40601</v>
      </c>
      <c r="B9" s="8" t="s">
        <v>311</v>
      </c>
      <c r="C9" s="8" t="s">
        <v>310</v>
      </c>
      <c r="D9" s="8" t="s">
        <v>132</v>
      </c>
      <c r="E9" s="8" t="s">
        <v>323</v>
      </c>
      <c r="F9" s="8">
        <v>29</v>
      </c>
      <c r="G9" s="22">
        <v>551</v>
      </c>
      <c r="H9" s="22">
        <v>232</v>
      </c>
    </row>
    <row r="10" spans="1:8" x14ac:dyDescent="0.25">
      <c r="A10" s="75">
        <v>40713</v>
      </c>
      <c r="B10" s="8" t="s">
        <v>315</v>
      </c>
      <c r="C10" s="8" t="s">
        <v>309</v>
      </c>
      <c r="D10" s="8" t="s">
        <v>7</v>
      </c>
      <c r="E10" s="8" t="s">
        <v>340</v>
      </c>
      <c r="F10" s="8">
        <v>55</v>
      </c>
      <c r="G10" s="22">
        <v>1265</v>
      </c>
      <c r="H10" s="22">
        <v>605</v>
      </c>
    </row>
    <row r="11" spans="1:8" x14ac:dyDescent="0.25">
      <c r="A11" s="75">
        <v>40680</v>
      </c>
      <c r="B11" s="8" t="s">
        <v>315</v>
      </c>
      <c r="C11" s="8" t="s">
        <v>308</v>
      </c>
      <c r="D11" s="8" t="s">
        <v>312</v>
      </c>
      <c r="E11" s="8" t="s">
        <v>340</v>
      </c>
      <c r="F11" s="8">
        <v>39</v>
      </c>
      <c r="G11" s="22">
        <v>897</v>
      </c>
      <c r="H11" s="22">
        <v>429</v>
      </c>
    </row>
    <row r="12" spans="1:8" x14ac:dyDescent="0.25">
      <c r="A12" s="75">
        <v>40644</v>
      </c>
      <c r="B12" s="8" t="s">
        <v>311</v>
      </c>
      <c r="C12" s="8" t="s">
        <v>308</v>
      </c>
      <c r="D12" s="8" t="s">
        <v>136</v>
      </c>
      <c r="E12" s="8" t="s">
        <v>345</v>
      </c>
      <c r="F12" s="8">
        <v>49</v>
      </c>
      <c r="G12" s="22">
        <v>931</v>
      </c>
      <c r="H12" s="22">
        <v>392</v>
      </c>
    </row>
    <row r="13" spans="1:8" x14ac:dyDescent="0.25">
      <c r="A13" s="75">
        <v>40589</v>
      </c>
      <c r="B13" s="8" t="s">
        <v>315</v>
      </c>
      <c r="C13" s="8" t="s">
        <v>308</v>
      </c>
      <c r="D13" s="8" t="s">
        <v>136</v>
      </c>
      <c r="E13" s="8" t="s">
        <v>313</v>
      </c>
      <c r="F13" s="8">
        <v>63</v>
      </c>
      <c r="G13" s="22">
        <v>1449</v>
      </c>
      <c r="H13" s="22">
        <v>693</v>
      </c>
    </row>
  </sheetData>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00">
    <tabColor rgb="FF0000FF"/>
  </sheetPr>
  <dimension ref="A1:S48"/>
  <sheetViews>
    <sheetView showGridLines="0" zoomScale="55" zoomScaleNormal="55" workbookViewId="0">
      <selection activeCell="H8" sqref="A1:H8"/>
    </sheetView>
  </sheetViews>
  <sheetFormatPr defaultRowHeight="15" x14ac:dyDescent="0.25"/>
  <cols>
    <col min="1" max="1" width="18.42578125" customWidth="1"/>
    <col min="2" max="2" width="9.28515625" bestFit="1" customWidth="1"/>
    <col min="3" max="3" width="20.7109375" customWidth="1"/>
    <col min="4" max="4" width="26.85546875" customWidth="1"/>
    <col min="5" max="6" width="20.7109375" customWidth="1"/>
    <col min="7" max="7" width="1.7109375" customWidth="1"/>
    <col min="8" max="8" width="22.7109375" customWidth="1"/>
    <col min="12" max="12" width="1.85546875" customWidth="1"/>
    <col min="14" max="14" width="16.7109375" customWidth="1"/>
    <col min="15" max="15" width="3.140625" customWidth="1"/>
    <col min="16" max="16" width="3.7109375" customWidth="1"/>
    <col min="17" max="17" width="18.28515625" customWidth="1"/>
  </cols>
  <sheetData>
    <row r="1" spans="1:19" ht="26.25" x14ac:dyDescent="0.4">
      <c r="C1" s="437" t="s">
        <v>1050</v>
      </c>
      <c r="D1" s="437"/>
      <c r="E1" s="437"/>
      <c r="F1" s="437"/>
      <c r="S1" s="231" t="s">
        <v>1052</v>
      </c>
    </row>
    <row r="2" spans="1:19" ht="26.25" x14ac:dyDescent="0.4">
      <c r="B2" s="8"/>
      <c r="C2" s="229" t="s">
        <v>307</v>
      </c>
      <c r="D2" s="229" t="s">
        <v>308</v>
      </c>
      <c r="E2" s="229" t="s">
        <v>310</v>
      </c>
      <c r="F2" s="229" t="s">
        <v>309</v>
      </c>
      <c r="S2" s="231" t="s">
        <v>1053</v>
      </c>
    </row>
    <row r="3" spans="1:19" ht="15" customHeight="1" x14ac:dyDescent="0.3">
      <c r="A3" s="438" t="s">
        <v>1051</v>
      </c>
      <c r="B3" s="229" t="s">
        <v>7</v>
      </c>
      <c r="C3" s="8"/>
      <c r="D3" s="8"/>
      <c r="E3" s="8"/>
      <c r="F3" s="8"/>
    </row>
    <row r="4" spans="1:19" ht="18.75" x14ac:dyDescent="0.3">
      <c r="A4" s="438"/>
      <c r="B4" s="229" t="s">
        <v>312</v>
      </c>
      <c r="C4" s="8"/>
      <c r="D4" s="8"/>
      <c r="E4" s="8"/>
      <c r="F4" s="8"/>
    </row>
    <row r="5" spans="1:19" ht="66" customHeight="1" x14ac:dyDescent="0.3">
      <c r="A5" s="438"/>
      <c r="B5" s="229" t="s">
        <v>328</v>
      </c>
      <c r="C5" s="8"/>
      <c r="D5" s="230" t="str">
        <f>"Add all sales for "&amp;B5&amp;" in the "&amp;D2&amp;" region from the Sales field"</f>
        <v>Add all sales for Gault in the MidWest region from the Sales field</v>
      </c>
      <c r="E5" s="8"/>
      <c r="F5" s="8"/>
    </row>
    <row r="6" spans="1:19" ht="18.75" x14ac:dyDescent="0.3">
      <c r="A6" s="438"/>
      <c r="B6" s="229" t="s">
        <v>136</v>
      </c>
      <c r="C6" s="8"/>
      <c r="D6" s="8"/>
      <c r="E6" s="8"/>
      <c r="F6" s="8"/>
    </row>
    <row r="7" spans="1:19" ht="18.75" x14ac:dyDescent="0.3">
      <c r="A7" s="438"/>
      <c r="B7" s="229" t="s">
        <v>3</v>
      </c>
      <c r="C7" s="8"/>
      <c r="D7" s="8"/>
      <c r="E7" s="8"/>
      <c r="F7" s="8"/>
    </row>
    <row r="8" spans="1:19" ht="18.75" x14ac:dyDescent="0.3">
      <c r="A8" s="438"/>
      <c r="B8" s="229" t="s">
        <v>132</v>
      </c>
      <c r="C8" s="8"/>
      <c r="D8" s="8"/>
      <c r="E8" s="8"/>
      <c r="F8" s="8"/>
    </row>
    <row r="10" spans="1:19" ht="26.25" x14ac:dyDescent="0.4">
      <c r="D10" s="231"/>
      <c r="E10" s="231"/>
      <c r="F10" s="231"/>
    </row>
    <row r="11" spans="1:19" ht="26.25" x14ac:dyDescent="0.4">
      <c r="D11" s="231"/>
      <c r="E11" s="231"/>
      <c r="F11" s="231"/>
    </row>
    <row r="14" spans="1:19" x14ac:dyDescent="0.25">
      <c r="A14" s="232"/>
      <c r="B14" s="232"/>
      <c r="C14" s="232"/>
      <c r="D14" s="232"/>
      <c r="E14" s="232"/>
      <c r="F14" s="232"/>
      <c r="G14" s="232"/>
      <c r="H14" s="232"/>
      <c r="I14" s="232"/>
      <c r="J14" s="232"/>
      <c r="K14" s="232"/>
      <c r="L14" s="232"/>
      <c r="M14" s="232"/>
      <c r="N14" s="232"/>
      <c r="O14" s="232"/>
      <c r="P14" s="232"/>
      <c r="Q14" s="232"/>
      <c r="R14" s="232"/>
      <c r="S14" s="232"/>
    </row>
    <row r="17" spans="2:17" ht="28.5" x14ac:dyDescent="0.45">
      <c r="B17" s="233" t="s">
        <v>1</v>
      </c>
    </row>
    <row r="21" spans="2:17" ht="6.75" customHeight="1" x14ac:dyDescent="0.25"/>
    <row r="23" spans="2:17" ht="15.75" thickBot="1" x14ac:dyDescent="0.3"/>
    <row r="24" spans="2:17" ht="15.75" thickBot="1" x14ac:dyDescent="0.3">
      <c r="O24" s="234"/>
      <c r="P24" s="235"/>
      <c r="Q24" s="236"/>
    </row>
    <row r="25" spans="2:17" ht="8.25" customHeight="1" thickBot="1" x14ac:dyDescent="0.3">
      <c r="M25" s="237"/>
    </row>
    <row r="26" spans="2:17" ht="15.75" thickBot="1" x14ac:dyDescent="0.3">
      <c r="Q26" s="238"/>
    </row>
    <row r="27" spans="2:17" x14ac:dyDescent="0.25">
      <c r="O27" s="239"/>
      <c r="Q27" s="240"/>
    </row>
    <row r="28" spans="2:17" x14ac:dyDescent="0.25">
      <c r="O28" s="241"/>
      <c r="Q28" s="242"/>
    </row>
    <row r="29" spans="2:17" ht="15.75" thickBot="1" x14ac:dyDescent="0.3">
      <c r="O29" s="243"/>
      <c r="Q29" s="244"/>
    </row>
    <row r="32" spans="2:17" ht="15.75" thickBot="1" x14ac:dyDescent="0.3"/>
    <row r="33" spans="13:17" ht="15.75" thickBot="1" x14ac:dyDescent="0.3">
      <c r="O33" s="234"/>
      <c r="P33" s="235"/>
      <c r="Q33" s="236"/>
    </row>
    <row r="34" spans="13:17" ht="29.25" thickBot="1" x14ac:dyDescent="0.3">
      <c r="M34" s="237"/>
    </row>
    <row r="35" spans="13:17" ht="15.75" thickBot="1" x14ac:dyDescent="0.3">
      <c r="Q35" s="245"/>
    </row>
    <row r="36" spans="13:17" x14ac:dyDescent="0.25">
      <c r="O36" s="240"/>
      <c r="Q36" s="240"/>
    </row>
    <row r="37" spans="13:17" x14ac:dyDescent="0.25">
      <c r="O37" s="242"/>
      <c r="Q37" s="242"/>
    </row>
    <row r="38" spans="13:17" ht="15.75" thickBot="1" x14ac:dyDescent="0.3">
      <c r="O38" s="244"/>
      <c r="Q38" s="244"/>
    </row>
    <row r="42" spans="13:17" ht="15.75" thickBot="1" x14ac:dyDescent="0.3"/>
    <row r="43" spans="13:17" ht="15.75" thickBot="1" x14ac:dyDescent="0.3">
      <c r="O43" s="234"/>
      <c r="P43" s="235"/>
      <c r="Q43" s="236"/>
    </row>
    <row r="44" spans="13:17" ht="29.25" thickBot="1" x14ac:dyDescent="0.3">
      <c r="M44" s="237"/>
    </row>
    <row r="45" spans="13:17" ht="15.75" thickBot="1" x14ac:dyDescent="0.3">
      <c r="Q45" s="238"/>
    </row>
    <row r="46" spans="13:17" x14ac:dyDescent="0.25">
      <c r="O46" s="240"/>
      <c r="Q46" s="239"/>
    </row>
    <row r="47" spans="13:17" x14ac:dyDescent="0.25">
      <c r="O47" s="242"/>
      <c r="Q47" s="241"/>
    </row>
    <row r="48" spans="13:17" ht="15.75" thickBot="1" x14ac:dyDescent="0.3">
      <c r="O48" s="244"/>
      <c r="Q48" s="243"/>
    </row>
  </sheetData>
  <mergeCells count="2">
    <mergeCell ref="C1:F1"/>
    <mergeCell ref="A3:A8"/>
  </mergeCells>
  <pageMargins left="0.7" right="0.7" top="0.75" bottom="0.75" header="0.3" footer="0.3"/>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06">
    <tabColor rgb="FF0000FF"/>
  </sheetPr>
  <dimension ref="A3:F11"/>
  <sheetViews>
    <sheetView workbookViewId="0">
      <selection activeCell="D6" sqref="D6"/>
    </sheetView>
  </sheetViews>
  <sheetFormatPr defaultRowHeight="15" x14ac:dyDescent="0.25"/>
  <cols>
    <col min="1" max="1" width="11.7109375" customWidth="1"/>
    <col min="2" max="5" width="9.140625" bestFit="1" customWidth="1"/>
    <col min="6" max="6" width="10.7109375" customWidth="1"/>
    <col min="7" max="7" width="11.28515625" bestFit="1" customWidth="1"/>
  </cols>
  <sheetData>
    <row r="3" spans="1:6" x14ac:dyDescent="0.25">
      <c r="A3" s="73" t="s">
        <v>1046</v>
      </c>
      <c r="B3" s="225" t="s">
        <v>303</v>
      </c>
    </row>
    <row r="4" spans="1:6" x14ac:dyDescent="0.25">
      <c r="A4" s="225" t="s">
        <v>1</v>
      </c>
      <c r="B4" t="s">
        <v>307</v>
      </c>
      <c r="C4" t="s">
        <v>308</v>
      </c>
      <c r="D4" t="s">
        <v>310</v>
      </c>
      <c r="E4" t="s">
        <v>309</v>
      </c>
      <c r="F4" t="s">
        <v>1014</v>
      </c>
    </row>
    <row r="5" spans="1:6" x14ac:dyDescent="0.25">
      <c r="A5" t="s">
        <v>7</v>
      </c>
      <c r="B5" s="246">
        <v>1592.4099999999999</v>
      </c>
      <c r="C5" s="246">
        <v>3079.7599999999993</v>
      </c>
      <c r="D5" s="246">
        <v>1496.4299999999998</v>
      </c>
      <c r="E5" s="246">
        <v>3064.7799999999997</v>
      </c>
      <c r="F5" s="246">
        <v>9233.3799999999974</v>
      </c>
    </row>
    <row r="6" spans="1:6" x14ac:dyDescent="0.25">
      <c r="A6" t="s">
        <v>312</v>
      </c>
      <c r="B6" s="246">
        <v>3173.5699999999997</v>
      </c>
      <c r="C6" s="246">
        <v>3689.4999999999995</v>
      </c>
      <c r="D6" s="246">
        <v>1832.2999999999997</v>
      </c>
      <c r="E6" s="246">
        <v>2944.74</v>
      </c>
      <c r="F6" s="246">
        <v>11640.109999999999</v>
      </c>
    </row>
    <row r="7" spans="1:6" x14ac:dyDescent="0.25">
      <c r="A7" t="s">
        <v>328</v>
      </c>
      <c r="B7" s="246">
        <v>4684.9199999999992</v>
      </c>
      <c r="C7" s="246">
        <v>6847.16</v>
      </c>
      <c r="D7" s="246">
        <v>5896.4499999999989</v>
      </c>
      <c r="E7" s="246">
        <v>836.68999999999994</v>
      </c>
      <c r="F7" s="246">
        <v>18265.219999999998</v>
      </c>
    </row>
    <row r="8" spans="1:6" x14ac:dyDescent="0.25">
      <c r="A8" t="s">
        <v>136</v>
      </c>
      <c r="B8" s="246">
        <v>4753.869999999999</v>
      </c>
      <c r="C8" s="246">
        <v>3815.37</v>
      </c>
      <c r="D8" s="246">
        <v>3562.3799999999997</v>
      </c>
      <c r="E8" s="246">
        <v>3342.5899999999997</v>
      </c>
      <c r="F8" s="246">
        <v>15474.209999999997</v>
      </c>
    </row>
    <row r="9" spans="1:6" x14ac:dyDescent="0.25">
      <c r="A9" t="s">
        <v>3</v>
      </c>
      <c r="B9" s="246">
        <v>3548.4999999999995</v>
      </c>
      <c r="C9" s="246">
        <v>1986.98</v>
      </c>
      <c r="D9" s="246">
        <v>4999.84</v>
      </c>
      <c r="E9" s="246">
        <v>1881.12</v>
      </c>
      <c r="F9" s="246">
        <v>12416.439999999999</v>
      </c>
    </row>
    <row r="10" spans="1:6" x14ac:dyDescent="0.25">
      <c r="A10" t="s">
        <v>132</v>
      </c>
      <c r="B10" s="246">
        <v>3129.75</v>
      </c>
      <c r="C10" s="246">
        <v>3502.5199999999995</v>
      </c>
      <c r="D10" s="246">
        <v>7115.73</v>
      </c>
      <c r="E10" s="246">
        <v>4649.9799999999996</v>
      </c>
      <c r="F10" s="246">
        <v>18397.98</v>
      </c>
    </row>
    <row r="11" spans="1:6" x14ac:dyDescent="0.25">
      <c r="A11" t="s">
        <v>1014</v>
      </c>
      <c r="B11" s="246">
        <v>20883.019999999997</v>
      </c>
      <c r="C11" s="246">
        <v>22921.289999999997</v>
      </c>
      <c r="D11" s="246">
        <v>24903.129999999997</v>
      </c>
      <c r="E11" s="246">
        <v>16719.899999999998</v>
      </c>
      <c r="F11" s="246">
        <v>85427.339999999982</v>
      </c>
    </row>
  </sheetData>
  <pageMargins left="0.7" right="0.7" top="0.75" bottom="0.75" header="0.3" footer="0.3"/>
  <pageSetup orientation="portrait"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7">
    <tabColor rgb="FF0000FF"/>
  </sheetPr>
  <dimension ref="A1:H106"/>
  <sheetViews>
    <sheetView workbookViewId="0"/>
  </sheetViews>
  <sheetFormatPr defaultColWidth="9.140625" defaultRowHeight="15" x14ac:dyDescent="0.25"/>
  <cols>
    <col min="7" max="7" width="10.85546875" bestFit="1" customWidth="1"/>
    <col min="10" max="10" width="10.5703125" bestFit="1" customWidth="1"/>
    <col min="12" max="12" width="12.42578125" bestFit="1" customWidth="1"/>
    <col min="13" max="13" width="13.140625" bestFit="1" customWidth="1"/>
    <col min="14" max="14" width="13.42578125" customWidth="1"/>
    <col min="16" max="16" width="12.42578125" bestFit="1" customWidth="1"/>
    <col min="17" max="17" width="13.14062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40555</v>
      </c>
      <c r="B2" s="8" t="s">
        <v>319</v>
      </c>
      <c r="C2" s="8" t="s">
        <v>307</v>
      </c>
      <c r="D2" s="8" t="s">
        <v>328</v>
      </c>
      <c r="E2" s="8" t="s">
        <v>322</v>
      </c>
      <c r="F2" s="8">
        <v>36</v>
      </c>
      <c r="G2" s="22">
        <v>971.64</v>
      </c>
      <c r="H2" s="22">
        <v>522</v>
      </c>
    </row>
    <row r="3" spans="1:8" x14ac:dyDescent="0.25">
      <c r="A3" s="75">
        <v>40554</v>
      </c>
      <c r="B3" s="8" t="s">
        <v>319</v>
      </c>
      <c r="C3" s="8" t="s">
        <v>307</v>
      </c>
      <c r="D3" s="8" t="s">
        <v>132</v>
      </c>
      <c r="E3" s="8" t="s">
        <v>335</v>
      </c>
      <c r="F3" s="8">
        <v>62</v>
      </c>
      <c r="G3" s="22">
        <v>1673.3799999999999</v>
      </c>
      <c r="H3" s="22">
        <v>899</v>
      </c>
    </row>
    <row r="4" spans="1:8" x14ac:dyDescent="0.25">
      <c r="A4" s="75">
        <v>40549</v>
      </c>
      <c r="B4" s="8" t="s">
        <v>319</v>
      </c>
      <c r="C4" s="8" t="s">
        <v>307</v>
      </c>
      <c r="D4" s="8" t="s">
        <v>312</v>
      </c>
      <c r="E4" s="8" t="s">
        <v>324</v>
      </c>
      <c r="F4" s="8">
        <v>50</v>
      </c>
      <c r="G4" s="22">
        <v>1349.5</v>
      </c>
      <c r="H4" s="22">
        <v>725</v>
      </c>
    </row>
    <row r="5" spans="1:8" x14ac:dyDescent="0.25">
      <c r="A5" s="75">
        <v>40546</v>
      </c>
      <c r="B5" s="8" t="s">
        <v>315</v>
      </c>
      <c r="C5" s="8" t="s">
        <v>310</v>
      </c>
      <c r="D5" s="8" t="s">
        <v>328</v>
      </c>
      <c r="E5" s="8" t="s">
        <v>341</v>
      </c>
      <c r="F5" s="8">
        <v>59</v>
      </c>
      <c r="G5" s="22">
        <v>1415.4099999999999</v>
      </c>
      <c r="H5" s="22">
        <v>649</v>
      </c>
    </row>
    <row r="6" spans="1:8" x14ac:dyDescent="0.25">
      <c r="A6" s="75">
        <v>40559</v>
      </c>
      <c r="B6" s="8" t="s">
        <v>315</v>
      </c>
      <c r="C6" s="8" t="s">
        <v>308</v>
      </c>
      <c r="D6" s="8" t="s">
        <v>312</v>
      </c>
      <c r="E6" s="8" t="s">
        <v>316</v>
      </c>
      <c r="F6" s="8">
        <v>53</v>
      </c>
      <c r="G6" s="22">
        <v>1271.47</v>
      </c>
      <c r="H6" s="22">
        <v>583</v>
      </c>
    </row>
    <row r="7" spans="1:8" x14ac:dyDescent="0.25">
      <c r="A7" s="75">
        <v>40567</v>
      </c>
      <c r="B7" s="8" t="s">
        <v>311</v>
      </c>
      <c r="C7" s="8" t="s">
        <v>309</v>
      </c>
      <c r="D7" s="8" t="s">
        <v>136</v>
      </c>
      <c r="E7" s="8" t="s">
        <v>429</v>
      </c>
      <c r="F7" s="8">
        <v>41</v>
      </c>
      <c r="G7" s="22">
        <v>778.58999999999992</v>
      </c>
      <c r="H7" s="22">
        <v>328</v>
      </c>
    </row>
    <row r="8" spans="1:8" x14ac:dyDescent="0.25">
      <c r="A8" s="75">
        <v>40553</v>
      </c>
      <c r="B8" s="8" t="s">
        <v>321</v>
      </c>
      <c r="C8" s="8" t="s">
        <v>308</v>
      </c>
      <c r="D8" s="8" t="s">
        <v>132</v>
      </c>
      <c r="E8" s="8" t="s">
        <v>428</v>
      </c>
      <c r="F8" s="8">
        <v>13</v>
      </c>
      <c r="G8" s="22">
        <v>298.87</v>
      </c>
      <c r="H8" s="22">
        <v>130</v>
      </c>
    </row>
    <row r="9" spans="1:8" x14ac:dyDescent="0.25">
      <c r="A9" s="75">
        <v>40567</v>
      </c>
      <c r="B9" s="8" t="s">
        <v>319</v>
      </c>
      <c r="C9" s="8" t="s">
        <v>310</v>
      </c>
      <c r="D9" s="8" t="s">
        <v>132</v>
      </c>
      <c r="E9" s="8" t="s">
        <v>322</v>
      </c>
      <c r="F9" s="8">
        <v>56</v>
      </c>
      <c r="G9" s="22">
        <v>1511.4399999999998</v>
      </c>
      <c r="H9" s="22">
        <v>812</v>
      </c>
    </row>
    <row r="10" spans="1:8" x14ac:dyDescent="0.25">
      <c r="A10" s="75">
        <v>40556</v>
      </c>
      <c r="B10" s="8" t="s">
        <v>311</v>
      </c>
      <c r="C10" s="8" t="s">
        <v>307</v>
      </c>
      <c r="D10" s="8" t="s">
        <v>328</v>
      </c>
      <c r="E10" s="8" t="s">
        <v>338</v>
      </c>
      <c r="F10" s="8">
        <v>50</v>
      </c>
      <c r="G10" s="22">
        <v>949.49999999999989</v>
      </c>
      <c r="H10" s="22">
        <v>400</v>
      </c>
    </row>
    <row r="11" spans="1:8" x14ac:dyDescent="0.25">
      <c r="A11" s="75">
        <v>40568</v>
      </c>
      <c r="B11" s="8" t="s">
        <v>311</v>
      </c>
      <c r="C11" s="8" t="s">
        <v>308</v>
      </c>
      <c r="D11" s="8" t="s">
        <v>132</v>
      </c>
      <c r="E11" s="8" t="s">
        <v>329</v>
      </c>
      <c r="F11" s="8">
        <v>26</v>
      </c>
      <c r="G11" s="22">
        <v>493.73999999999995</v>
      </c>
      <c r="H11" s="22">
        <v>208</v>
      </c>
    </row>
    <row r="12" spans="1:8" x14ac:dyDescent="0.25">
      <c r="A12" s="75">
        <v>40553</v>
      </c>
      <c r="B12" s="8" t="s">
        <v>321</v>
      </c>
      <c r="C12" s="8" t="s">
        <v>307</v>
      </c>
      <c r="D12" s="8" t="s">
        <v>136</v>
      </c>
      <c r="E12" s="8" t="s">
        <v>335</v>
      </c>
      <c r="F12" s="8">
        <v>26</v>
      </c>
      <c r="G12" s="22">
        <v>597.74</v>
      </c>
      <c r="H12" s="22">
        <v>260</v>
      </c>
    </row>
    <row r="13" spans="1:8" x14ac:dyDescent="0.25">
      <c r="A13" s="75">
        <v>40572</v>
      </c>
      <c r="B13" s="8" t="s">
        <v>317</v>
      </c>
      <c r="C13" s="8" t="s">
        <v>310</v>
      </c>
      <c r="D13" s="8" t="s">
        <v>328</v>
      </c>
      <c r="E13" s="8" t="s">
        <v>342</v>
      </c>
      <c r="F13" s="8">
        <v>53</v>
      </c>
      <c r="G13" s="22">
        <v>1112.47</v>
      </c>
      <c r="H13" s="22">
        <v>490.25</v>
      </c>
    </row>
    <row r="14" spans="1:8" x14ac:dyDescent="0.25">
      <c r="A14" s="75">
        <v>40560</v>
      </c>
      <c r="B14" s="8" t="s">
        <v>319</v>
      </c>
      <c r="C14" s="8" t="s">
        <v>307</v>
      </c>
      <c r="D14" s="8" t="s">
        <v>136</v>
      </c>
      <c r="E14" s="8" t="s">
        <v>334</v>
      </c>
      <c r="F14" s="8">
        <v>43</v>
      </c>
      <c r="G14" s="22">
        <v>1160.57</v>
      </c>
      <c r="H14" s="22">
        <v>623.5</v>
      </c>
    </row>
    <row r="15" spans="1:8" x14ac:dyDescent="0.25">
      <c r="A15" s="75">
        <v>40546</v>
      </c>
      <c r="B15" s="8" t="s">
        <v>319</v>
      </c>
      <c r="C15" s="8" t="s">
        <v>308</v>
      </c>
      <c r="D15" s="8" t="s">
        <v>328</v>
      </c>
      <c r="E15" s="8" t="s">
        <v>324</v>
      </c>
      <c r="F15" s="8">
        <v>36</v>
      </c>
      <c r="G15" s="22">
        <v>971.64</v>
      </c>
      <c r="H15" s="22">
        <v>522</v>
      </c>
    </row>
    <row r="16" spans="1:8" x14ac:dyDescent="0.25">
      <c r="A16" s="75">
        <v>40567</v>
      </c>
      <c r="B16" s="8" t="s">
        <v>319</v>
      </c>
      <c r="C16" s="8" t="s">
        <v>310</v>
      </c>
      <c r="D16" s="8" t="s">
        <v>312</v>
      </c>
      <c r="E16" s="8" t="s">
        <v>313</v>
      </c>
      <c r="F16" s="8">
        <v>9</v>
      </c>
      <c r="G16" s="22">
        <v>242.91</v>
      </c>
      <c r="H16" s="22">
        <v>130.5</v>
      </c>
    </row>
    <row r="17" spans="1:8" x14ac:dyDescent="0.25">
      <c r="A17" s="75">
        <v>40566</v>
      </c>
      <c r="B17" s="8" t="s">
        <v>315</v>
      </c>
      <c r="C17" s="8" t="s">
        <v>310</v>
      </c>
      <c r="D17" s="8" t="s">
        <v>328</v>
      </c>
      <c r="E17" s="8" t="s">
        <v>323</v>
      </c>
      <c r="F17" s="8">
        <v>60</v>
      </c>
      <c r="G17" s="22">
        <v>1439.3999999999999</v>
      </c>
      <c r="H17" s="22">
        <v>660</v>
      </c>
    </row>
    <row r="18" spans="1:8" x14ac:dyDescent="0.25">
      <c r="A18" s="75">
        <v>40563</v>
      </c>
      <c r="B18" s="8" t="s">
        <v>317</v>
      </c>
      <c r="C18" s="8" t="s">
        <v>307</v>
      </c>
      <c r="D18" s="8" t="s">
        <v>328</v>
      </c>
      <c r="E18" s="8" t="s">
        <v>332</v>
      </c>
      <c r="F18" s="8">
        <v>7</v>
      </c>
      <c r="G18" s="22">
        <v>146.92999999999998</v>
      </c>
      <c r="H18" s="22">
        <v>64.75</v>
      </c>
    </row>
    <row r="19" spans="1:8" x14ac:dyDescent="0.25">
      <c r="A19" s="75">
        <v>40568</v>
      </c>
      <c r="B19" s="8" t="s">
        <v>319</v>
      </c>
      <c r="C19" s="8" t="s">
        <v>307</v>
      </c>
      <c r="D19" s="8" t="s">
        <v>3</v>
      </c>
      <c r="E19" s="8" t="s">
        <v>329</v>
      </c>
      <c r="F19" s="8">
        <v>50</v>
      </c>
      <c r="G19" s="22">
        <v>1349.5</v>
      </c>
      <c r="H19" s="22">
        <v>725</v>
      </c>
    </row>
    <row r="20" spans="1:8" x14ac:dyDescent="0.25">
      <c r="A20" s="75">
        <v>40558</v>
      </c>
      <c r="B20" s="8" t="s">
        <v>315</v>
      </c>
      <c r="C20" s="8" t="s">
        <v>309</v>
      </c>
      <c r="D20" s="8" t="s">
        <v>132</v>
      </c>
      <c r="E20" s="8" t="s">
        <v>334</v>
      </c>
      <c r="F20" s="8">
        <v>16</v>
      </c>
      <c r="G20" s="22">
        <v>383.84</v>
      </c>
      <c r="H20" s="22">
        <v>176</v>
      </c>
    </row>
    <row r="21" spans="1:8" x14ac:dyDescent="0.25">
      <c r="A21" s="75">
        <v>40568</v>
      </c>
      <c r="B21" s="8" t="s">
        <v>321</v>
      </c>
      <c r="C21" s="8" t="s">
        <v>308</v>
      </c>
      <c r="D21" s="8" t="s">
        <v>328</v>
      </c>
      <c r="E21" s="8" t="s">
        <v>320</v>
      </c>
      <c r="F21" s="8">
        <v>28</v>
      </c>
      <c r="G21" s="22">
        <v>643.71999999999991</v>
      </c>
      <c r="H21" s="22">
        <v>280</v>
      </c>
    </row>
    <row r="22" spans="1:8" x14ac:dyDescent="0.25">
      <c r="A22" s="75">
        <v>40549</v>
      </c>
      <c r="B22" s="8" t="s">
        <v>311</v>
      </c>
      <c r="C22" s="8" t="s">
        <v>310</v>
      </c>
      <c r="D22" s="8" t="s">
        <v>132</v>
      </c>
      <c r="E22" s="8" t="s">
        <v>342</v>
      </c>
      <c r="F22" s="8">
        <v>53</v>
      </c>
      <c r="G22" s="22">
        <v>1006.4699999999999</v>
      </c>
      <c r="H22" s="22">
        <v>424</v>
      </c>
    </row>
    <row r="23" spans="1:8" x14ac:dyDescent="0.25">
      <c r="A23" s="75">
        <v>40567</v>
      </c>
      <c r="B23" s="8" t="s">
        <v>319</v>
      </c>
      <c r="C23" s="8" t="s">
        <v>308</v>
      </c>
      <c r="D23" s="8" t="s">
        <v>312</v>
      </c>
      <c r="E23" s="8" t="s">
        <v>337</v>
      </c>
      <c r="F23" s="8">
        <v>61</v>
      </c>
      <c r="G23" s="22">
        <v>1646.3899999999999</v>
      </c>
      <c r="H23" s="22">
        <v>884.5</v>
      </c>
    </row>
    <row r="24" spans="1:8" x14ac:dyDescent="0.25">
      <c r="A24" s="75">
        <v>40566</v>
      </c>
      <c r="B24" s="8" t="s">
        <v>317</v>
      </c>
      <c r="C24" s="8" t="s">
        <v>308</v>
      </c>
      <c r="D24" s="8" t="s">
        <v>136</v>
      </c>
      <c r="E24" s="8" t="s">
        <v>429</v>
      </c>
      <c r="F24" s="8">
        <v>23</v>
      </c>
      <c r="G24" s="22">
        <v>482.77</v>
      </c>
      <c r="H24" s="22">
        <v>212.75</v>
      </c>
    </row>
    <row r="25" spans="1:8" x14ac:dyDescent="0.25">
      <c r="A25" s="75">
        <v>40545</v>
      </c>
      <c r="B25" s="8" t="s">
        <v>311</v>
      </c>
      <c r="C25" s="8" t="s">
        <v>309</v>
      </c>
      <c r="D25" s="8" t="s">
        <v>3</v>
      </c>
      <c r="E25" s="8" t="s">
        <v>322</v>
      </c>
      <c r="F25" s="8">
        <v>16</v>
      </c>
      <c r="G25" s="22">
        <v>303.83999999999997</v>
      </c>
      <c r="H25" s="22">
        <v>128</v>
      </c>
    </row>
    <row r="26" spans="1:8" x14ac:dyDescent="0.25">
      <c r="A26" s="75">
        <v>40557</v>
      </c>
      <c r="B26" s="8" t="s">
        <v>319</v>
      </c>
      <c r="C26" s="8" t="s">
        <v>309</v>
      </c>
      <c r="D26" s="8" t="s">
        <v>7</v>
      </c>
      <c r="E26" s="8" t="s">
        <v>342</v>
      </c>
      <c r="F26" s="8">
        <v>43</v>
      </c>
      <c r="G26" s="22">
        <v>1160.57</v>
      </c>
      <c r="H26" s="22">
        <v>623.5</v>
      </c>
    </row>
    <row r="27" spans="1:8" x14ac:dyDescent="0.25">
      <c r="A27" s="75">
        <v>40569</v>
      </c>
      <c r="B27" s="8" t="s">
        <v>317</v>
      </c>
      <c r="C27" s="8" t="s">
        <v>307</v>
      </c>
      <c r="D27" s="8" t="s">
        <v>312</v>
      </c>
      <c r="E27" s="8" t="s">
        <v>322</v>
      </c>
      <c r="F27" s="8">
        <v>29</v>
      </c>
      <c r="G27" s="22">
        <v>608.70999999999992</v>
      </c>
      <c r="H27" s="22">
        <v>268.25</v>
      </c>
    </row>
    <row r="28" spans="1:8" x14ac:dyDescent="0.25">
      <c r="A28" s="75">
        <v>40556</v>
      </c>
      <c r="B28" s="8" t="s">
        <v>315</v>
      </c>
      <c r="C28" s="8" t="s">
        <v>307</v>
      </c>
      <c r="D28" s="8" t="s">
        <v>3</v>
      </c>
      <c r="E28" s="8" t="s">
        <v>323</v>
      </c>
      <c r="F28" s="8">
        <v>60</v>
      </c>
      <c r="G28" s="22">
        <v>1439.3999999999999</v>
      </c>
      <c r="H28" s="22">
        <v>660</v>
      </c>
    </row>
    <row r="29" spans="1:8" x14ac:dyDescent="0.25">
      <c r="A29" s="75">
        <v>40571</v>
      </c>
      <c r="B29" s="8" t="s">
        <v>315</v>
      </c>
      <c r="C29" s="8" t="s">
        <v>310</v>
      </c>
      <c r="D29" s="8" t="s">
        <v>312</v>
      </c>
      <c r="E29" s="8" t="s">
        <v>318</v>
      </c>
      <c r="F29" s="8">
        <v>19</v>
      </c>
      <c r="G29" s="22">
        <v>455.80999999999995</v>
      </c>
      <c r="H29" s="22">
        <v>209</v>
      </c>
    </row>
    <row r="30" spans="1:8" x14ac:dyDescent="0.25">
      <c r="A30" s="75">
        <v>40557</v>
      </c>
      <c r="B30" s="8" t="s">
        <v>319</v>
      </c>
      <c r="C30" s="8" t="s">
        <v>308</v>
      </c>
      <c r="D30" s="8" t="s">
        <v>328</v>
      </c>
      <c r="E30" s="8" t="s">
        <v>323</v>
      </c>
      <c r="F30" s="8">
        <v>29</v>
      </c>
      <c r="G30" s="22">
        <v>782.70999999999992</v>
      </c>
      <c r="H30" s="22">
        <v>420.5</v>
      </c>
    </row>
    <row r="31" spans="1:8" x14ac:dyDescent="0.25">
      <c r="A31" s="75">
        <v>40568</v>
      </c>
      <c r="B31" s="8" t="s">
        <v>315</v>
      </c>
      <c r="C31" s="8" t="s">
        <v>310</v>
      </c>
      <c r="D31" s="8" t="s">
        <v>328</v>
      </c>
      <c r="E31" s="8" t="s">
        <v>318</v>
      </c>
      <c r="F31" s="8">
        <v>21</v>
      </c>
      <c r="G31" s="22">
        <v>503.78999999999996</v>
      </c>
      <c r="H31" s="22">
        <v>231</v>
      </c>
    </row>
    <row r="32" spans="1:8" x14ac:dyDescent="0.25">
      <c r="A32" s="75">
        <v>40563</v>
      </c>
      <c r="B32" s="8" t="s">
        <v>321</v>
      </c>
      <c r="C32" s="8" t="s">
        <v>310</v>
      </c>
      <c r="D32" s="8" t="s">
        <v>136</v>
      </c>
      <c r="E32" s="8" t="s">
        <v>340</v>
      </c>
      <c r="F32" s="8">
        <v>28</v>
      </c>
      <c r="G32" s="22">
        <v>643.71999999999991</v>
      </c>
      <c r="H32" s="22">
        <v>280</v>
      </c>
    </row>
    <row r="33" spans="1:8" x14ac:dyDescent="0.25">
      <c r="A33" s="75">
        <v>40552</v>
      </c>
      <c r="B33" s="8" t="s">
        <v>311</v>
      </c>
      <c r="C33" s="8" t="s">
        <v>309</v>
      </c>
      <c r="D33" s="8" t="s">
        <v>312</v>
      </c>
      <c r="E33" s="8" t="s">
        <v>325</v>
      </c>
      <c r="F33" s="8">
        <v>45</v>
      </c>
      <c r="G33" s="22">
        <v>854.55</v>
      </c>
      <c r="H33" s="22">
        <v>360</v>
      </c>
    </row>
    <row r="34" spans="1:8" x14ac:dyDescent="0.25">
      <c r="A34" s="75">
        <v>40568</v>
      </c>
      <c r="B34" s="8" t="s">
        <v>319</v>
      </c>
      <c r="C34" s="8" t="s">
        <v>308</v>
      </c>
      <c r="D34" s="8" t="s">
        <v>136</v>
      </c>
      <c r="E34" s="8" t="s">
        <v>429</v>
      </c>
      <c r="F34" s="8">
        <v>11</v>
      </c>
      <c r="G34" s="22">
        <v>296.89</v>
      </c>
      <c r="H34" s="22">
        <v>159.5</v>
      </c>
    </row>
    <row r="35" spans="1:8" x14ac:dyDescent="0.25">
      <c r="A35" s="75">
        <v>40545</v>
      </c>
      <c r="B35" s="8" t="s">
        <v>317</v>
      </c>
      <c r="C35" s="8" t="s">
        <v>310</v>
      </c>
      <c r="D35" s="8" t="s">
        <v>3</v>
      </c>
      <c r="E35" s="8" t="s">
        <v>347</v>
      </c>
      <c r="F35" s="8">
        <v>58</v>
      </c>
      <c r="G35" s="22">
        <v>1217.4199999999998</v>
      </c>
      <c r="H35" s="22">
        <v>536.5</v>
      </c>
    </row>
    <row r="36" spans="1:8" x14ac:dyDescent="0.25">
      <c r="A36" s="75">
        <v>40548</v>
      </c>
      <c r="B36" s="8" t="s">
        <v>321</v>
      </c>
      <c r="C36" s="8" t="s">
        <v>308</v>
      </c>
      <c r="D36" s="8" t="s">
        <v>7</v>
      </c>
      <c r="E36" s="8" t="s">
        <v>337</v>
      </c>
      <c r="F36" s="8">
        <v>57</v>
      </c>
      <c r="G36" s="22">
        <v>1310.4299999999998</v>
      </c>
      <c r="H36" s="22">
        <v>570</v>
      </c>
    </row>
    <row r="37" spans="1:8" x14ac:dyDescent="0.25">
      <c r="A37" s="75">
        <v>40548</v>
      </c>
      <c r="B37" s="8" t="s">
        <v>317</v>
      </c>
      <c r="C37" s="8" t="s">
        <v>310</v>
      </c>
      <c r="D37" s="8" t="s">
        <v>132</v>
      </c>
      <c r="E37" s="8" t="s">
        <v>347</v>
      </c>
      <c r="F37" s="8">
        <v>39</v>
      </c>
      <c r="G37" s="22">
        <v>818.6099999999999</v>
      </c>
      <c r="H37" s="22">
        <v>360.75</v>
      </c>
    </row>
    <row r="38" spans="1:8" x14ac:dyDescent="0.25">
      <c r="A38" s="75">
        <v>40568</v>
      </c>
      <c r="B38" s="8" t="s">
        <v>315</v>
      </c>
      <c r="C38" s="8" t="s">
        <v>308</v>
      </c>
      <c r="D38" s="8" t="s">
        <v>7</v>
      </c>
      <c r="E38" s="8" t="s">
        <v>314</v>
      </c>
      <c r="F38" s="8">
        <v>13</v>
      </c>
      <c r="G38" s="22">
        <v>311.87</v>
      </c>
      <c r="H38" s="22">
        <v>143</v>
      </c>
    </row>
    <row r="39" spans="1:8" x14ac:dyDescent="0.25">
      <c r="A39" s="75">
        <v>40548</v>
      </c>
      <c r="B39" s="8" t="s">
        <v>319</v>
      </c>
      <c r="C39" s="8" t="s">
        <v>308</v>
      </c>
      <c r="D39" s="8" t="s">
        <v>7</v>
      </c>
      <c r="E39" s="8" t="s">
        <v>329</v>
      </c>
      <c r="F39" s="8">
        <v>54</v>
      </c>
      <c r="G39" s="22">
        <v>1457.4599999999998</v>
      </c>
      <c r="H39" s="22">
        <v>783</v>
      </c>
    </row>
    <row r="40" spans="1:8" x14ac:dyDescent="0.25">
      <c r="A40" s="75">
        <v>40552</v>
      </c>
      <c r="B40" s="8" t="s">
        <v>315</v>
      </c>
      <c r="C40" s="8" t="s">
        <v>307</v>
      </c>
      <c r="D40" s="8" t="s">
        <v>328</v>
      </c>
      <c r="E40" s="8" t="s">
        <v>324</v>
      </c>
      <c r="F40" s="8">
        <v>10</v>
      </c>
      <c r="G40" s="22">
        <v>239.89999999999998</v>
      </c>
      <c r="H40" s="22">
        <v>110</v>
      </c>
    </row>
    <row r="41" spans="1:8" x14ac:dyDescent="0.25">
      <c r="A41" s="75">
        <v>40556</v>
      </c>
      <c r="B41" s="8" t="s">
        <v>311</v>
      </c>
      <c r="C41" s="8" t="s">
        <v>310</v>
      </c>
      <c r="D41" s="8" t="s">
        <v>136</v>
      </c>
      <c r="E41" s="8" t="s">
        <v>320</v>
      </c>
      <c r="F41" s="8">
        <v>62</v>
      </c>
      <c r="G41" s="22">
        <v>1177.3799999999999</v>
      </c>
      <c r="H41" s="22">
        <v>496</v>
      </c>
    </row>
    <row r="42" spans="1:8" x14ac:dyDescent="0.25">
      <c r="A42" s="75">
        <v>40561</v>
      </c>
      <c r="B42" s="8" t="s">
        <v>311</v>
      </c>
      <c r="C42" s="8" t="s">
        <v>307</v>
      </c>
      <c r="D42" s="8" t="s">
        <v>136</v>
      </c>
      <c r="E42" s="8" t="s">
        <v>332</v>
      </c>
      <c r="F42" s="8">
        <v>51</v>
      </c>
      <c r="G42" s="22">
        <v>968.4899999999999</v>
      </c>
      <c r="H42" s="22">
        <v>408</v>
      </c>
    </row>
    <row r="43" spans="1:8" x14ac:dyDescent="0.25">
      <c r="A43" s="75">
        <v>40555</v>
      </c>
      <c r="B43" s="8" t="s">
        <v>321</v>
      </c>
      <c r="C43" s="8" t="s">
        <v>308</v>
      </c>
      <c r="D43" s="8" t="s">
        <v>312</v>
      </c>
      <c r="E43" s="8" t="s">
        <v>325</v>
      </c>
      <c r="F43" s="8">
        <v>22</v>
      </c>
      <c r="G43" s="22">
        <v>505.78</v>
      </c>
      <c r="H43" s="22">
        <v>220</v>
      </c>
    </row>
    <row r="44" spans="1:8" x14ac:dyDescent="0.25">
      <c r="A44" s="75">
        <v>40555</v>
      </c>
      <c r="B44" s="8" t="s">
        <v>321</v>
      </c>
      <c r="C44" s="8" t="s">
        <v>310</v>
      </c>
      <c r="D44" s="8" t="s">
        <v>3</v>
      </c>
      <c r="E44" s="8" t="s">
        <v>330</v>
      </c>
      <c r="F44" s="8">
        <v>50</v>
      </c>
      <c r="G44" s="22">
        <v>1149.5</v>
      </c>
      <c r="H44" s="22">
        <v>500</v>
      </c>
    </row>
    <row r="45" spans="1:8" x14ac:dyDescent="0.25">
      <c r="A45" s="75">
        <v>40553</v>
      </c>
      <c r="B45" s="8" t="s">
        <v>315</v>
      </c>
      <c r="C45" s="8" t="s">
        <v>307</v>
      </c>
      <c r="D45" s="8" t="s">
        <v>136</v>
      </c>
      <c r="E45" s="8" t="s">
        <v>322</v>
      </c>
      <c r="F45" s="8">
        <v>9</v>
      </c>
      <c r="G45" s="22">
        <v>215.91</v>
      </c>
      <c r="H45" s="22">
        <v>99</v>
      </c>
    </row>
    <row r="46" spans="1:8" x14ac:dyDescent="0.25">
      <c r="A46" s="75">
        <v>40544</v>
      </c>
      <c r="B46" s="8" t="s">
        <v>321</v>
      </c>
      <c r="C46" s="8" t="s">
        <v>309</v>
      </c>
      <c r="D46" s="8" t="s">
        <v>312</v>
      </c>
      <c r="E46" s="8" t="s">
        <v>329</v>
      </c>
      <c r="F46" s="8">
        <v>24</v>
      </c>
      <c r="G46" s="22">
        <v>551.76</v>
      </c>
      <c r="H46" s="22">
        <v>240</v>
      </c>
    </row>
    <row r="47" spans="1:8" x14ac:dyDescent="0.25">
      <c r="A47" s="75">
        <v>40560</v>
      </c>
      <c r="B47" s="8" t="s">
        <v>319</v>
      </c>
      <c r="C47" s="8" t="s">
        <v>310</v>
      </c>
      <c r="D47" s="8" t="s">
        <v>312</v>
      </c>
      <c r="E47" s="8" t="s">
        <v>331</v>
      </c>
      <c r="F47" s="8">
        <v>42</v>
      </c>
      <c r="G47" s="22">
        <v>1133.58</v>
      </c>
      <c r="H47" s="22">
        <v>609</v>
      </c>
    </row>
    <row r="48" spans="1:8" x14ac:dyDescent="0.25">
      <c r="A48" s="75">
        <v>40545</v>
      </c>
      <c r="B48" s="8" t="s">
        <v>321</v>
      </c>
      <c r="C48" s="8" t="s">
        <v>310</v>
      </c>
      <c r="D48" s="8" t="s">
        <v>132</v>
      </c>
      <c r="E48" s="8" t="s">
        <v>313</v>
      </c>
      <c r="F48" s="8">
        <v>17</v>
      </c>
      <c r="G48" s="22">
        <v>390.83</v>
      </c>
      <c r="H48" s="22">
        <v>170</v>
      </c>
    </row>
    <row r="49" spans="1:8" x14ac:dyDescent="0.25">
      <c r="A49" s="75">
        <v>40572</v>
      </c>
      <c r="B49" s="8" t="s">
        <v>321</v>
      </c>
      <c r="C49" s="8" t="s">
        <v>309</v>
      </c>
      <c r="D49" s="8" t="s">
        <v>132</v>
      </c>
      <c r="E49" s="8" t="s">
        <v>325</v>
      </c>
      <c r="F49" s="8">
        <v>20</v>
      </c>
      <c r="G49" s="22">
        <v>459.79999999999995</v>
      </c>
      <c r="H49" s="22">
        <v>200</v>
      </c>
    </row>
    <row r="50" spans="1:8" x14ac:dyDescent="0.25">
      <c r="A50" s="75">
        <v>40569</v>
      </c>
      <c r="B50" s="8" t="s">
        <v>319</v>
      </c>
      <c r="C50" s="8" t="s">
        <v>310</v>
      </c>
      <c r="D50" s="8" t="s">
        <v>3</v>
      </c>
      <c r="E50" s="8" t="s">
        <v>336</v>
      </c>
      <c r="F50" s="8">
        <v>20</v>
      </c>
      <c r="G50" s="22">
        <v>539.79999999999995</v>
      </c>
      <c r="H50" s="22">
        <v>290</v>
      </c>
    </row>
    <row r="51" spans="1:8" x14ac:dyDescent="0.25">
      <c r="A51" s="75">
        <v>40556</v>
      </c>
      <c r="B51" s="8" t="s">
        <v>311</v>
      </c>
      <c r="C51" s="8" t="s">
        <v>307</v>
      </c>
      <c r="D51" s="8" t="s">
        <v>328</v>
      </c>
      <c r="E51" s="8" t="s">
        <v>326</v>
      </c>
      <c r="F51" s="8">
        <v>11</v>
      </c>
      <c r="G51" s="22">
        <v>208.89</v>
      </c>
      <c r="H51" s="22">
        <v>88</v>
      </c>
    </row>
    <row r="52" spans="1:8" x14ac:dyDescent="0.25">
      <c r="A52" s="75">
        <v>40545</v>
      </c>
      <c r="B52" s="8" t="s">
        <v>319</v>
      </c>
      <c r="C52" s="8" t="s">
        <v>309</v>
      </c>
      <c r="D52" s="8" t="s">
        <v>7</v>
      </c>
      <c r="E52" s="8" t="s">
        <v>322</v>
      </c>
      <c r="F52" s="8">
        <v>22</v>
      </c>
      <c r="G52" s="22">
        <v>593.78</v>
      </c>
      <c r="H52" s="22">
        <v>319</v>
      </c>
    </row>
    <row r="53" spans="1:8" x14ac:dyDescent="0.25">
      <c r="A53" s="75">
        <v>40566</v>
      </c>
      <c r="B53" s="8" t="s">
        <v>321</v>
      </c>
      <c r="C53" s="8" t="s">
        <v>310</v>
      </c>
      <c r="D53" s="8" t="s">
        <v>136</v>
      </c>
      <c r="E53" s="8" t="s">
        <v>333</v>
      </c>
      <c r="F53" s="8">
        <v>19</v>
      </c>
      <c r="G53" s="22">
        <v>436.80999999999995</v>
      </c>
      <c r="H53" s="22">
        <v>190</v>
      </c>
    </row>
    <row r="54" spans="1:8" x14ac:dyDescent="0.25">
      <c r="A54" s="75">
        <v>40564</v>
      </c>
      <c r="B54" s="8" t="s">
        <v>315</v>
      </c>
      <c r="C54" s="8" t="s">
        <v>307</v>
      </c>
      <c r="D54" s="8" t="s">
        <v>328</v>
      </c>
      <c r="E54" s="8" t="s">
        <v>337</v>
      </c>
      <c r="F54" s="8">
        <v>32</v>
      </c>
      <c r="G54" s="22">
        <v>767.68</v>
      </c>
      <c r="H54" s="22">
        <v>352</v>
      </c>
    </row>
    <row r="55" spans="1:8" x14ac:dyDescent="0.25">
      <c r="A55" s="75">
        <v>40551</v>
      </c>
      <c r="B55" s="8" t="s">
        <v>319</v>
      </c>
      <c r="C55" s="8" t="s">
        <v>309</v>
      </c>
      <c r="D55" s="8" t="s">
        <v>132</v>
      </c>
      <c r="E55" s="8" t="s">
        <v>344</v>
      </c>
      <c r="F55" s="8">
        <v>26</v>
      </c>
      <c r="G55" s="22">
        <v>701.74</v>
      </c>
      <c r="H55" s="22">
        <v>377</v>
      </c>
    </row>
    <row r="56" spans="1:8" x14ac:dyDescent="0.25">
      <c r="A56" s="75">
        <v>40562</v>
      </c>
      <c r="B56" s="8" t="s">
        <v>319</v>
      </c>
      <c r="C56" s="8" t="s">
        <v>309</v>
      </c>
      <c r="D56" s="8" t="s">
        <v>312</v>
      </c>
      <c r="E56" s="8" t="s">
        <v>343</v>
      </c>
      <c r="F56" s="8">
        <v>57</v>
      </c>
      <c r="G56" s="22">
        <v>1538.4299999999998</v>
      </c>
      <c r="H56" s="22">
        <v>826.5</v>
      </c>
    </row>
    <row r="57" spans="1:8" x14ac:dyDescent="0.25">
      <c r="A57" s="75">
        <v>40567</v>
      </c>
      <c r="B57" s="8" t="s">
        <v>311</v>
      </c>
      <c r="C57" s="8" t="s">
        <v>307</v>
      </c>
      <c r="D57" s="8" t="s">
        <v>136</v>
      </c>
      <c r="E57" s="8" t="s">
        <v>325</v>
      </c>
      <c r="F57" s="8">
        <v>57</v>
      </c>
      <c r="G57" s="22">
        <v>1082.4299999999998</v>
      </c>
      <c r="H57" s="22">
        <v>456</v>
      </c>
    </row>
    <row r="58" spans="1:8" x14ac:dyDescent="0.25">
      <c r="A58" s="75">
        <v>40555</v>
      </c>
      <c r="B58" s="8" t="s">
        <v>319</v>
      </c>
      <c r="C58" s="8" t="s">
        <v>307</v>
      </c>
      <c r="D58" s="8" t="s">
        <v>7</v>
      </c>
      <c r="E58" s="8" t="s">
        <v>432</v>
      </c>
      <c r="F58" s="8">
        <v>59</v>
      </c>
      <c r="G58" s="22">
        <v>1592.4099999999999</v>
      </c>
      <c r="H58" s="22">
        <v>855.5</v>
      </c>
    </row>
    <row r="59" spans="1:8" x14ac:dyDescent="0.25">
      <c r="A59" s="75">
        <v>40554</v>
      </c>
      <c r="B59" s="8" t="s">
        <v>321</v>
      </c>
      <c r="C59" s="8" t="s">
        <v>310</v>
      </c>
      <c r="D59" s="8" t="s">
        <v>132</v>
      </c>
      <c r="E59" s="8" t="s">
        <v>327</v>
      </c>
      <c r="F59" s="8">
        <v>15</v>
      </c>
      <c r="G59" s="22">
        <v>344.84999999999997</v>
      </c>
      <c r="H59" s="22">
        <v>150</v>
      </c>
    </row>
    <row r="60" spans="1:8" x14ac:dyDescent="0.25">
      <c r="A60" s="75">
        <v>40566</v>
      </c>
      <c r="B60" s="8" t="s">
        <v>319</v>
      </c>
      <c r="C60" s="8" t="s">
        <v>308</v>
      </c>
      <c r="D60" s="8" t="s">
        <v>132</v>
      </c>
      <c r="E60" s="8" t="s">
        <v>341</v>
      </c>
      <c r="F60" s="8">
        <v>50</v>
      </c>
      <c r="G60" s="22">
        <v>1349.5</v>
      </c>
      <c r="H60" s="22">
        <v>725</v>
      </c>
    </row>
    <row r="61" spans="1:8" x14ac:dyDescent="0.25">
      <c r="A61" s="75">
        <v>40566</v>
      </c>
      <c r="B61" s="8" t="s">
        <v>317</v>
      </c>
      <c r="C61" s="8" t="s">
        <v>307</v>
      </c>
      <c r="D61" s="8" t="s">
        <v>328</v>
      </c>
      <c r="E61" s="8" t="s">
        <v>330</v>
      </c>
      <c r="F61" s="8">
        <v>29</v>
      </c>
      <c r="G61" s="22">
        <v>608.70999999999992</v>
      </c>
      <c r="H61" s="22">
        <v>268.25</v>
      </c>
    </row>
    <row r="62" spans="1:8" x14ac:dyDescent="0.25">
      <c r="A62" s="75">
        <v>40573</v>
      </c>
      <c r="B62" s="8" t="s">
        <v>317</v>
      </c>
      <c r="C62" s="8" t="s">
        <v>309</v>
      </c>
      <c r="D62" s="8" t="s">
        <v>132</v>
      </c>
      <c r="E62" s="8" t="s">
        <v>345</v>
      </c>
      <c r="F62" s="8">
        <v>23</v>
      </c>
      <c r="G62" s="22">
        <v>482.77</v>
      </c>
      <c r="H62" s="22">
        <v>212.75</v>
      </c>
    </row>
    <row r="63" spans="1:8" x14ac:dyDescent="0.25">
      <c r="A63" s="75">
        <v>40548</v>
      </c>
      <c r="B63" s="8" t="s">
        <v>321</v>
      </c>
      <c r="C63" s="8" t="s">
        <v>307</v>
      </c>
      <c r="D63" s="8" t="s">
        <v>132</v>
      </c>
      <c r="E63" s="8" t="s">
        <v>346</v>
      </c>
      <c r="F63" s="8">
        <v>10</v>
      </c>
      <c r="G63" s="22">
        <v>229.89999999999998</v>
      </c>
      <c r="H63" s="22">
        <v>100</v>
      </c>
    </row>
    <row r="64" spans="1:8" x14ac:dyDescent="0.25">
      <c r="A64" s="75">
        <v>40572</v>
      </c>
      <c r="B64" s="8" t="s">
        <v>311</v>
      </c>
      <c r="C64" s="8" t="s">
        <v>307</v>
      </c>
      <c r="D64" s="8" t="s">
        <v>3</v>
      </c>
      <c r="E64" s="8" t="s">
        <v>325</v>
      </c>
      <c r="F64" s="8">
        <v>40</v>
      </c>
      <c r="G64" s="22">
        <v>759.59999999999991</v>
      </c>
      <c r="H64" s="22">
        <v>320</v>
      </c>
    </row>
    <row r="65" spans="1:8" x14ac:dyDescent="0.25">
      <c r="A65" s="75">
        <v>40548</v>
      </c>
      <c r="B65" s="8" t="s">
        <v>317</v>
      </c>
      <c r="C65" s="8" t="s">
        <v>310</v>
      </c>
      <c r="D65" s="8" t="s">
        <v>3</v>
      </c>
      <c r="E65" s="8" t="s">
        <v>330</v>
      </c>
      <c r="F65" s="8">
        <v>23</v>
      </c>
      <c r="G65" s="22">
        <v>482.77</v>
      </c>
      <c r="H65" s="22">
        <v>212.75</v>
      </c>
    </row>
    <row r="66" spans="1:8" x14ac:dyDescent="0.25">
      <c r="A66" s="75">
        <v>40568</v>
      </c>
      <c r="B66" s="8" t="s">
        <v>321</v>
      </c>
      <c r="C66" s="8" t="s">
        <v>308</v>
      </c>
      <c r="D66" s="8" t="s">
        <v>136</v>
      </c>
      <c r="E66" s="8" t="s">
        <v>341</v>
      </c>
      <c r="F66" s="8">
        <v>10</v>
      </c>
      <c r="G66" s="22">
        <v>229.89999999999998</v>
      </c>
      <c r="H66" s="22">
        <v>100</v>
      </c>
    </row>
    <row r="67" spans="1:8" x14ac:dyDescent="0.25">
      <c r="A67" s="75">
        <v>40560</v>
      </c>
      <c r="B67" s="8" t="s">
        <v>319</v>
      </c>
      <c r="C67" s="8" t="s">
        <v>309</v>
      </c>
      <c r="D67" s="8" t="s">
        <v>132</v>
      </c>
      <c r="E67" s="8" t="s">
        <v>313</v>
      </c>
      <c r="F67" s="8">
        <v>47</v>
      </c>
      <c r="G67" s="22">
        <v>1268.53</v>
      </c>
      <c r="H67" s="22">
        <v>681.5</v>
      </c>
    </row>
    <row r="68" spans="1:8" x14ac:dyDescent="0.25">
      <c r="A68" s="75">
        <v>40565</v>
      </c>
      <c r="B68" s="8" t="s">
        <v>311</v>
      </c>
      <c r="C68" s="8" t="s">
        <v>309</v>
      </c>
      <c r="D68" s="8" t="s">
        <v>132</v>
      </c>
      <c r="E68" s="8" t="s">
        <v>338</v>
      </c>
      <c r="F68" s="8">
        <v>64</v>
      </c>
      <c r="G68" s="22">
        <v>1215.3599999999999</v>
      </c>
      <c r="H68" s="22">
        <v>512</v>
      </c>
    </row>
    <row r="69" spans="1:8" x14ac:dyDescent="0.25">
      <c r="A69" s="75">
        <v>40573</v>
      </c>
      <c r="B69" s="8" t="s">
        <v>321</v>
      </c>
      <c r="C69" s="8" t="s">
        <v>308</v>
      </c>
      <c r="D69" s="8" t="s">
        <v>136</v>
      </c>
      <c r="E69" s="8" t="s">
        <v>318</v>
      </c>
      <c r="F69" s="8">
        <v>10</v>
      </c>
      <c r="G69" s="22">
        <v>229.89999999999998</v>
      </c>
      <c r="H69" s="22">
        <v>100</v>
      </c>
    </row>
    <row r="70" spans="1:8" x14ac:dyDescent="0.25">
      <c r="A70" s="75">
        <v>40551</v>
      </c>
      <c r="B70" s="8" t="s">
        <v>321</v>
      </c>
      <c r="C70" s="8" t="s">
        <v>310</v>
      </c>
      <c r="D70" s="8" t="s">
        <v>132</v>
      </c>
      <c r="E70" s="8" t="s">
        <v>348</v>
      </c>
      <c r="F70" s="8">
        <v>63</v>
      </c>
      <c r="G70" s="22">
        <v>1448.37</v>
      </c>
      <c r="H70" s="22">
        <v>630</v>
      </c>
    </row>
    <row r="71" spans="1:8" x14ac:dyDescent="0.25">
      <c r="A71" s="75">
        <v>40557</v>
      </c>
      <c r="B71" s="8" t="s">
        <v>321</v>
      </c>
      <c r="C71" s="8" t="s">
        <v>310</v>
      </c>
      <c r="D71" s="8" t="s">
        <v>328</v>
      </c>
      <c r="E71" s="8" t="s">
        <v>316</v>
      </c>
      <c r="F71" s="8">
        <v>52</v>
      </c>
      <c r="G71" s="22">
        <v>1195.48</v>
      </c>
      <c r="H71" s="22">
        <v>520</v>
      </c>
    </row>
    <row r="72" spans="1:8" x14ac:dyDescent="0.25">
      <c r="A72" s="75">
        <v>40552</v>
      </c>
      <c r="B72" s="8" t="s">
        <v>311</v>
      </c>
      <c r="C72" s="8" t="s">
        <v>310</v>
      </c>
      <c r="D72" s="8" t="s">
        <v>132</v>
      </c>
      <c r="E72" s="8" t="s">
        <v>337</v>
      </c>
      <c r="F72" s="8">
        <v>22</v>
      </c>
      <c r="G72" s="22">
        <v>417.78</v>
      </c>
      <c r="H72" s="22">
        <v>176</v>
      </c>
    </row>
    <row r="73" spans="1:8" x14ac:dyDescent="0.25">
      <c r="A73" s="75">
        <v>40565</v>
      </c>
      <c r="B73" s="8" t="s">
        <v>311</v>
      </c>
      <c r="C73" s="8" t="s">
        <v>308</v>
      </c>
      <c r="D73" s="8" t="s">
        <v>132</v>
      </c>
      <c r="E73" s="8" t="s">
        <v>314</v>
      </c>
      <c r="F73" s="8">
        <v>29</v>
      </c>
      <c r="G73" s="22">
        <v>550.70999999999992</v>
      </c>
      <c r="H73" s="22">
        <v>232</v>
      </c>
    </row>
    <row r="74" spans="1:8" x14ac:dyDescent="0.25">
      <c r="A74" s="75">
        <v>40553</v>
      </c>
      <c r="B74" s="8" t="s">
        <v>321</v>
      </c>
      <c r="C74" s="8" t="s">
        <v>308</v>
      </c>
      <c r="D74" s="8" t="s">
        <v>328</v>
      </c>
      <c r="E74" s="8" t="s">
        <v>322</v>
      </c>
      <c r="F74" s="8">
        <v>50</v>
      </c>
      <c r="G74" s="22">
        <v>1149.5</v>
      </c>
      <c r="H74" s="22">
        <v>500</v>
      </c>
    </row>
    <row r="75" spans="1:8" x14ac:dyDescent="0.25">
      <c r="A75" s="75">
        <v>40569</v>
      </c>
      <c r="B75" s="8" t="s">
        <v>317</v>
      </c>
      <c r="C75" s="8" t="s">
        <v>309</v>
      </c>
      <c r="D75" s="8" t="s">
        <v>3</v>
      </c>
      <c r="E75" s="8" t="s">
        <v>324</v>
      </c>
      <c r="F75" s="8">
        <v>50</v>
      </c>
      <c r="G75" s="22">
        <v>1049.5</v>
      </c>
      <c r="H75" s="22">
        <v>462.5</v>
      </c>
    </row>
    <row r="76" spans="1:8" x14ac:dyDescent="0.25">
      <c r="A76" s="75">
        <v>40557</v>
      </c>
      <c r="B76" s="8" t="s">
        <v>315</v>
      </c>
      <c r="C76" s="8" t="s">
        <v>310</v>
      </c>
      <c r="D76" s="8" t="s">
        <v>3</v>
      </c>
      <c r="E76" s="8" t="s">
        <v>336</v>
      </c>
      <c r="F76" s="8">
        <v>48</v>
      </c>
      <c r="G76" s="22">
        <v>1151.52</v>
      </c>
      <c r="H76" s="22">
        <v>528</v>
      </c>
    </row>
    <row r="77" spans="1:8" x14ac:dyDescent="0.25">
      <c r="A77" s="75">
        <v>40556</v>
      </c>
      <c r="B77" s="8" t="s">
        <v>319</v>
      </c>
      <c r="C77" s="8" t="s">
        <v>307</v>
      </c>
      <c r="D77" s="8" t="s">
        <v>136</v>
      </c>
      <c r="E77" s="8" t="s">
        <v>331</v>
      </c>
      <c r="F77" s="8">
        <v>27</v>
      </c>
      <c r="G77" s="22">
        <v>728.7299999999999</v>
      </c>
      <c r="H77" s="22">
        <v>391.5</v>
      </c>
    </row>
    <row r="78" spans="1:8" x14ac:dyDescent="0.25">
      <c r="A78" s="75">
        <v>40555</v>
      </c>
      <c r="B78" s="8" t="s">
        <v>321</v>
      </c>
      <c r="C78" s="8" t="s">
        <v>309</v>
      </c>
      <c r="D78" s="8" t="s">
        <v>132</v>
      </c>
      <c r="E78" s="8" t="s">
        <v>339</v>
      </c>
      <c r="F78" s="8">
        <v>6</v>
      </c>
      <c r="G78" s="22">
        <v>137.94</v>
      </c>
      <c r="H78" s="22">
        <v>60</v>
      </c>
    </row>
    <row r="79" spans="1:8" x14ac:dyDescent="0.25">
      <c r="A79" s="75">
        <v>40571</v>
      </c>
      <c r="B79" s="8" t="s">
        <v>315</v>
      </c>
      <c r="C79" s="8" t="s">
        <v>308</v>
      </c>
      <c r="D79" s="8" t="s">
        <v>136</v>
      </c>
      <c r="E79" s="8" t="s">
        <v>343</v>
      </c>
      <c r="F79" s="8">
        <v>62</v>
      </c>
      <c r="G79" s="22">
        <v>1487.3799999999999</v>
      </c>
      <c r="H79" s="22">
        <v>682</v>
      </c>
    </row>
    <row r="80" spans="1:8" x14ac:dyDescent="0.25">
      <c r="A80" s="75">
        <v>40565</v>
      </c>
      <c r="B80" s="8" t="s">
        <v>315</v>
      </c>
      <c r="C80" s="8" t="s">
        <v>308</v>
      </c>
      <c r="D80" s="8" t="s">
        <v>3</v>
      </c>
      <c r="E80" s="8" t="s">
        <v>342</v>
      </c>
      <c r="F80" s="8">
        <v>10</v>
      </c>
      <c r="G80" s="22">
        <v>239.89999999999998</v>
      </c>
      <c r="H80" s="22">
        <v>110</v>
      </c>
    </row>
    <row r="81" spans="1:8" x14ac:dyDescent="0.25">
      <c r="A81" s="75">
        <v>40547</v>
      </c>
      <c r="B81" s="8" t="s">
        <v>315</v>
      </c>
      <c r="C81" s="8" t="s">
        <v>307</v>
      </c>
      <c r="D81" s="8" t="s">
        <v>328</v>
      </c>
      <c r="E81" s="8" t="s">
        <v>341</v>
      </c>
      <c r="F81" s="8">
        <v>33</v>
      </c>
      <c r="G81" s="22">
        <v>791.67</v>
      </c>
      <c r="H81" s="22">
        <v>363</v>
      </c>
    </row>
    <row r="82" spans="1:8" x14ac:dyDescent="0.25">
      <c r="A82" s="75">
        <v>40569</v>
      </c>
      <c r="B82" s="8" t="s">
        <v>319</v>
      </c>
      <c r="C82" s="8" t="s">
        <v>310</v>
      </c>
      <c r="D82" s="8" t="s">
        <v>3</v>
      </c>
      <c r="E82" s="8" t="s">
        <v>333</v>
      </c>
      <c r="F82" s="8">
        <v>17</v>
      </c>
      <c r="G82" s="22">
        <v>458.83</v>
      </c>
      <c r="H82" s="22">
        <v>246.5</v>
      </c>
    </row>
    <row r="83" spans="1:8" x14ac:dyDescent="0.25">
      <c r="A83" s="75">
        <v>40562</v>
      </c>
      <c r="B83" s="8" t="s">
        <v>321</v>
      </c>
      <c r="C83" s="8" t="s">
        <v>310</v>
      </c>
      <c r="D83" s="8" t="s">
        <v>328</v>
      </c>
      <c r="E83" s="8" t="s">
        <v>345</v>
      </c>
      <c r="F83" s="8">
        <v>10</v>
      </c>
      <c r="G83" s="22">
        <v>229.89999999999998</v>
      </c>
      <c r="H83" s="22">
        <v>100</v>
      </c>
    </row>
    <row r="84" spans="1:8" x14ac:dyDescent="0.25">
      <c r="A84" s="75">
        <v>40544</v>
      </c>
      <c r="B84" s="8" t="s">
        <v>315</v>
      </c>
      <c r="C84" s="8" t="s">
        <v>307</v>
      </c>
      <c r="D84" s="8" t="s">
        <v>132</v>
      </c>
      <c r="E84" s="8" t="s">
        <v>341</v>
      </c>
      <c r="F84" s="8">
        <v>8</v>
      </c>
      <c r="G84" s="22">
        <v>191.92</v>
      </c>
      <c r="H84" s="22">
        <v>88</v>
      </c>
    </row>
    <row r="85" spans="1:8" x14ac:dyDescent="0.25">
      <c r="A85" s="75">
        <v>40549</v>
      </c>
      <c r="B85" s="8" t="s">
        <v>317</v>
      </c>
      <c r="C85" s="8" t="s">
        <v>308</v>
      </c>
      <c r="D85" s="8" t="s">
        <v>136</v>
      </c>
      <c r="E85" s="8" t="s">
        <v>342</v>
      </c>
      <c r="F85" s="8">
        <v>30</v>
      </c>
      <c r="G85" s="22">
        <v>629.69999999999993</v>
      </c>
      <c r="H85" s="22">
        <v>277.5</v>
      </c>
    </row>
    <row r="86" spans="1:8" x14ac:dyDescent="0.25">
      <c r="A86" s="75">
        <v>40551</v>
      </c>
      <c r="B86" s="8" t="s">
        <v>315</v>
      </c>
      <c r="C86" s="8" t="s">
        <v>309</v>
      </c>
      <c r="D86" s="8" t="s">
        <v>3</v>
      </c>
      <c r="E86" s="8" t="s">
        <v>322</v>
      </c>
      <c r="F86" s="8">
        <v>22</v>
      </c>
      <c r="G86" s="22">
        <v>527.78</v>
      </c>
      <c r="H86" s="22">
        <v>242</v>
      </c>
    </row>
    <row r="87" spans="1:8" x14ac:dyDescent="0.25">
      <c r="A87" s="75">
        <v>40571</v>
      </c>
      <c r="B87" s="8" t="s">
        <v>319</v>
      </c>
      <c r="C87" s="8" t="s">
        <v>308</v>
      </c>
      <c r="D87" s="8" t="s">
        <v>132</v>
      </c>
      <c r="E87" s="8" t="s">
        <v>324</v>
      </c>
      <c r="F87" s="8">
        <v>30</v>
      </c>
      <c r="G87" s="22">
        <v>809.69999999999993</v>
      </c>
      <c r="H87" s="22">
        <v>435</v>
      </c>
    </row>
    <row r="88" spans="1:8" x14ac:dyDescent="0.25">
      <c r="A88" s="75">
        <v>40555</v>
      </c>
      <c r="B88" s="8" t="s">
        <v>321</v>
      </c>
      <c r="C88" s="8" t="s">
        <v>308</v>
      </c>
      <c r="D88" s="8" t="s">
        <v>328</v>
      </c>
      <c r="E88" s="8" t="s">
        <v>314</v>
      </c>
      <c r="F88" s="8">
        <v>64</v>
      </c>
      <c r="G88" s="22">
        <v>1471.36</v>
      </c>
      <c r="H88" s="22">
        <v>640</v>
      </c>
    </row>
    <row r="89" spans="1:8" x14ac:dyDescent="0.25">
      <c r="A89" s="75">
        <v>40553</v>
      </c>
      <c r="B89" s="8" t="s">
        <v>319</v>
      </c>
      <c r="C89" s="8" t="s">
        <v>310</v>
      </c>
      <c r="D89" s="8" t="s">
        <v>7</v>
      </c>
      <c r="E89" s="8" t="s">
        <v>343</v>
      </c>
      <c r="F89" s="8">
        <v>43</v>
      </c>
      <c r="G89" s="22">
        <v>1160.57</v>
      </c>
      <c r="H89" s="22">
        <v>623.5</v>
      </c>
    </row>
    <row r="90" spans="1:8" x14ac:dyDescent="0.25">
      <c r="A90" s="75">
        <v>40571</v>
      </c>
      <c r="B90" s="8" t="s">
        <v>321</v>
      </c>
      <c r="C90" s="8" t="s">
        <v>307</v>
      </c>
      <c r="D90" s="8" t="s">
        <v>132</v>
      </c>
      <c r="E90" s="8" t="s">
        <v>322</v>
      </c>
      <c r="F90" s="8">
        <v>45</v>
      </c>
      <c r="G90" s="22">
        <v>1034.55</v>
      </c>
      <c r="H90" s="22">
        <v>450</v>
      </c>
    </row>
    <row r="91" spans="1:8" x14ac:dyDescent="0.25">
      <c r="A91" s="75">
        <v>40565</v>
      </c>
      <c r="B91" s="8" t="s">
        <v>315</v>
      </c>
      <c r="C91" s="8" t="s">
        <v>309</v>
      </c>
      <c r="D91" s="8" t="s">
        <v>136</v>
      </c>
      <c r="E91" s="8" t="s">
        <v>327</v>
      </c>
      <c r="F91" s="8">
        <v>45</v>
      </c>
      <c r="G91" s="22">
        <v>1079.55</v>
      </c>
      <c r="H91" s="22">
        <v>495</v>
      </c>
    </row>
    <row r="92" spans="1:8" x14ac:dyDescent="0.25">
      <c r="A92" s="75">
        <v>40568</v>
      </c>
      <c r="B92" s="8" t="s">
        <v>311</v>
      </c>
      <c r="C92" s="8" t="s">
        <v>308</v>
      </c>
      <c r="D92" s="8" t="s">
        <v>3</v>
      </c>
      <c r="E92" s="8" t="s">
        <v>326</v>
      </c>
      <c r="F92" s="8">
        <v>55</v>
      </c>
      <c r="G92" s="22">
        <v>1044.4499999999998</v>
      </c>
      <c r="H92" s="22">
        <v>440</v>
      </c>
    </row>
    <row r="93" spans="1:8" x14ac:dyDescent="0.25">
      <c r="A93" s="75">
        <v>40561</v>
      </c>
      <c r="B93" s="8" t="s">
        <v>311</v>
      </c>
      <c r="C93" s="8" t="s">
        <v>310</v>
      </c>
      <c r="D93" s="8" t="s">
        <v>132</v>
      </c>
      <c r="E93" s="8" t="s">
        <v>323</v>
      </c>
      <c r="F93" s="8">
        <v>62</v>
      </c>
      <c r="G93" s="22">
        <v>1177.3799999999999</v>
      </c>
      <c r="H93" s="22">
        <v>496</v>
      </c>
    </row>
    <row r="94" spans="1:8" x14ac:dyDescent="0.25">
      <c r="A94" s="75">
        <v>40549</v>
      </c>
      <c r="B94" s="8" t="s">
        <v>315</v>
      </c>
      <c r="C94" s="8" t="s">
        <v>308</v>
      </c>
      <c r="D94" s="8" t="s">
        <v>328</v>
      </c>
      <c r="E94" s="8" t="s">
        <v>324</v>
      </c>
      <c r="F94" s="8">
        <v>11</v>
      </c>
      <c r="G94" s="22">
        <v>263.89</v>
      </c>
      <c r="H94" s="22">
        <v>121</v>
      </c>
    </row>
    <row r="95" spans="1:8" x14ac:dyDescent="0.25">
      <c r="A95" s="75">
        <v>40569</v>
      </c>
      <c r="B95" s="8" t="s">
        <v>319</v>
      </c>
      <c r="C95" s="8" t="s">
        <v>308</v>
      </c>
      <c r="D95" s="8" t="s">
        <v>136</v>
      </c>
      <c r="E95" s="8" t="s">
        <v>325</v>
      </c>
      <c r="F95" s="8">
        <v>17</v>
      </c>
      <c r="G95" s="22">
        <v>458.83</v>
      </c>
      <c r="H95" s="22">
        <v>246.5</v>
      </c>
    </row>
    <row r="96" spans="1:8" x14ac:dyDescent="0.25">
      <c r="A96" s="75">
        <v>40554</v>
      </c>
      <c r="B96" s="8" t="s">
        <v>321</v>
      </c>
      <c r="C96" s="8" t="s">
        <v>309</v>
      </c>
      <c r="D96" s="8" t="s">
        <v>7</v>
      </c>
      <c r="E96" s="8" t="s">
        <v>341</v>
      </c>
      <c r="F96" s="8">
        <v>57</v>
      </c>
      <c r="G96" s="22">
        <v>1310.4299999999998</v>
      </c>
      <c r="H96" s="22">
        <v>570</v>
      </c>
    </row>
    <row r="97" spans="1:8" x14ac:dyDescent="0.25">
      <c r="A97" s="75">
        <v>40563</v>
      </c>
      <c r="B97" s="8" t="s">
        <v>311</v>
      </c>
      <c r="C97" s="8" t="s">
        <v>307</v>
      </c>
      <c r="D97" s="8" t="s">
        <v>312</v>
      </c>
      <c r="E97" s="8" t="s">
        <v>314</v>
      </c>
      <c r="F97" s="8">
        <v>64</v>
      </c>
      <c r="G97" s="22">
        <v>1215.3599999999999</v>
      </c>
      <c r="H97" s="22">
        <v>512</v>
      </c>
    </row>
    <row r="98" spans="1:8" x14ac:dyDescent="0.25">
      <c r="A98" s="75">
        <v>40566</v>
      </c>
      <c r="B98" s="8" t="s">
        <v>319</v>
      </c>
      <c r="C98" s="8" t="s">
        <v>309</v>
      </c>
      <c r="D98" s="8" t="s">
        <v>328</v>
      </c>
      <c r="E98" s="8" t="s">
        <v>347</v>
      </c>
      <c r="F98" s="8">
        <v>31</v>
      </c>
      <c r="G98" s="22">
        <v>836.68999999999994</v>
      </c>
      <c r="H98" s="22">
        <v>449.5</v>
      </c>
    </row>
    <row r="99" spans="1:8" x14ac:dyDescent="0.25">
      <c r="A99" s="75">
        <v>40563</v>
      </c>
      <c r="B99" s="8" t="s">
        <v>317</v>
      </c>
      <c r="C99" s="8" t="s">
        <v>310</v>
      </c>
      <c r="D99" s="8" t="s">
        <v>136</v>
      </c>
      <c r="E99" s="8" t="s">
        <v>337</v>
      </c>
      <c r="F99" s="8">
        <v>21</v>
      </c>
      <c r="G99" s="22">
        <v>440.78999999999996</v>
      </c>
      <c r="H99" s="22">
        <v>194.25</v>
      </c>
    </row>
    <row r="100" spans="1:8" x14ac:dyDescent="0.25">
      <c r="A100" s="75">
        <v>40546</v>
      </c>
      <c r="B100" s="8" t="s">
        <v>319</v>
      </c>
      <c r="C100" s="8" t="s">
        <v>310</v>
      </c>
      <c r="D100" s="8" t="s">
        <v>136</v>
      </c>
      <c r="E100" s="8" t="s">
        <v>332</v>
      </c>
      <c r="F100" s="8">
        <v>32</v>
      </c>
      <c r="G100" s="22">
        <v>863.68</v>
      </c>
      <c r="H100" s="22">
        <v>464</v>
      </c>
    </row>
    <row r="101" spans="1:8" x14ac:dyDescent="0.25">
      <c r="A101" s="75">
        <v>40548</v>
      </c>
      <c r="B101" s="8" t="s">
        <v>315</v>
      </c>
      <c r="C101" s="8" t="s">
        <v>308</v>
      </c>
      <c r="D101" s="8" t="s">
        <v>328</v>
      </c>
      <c r="E101" s="8" t="s">
        <v>325</v>
      </c>
      <c r="F101" s="8">
        <v>47</v>
      </c>
      <c r="G101" s="22">
        <v>1127.53</v>
      </c>
      <c r="H101" s="22">
        <v>517</v>
      </c>
    </row>
    <row r="102" spans="1:8" x14ac:dyDescent="0.25">
      <c r="A102" s="75">
        <v>40554</v>
      </c>
      <c r="B102" s="8" t="s">
        <v>321</v>
      </c>
      <c r="C102" s="8" t="s">
        <v>308</v>
      </c>
      <c r="D102" s="8" t="s">
        <v>328</v>
      </c>
      <c r="E102" s="8" t="s">
        <v>342</v>
      </c>
      <c r="F102" s="8">
        <v>19</v>
      </c>
      <c r="G102" s="22">
        <v>436.80999999999995</v>
      </c>
      <c r="H102" s="22">
        <v>190</v>
      </c>
    </row>
    <row r="103" spans="1:8" x14ac:dyDescent="0.25">
      <c r="A103" s="75">
        <v>40571</v>
      </c>
      <c r="B103" s="8" t="s">
        <v>315</v>
      </c>
      <c r="C103" s="8" t="s">
        <v>310</v>
      </c>
      <c r="D103" s="8" t="s">
        <v>7</v>
      </c>
      <c r="E103" s="8" t="s">
        <v>313</v>
      </c>
      <c r="F103" s="8">
        <v>14</v>
      </c>
      <c r="G103" s="22">
        <v>335.85999999999996</v>
      </c>
      <c r="H103" s="22">
        <v>154</v>
      </c>
    </row>
    <row r="104" spans="1:8" x14ac:dyDescent="0.25">
      <c r="A104" s="75">
        <v>40548</v>
      </c>
      <c r="B104" s="8" t="s">
        <v>311</v>
      </c>
      <c r="C104" s="8" t="s">
        <v>308</v>
      </c>
      <c r="D104" s="8" t="s">
        <v>312</v>
      </c>
      <c r="E104" s="8" t="s">
        <v>343</v>
      </c>
      <c r="F104" s="8">
        <v>14</v>
      </c>
      <c r="G104" s="22">
        <v>265.85999999999996</v>
      </c>
      <c r="H104" s="22">
        <v>112</v>
      </c>
    </row>
    <row r="105" spans="1:8" x14ac:dyDescent="0.25">
      <c r="A105" s="75">
        <v>40558</v>
      </c>
      <c r="B105" s="8" t="s">
        <v>319</v>
      </c>
      <c r="C105" s="8" t="s">
        <v>309</v>
      </c>
      <c r="D105" s="8" t="s">
        <v>136</v>
      </c>
      <c r="E105" s="8" t="s">
        <v>323</v>
      </c>
      <c r="F105" s="8">
        <v>55</v>
      </c>
      <c r="G105" s="22">
        <v>1484.4499999999998</v>
      </c>
      <c r="H105" s="22">
        <v>797.5</v>
      </c>
    </row>
    <row r="106" spans="1:8" x14ac:dyDescent="0.25">
      <c r="A106" s="75">
        <v>40547</v>
      </c>
      <c r="B106" s="8" t="s">
        <v>311</v>
      </c>
      <c r="C106" s="8" t="s">
        <v>308</v>
      </c>
      <c r="D106" s="8" t="s">
        <v>3</v>
      </c>
      <c r="E106" s="8" t="s">
        <v>333</v>
      </c>
      <c r="F106" s="8">
        <v>37</v>
      </c>
      <c r="G106" s="22">
        <v>702.63</v>
      </c>
      <c r="H106" s="22">
        <v>296</v>
      </c>
    </row>
  </sheetData>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10">
    <tabColor rgb="FF0000FF"/>
  </sheetPr>
  <dimension ref="A1:H106"/>
  <sheetViews>
    <sheetView workbookViewId="0">
      <selection activeCell="K6" sqref="K6"/>
    </sheetView>
  </sheetViews>
  <sheetFormatPr defaultRowHeight="15" x14ac:dyDescent="0.25"/>
  <cols>
    <col min="7" max="7" width="17.85546875" customWidth="1"/>
    <col min="14" max="14" width="12.28515625" customWidth="1"/>
    <col min="16" max="16" width="12.42578125" bestFit="1" customWidth="1"/>
    <col min="17" max="17" width="13.14062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40555</v>
      </c>
      <c r="B2" s="8" t="s">
        <v>319</v>
      </c>
      <c r="C2" s="8" t="s">
        <v>307</v>
      </c>
      <c r="D2" s="8" t="s">
        <v>328</v>
      </c>
      <c r="E2" s="8" t="s">
        <v>322</v>
      </c>
      <c r="F2" s="8">
        <v>36</v>
      </c>
      <c r="G2" s="22">
        <v>971.64</v>
      </c>
      <c r="H2" s="22">
        <v>522</v>
      </c>
    </row>
    <row r="3" spans="1:8" x14ac:dyDescent="0.25">
      <c r="A3" s="75">
        <v>40554</v>
      </c>
      <c r="B3" s="8" t="s">
        <v>319</v>
      </c>
      <c r="C3" s="8" t="s">
        <v>307</v>
      </c>
      <c r="D3" s="8" t="s">
        <v>132</v>
      </c>
      <c r="E3" s="8" t="s">
        <v>335</v>
      </c>
      <c r="F3" s="8">
        <v>62</v>
      </c>
      <c r="G3" s="22">
        <v>1673.3799999999999</v>
      </c>
      <c r="H3" s="22">
        <v>899</v>
      </c>
    </row>
    <row r="4" spans="1:8" x14ac:dyDescent="0.25">
      <c r="A4" s="75">
        <v>40549</v>
      </c>
      <c r="B4" s="8" t="s">
        <v>319</v>
      </c>
      <c r="C4" s="8" t="s">
        <v>307</v>
      </c>
      <c r="D4" s="8" t="s">
        <v>312</v>
      </c>
      <c r="E4" s="8" t="s">
        <v>324</v>
      </c>
      <c r="F4" s="8">
        <v>50</v>
      </c>
      <c r="G4" s="22">
        <v>1349.5</v>
      </c>
      <c r="H4" s="22">
        <v>725</v>
      </c>
    </row>
    <row r="5" spans="1:8" x14ac:dyDescent="0.25">
      <c r="A5" s="75">
        <v>40546</v>
      </c>
      <c r="B5" s="8" t="s">
        <v>315</v>
      </c>
      <c r="C5" s="8" t="s">
        <v>310</v>
      </c>
      <c r="D5" s="8" t="s">
        <v>328</v>
      </c>
      <c r="E5" s="8" t="s">
        <v>341</v>
      </c>
      <c r="F5" s="8">
        <v>59</v>
      </c>
      <c r="G5" s="22">
        <v>1415.4099999999999</v>
      </c>
      <c r="H5" s="22">
        <v>649</v>
      </c>
    </row>
    <row r="6" spans="1:8" x14ac:dyDescent="0.25">
      <c r="A6" s="75">
        <v>40559</v>
      </c>
      <c r="B6" s="8" t="s">
        <v>315</v>
      </c>
      <c r="C6" s="8" t="s">
        <v>308</v>
      </c>
      <c r="D6" s="8" t="s">
        <v>312</v>
      </c>
      <c r="E6" s="8" t="s">
        <v>316</v>
      </c>
      <c r="F6" s="8">
        <v>53</v>
      </c>
      <c r="G6" s="22">
        <v>1271.47</v>
      </c>
      <c r="H6" s="22">
        <v>583</v>
      </c>
    </row>
    <row r="7" spans="1:8" x14ac:dyDescent="0.25">
      <c r="A7" s="75">
        <v>40567</v>
      </c>
      <c r="B7" s="8" t="s">
        <v>311</v>
      </c>
      <c r="C7" s="8" t="s">
        <v>309</v>
      </c>
      <c r="D7" s="8" t="s">
        <v>136</v>
      </c>
      <c r="E7" s="8" t="s">
        <v>429</v>
      </c>
      <c r="F7" s="8">
        <v>41</v>
      </c>
      <c r="G7" s="22">
        <v>778.58999999999992</v>
      </c>
      <c r="H7" s="22">
        <v>328</v>
      </c>
    </row>
    <row r="8" spans="1:8" x14ac:dyDescent="0.25">
      <c r="A8" s="75">
        <v>40553</v>
      </c>
      <c r="B8" s="8" t="s">
        <v>321</v>
      </c>
      <c r="C8" s="8" t="s">
        <v>308</v>
      </c>
      <c r="D8" s="8" t="s">
        <v>132</v>
      </c>
      <c r="E8" s="8" t="s">
        <v>428</v>
      </c>
      <c r="F8" s="8">
        <v>13</v>
      </c>
      <c r="G8" s="22">
        <v>298.87</v>
      </c>
      <c r="H8" s="22">
        <v>130</v>
      </c>
    </row>
    <row r="9" spans="1:8" x14ac:dyDescent="0.25">
      <c r="A9" s="75">
        <v>40567</v>
      </c>
      <c r="B9" s="8" t="s">
        <v>319</v>
      </c>
      <c r="C9" s="8" t="s">
        <v>310</v>
      </c>
      <c r="D9" s="8" t="s">
        <v>132</v>
      </c>
      <c r="E9" s="8" t="s">
        <v>322</v>
      </c>
      <c r="F9" s="8">
        <v>56</v>
      </c>
      <c r="G9" s="22">
        <v>1511.4399999999998</v>
      </c>
      <c r="H9" s="22">
        <v>812</v>
      </c>
    </row>
    <row r="10" spans="1:8" x14ac:dyDescent="0.25">
      <c r="A10" s="75">
        <v>40556</v>
      </c>
      <c r="B10" s="8" t="s">
        <v>311</v>
      </c>
      <c r="C10" s="8" t="s">
        <v>307</v>
      </c>
      <c r="D10" s="8" t="s">
        <v>328</v>
      </c>
      <c r="E10" s="8" t="s">
        <v>338</v>
      </c>
      <c r="F10" s="8">
        <v>50</v>
      </c>
      <c r="G10" s="22">
        <v>949.49999999999989</v>
      </c>
      <c r="H10" s="22">
        <v>400</v>
      </c>
    </row>
    <row r="11" spans="1:8" x14ac:dyDescent="0.25">
      <c r="A11" s="75">
        <v>40568</v>
      </c>
      <c r="B11" s="8" t="s">
        <v>311</v>
      </c>
      <c r="C11" s="8" t="s">
        <v>308</v>
      </c>
      <c r="D11" s="8" t="s">
        <v>132</v>
      </c>
      <c r="E11" s="8" t="s">
        <v>329</v>
      </c>
      <c r="F11" s="8">
        <v>26</v>
      </c>
      <c r="G11" s="22">
        <v>493.73999999999995</v>
      </c>
      <c r="H11" s="22">
        <v>208</v>
      </c>
    </row>
    <row r="12" spans="1:8" x14ac:dyDescent="0.25">
      <c r="A12" s="75">
        <v>40553</v>
      </c>
      <c r="B12" s="8" t="s">
        <v>321</v>
      </c>
      <c r="C12" s="8" t="s">
        <v>307</v>
      </c>
      <c r="D12" s="8" t="s">
        <v>136</v>
      </c>
      <c r="E12" s="8" t="s">
        <v>335</v>
      </c>
      <c r="F12" s="8">
        <v>26</v>
      </c>
      <c r="G12" s="22">
        <v>597.74</v>
      </c>
      <c r="H12" s="22">
        <v>260</v>
      </c>
    </row>
    <row r="13" spans="1:8" x14ac:dyDescent="0.25">
      <c r="A13" s="75">
        <v>40572</v>
      </c>
      <c r="B13" s="8" t="s">
        <v>317</v>
      </c>
      <c r="C13" s="8" t="s">
        <v>310</v>
      </c>
      <c r="D13" s="8" t="s">
        <v>328</v>
      </c>
      <c r="E13" s="8" t="s">
        <v>342</v>
      </c>
      <c r="F13" s="8">
        <v>53</v>
      </c>
      <c r="G13" s="22">
        <v>1112.47</v>
      </c>
      <c r="H13" s="22">
        <v>490.25</v>
      </c>
    </row>
    <row r="14" spans="1:8" x14ac:dyDescent="0.25">
      <c r="A14" s="75">
        <v>40560</v>
      </c>
      <c r="B14" s="8" t="s">
        <v>319</v>
      </c>
      <c r="C14" s="8" t="s">
        <v>307</v>
      </c>
      <c r="D14" s="8" t="s">
        <v>136</v>
      </c>
      <c r="E14" s="8" t="s">
        <v>334</v>
      </c>
      <c r="F14" s="8">
        <v>43</v>
      </c>
      <c r="G14" s="22">
        <v>1160.57</v>
      </c>
      <c r="H14" s="22">
        <v>623.5</v>
      </c>
    </row>
    <row r="15" spans="1:8" x14ac:dyDescent="0.25">
      <c r="A15" s="75">
        <v>40546</v>
      </c>
      <c r="B15" s="8" t="s">
        <v>319</v>
      </c>
      <c r="C15" s="8" t="s">
        <v>308</v>
      </c>
      <c r="D15" s="8" t="s">
        <v>328</v>
      </c>
      <c r="E15" s="8" t="s">
        <v>324</v>
      </c>
      <c r="F15" s="8">
        <v>36</v>
      </c>
      <c r="G15" s="22">
        <v>971.64</v>
      </c>
      <c r="H15" s="22">
        <v>522</v>
      </c>
    </row>
    <row r="16" spans="1:8" x14ac:dyDescent="0.25">
      <c r="A16" s="75">
        <v>40567</v>
      </c>
      <c r="B16" s="8" t="s">
        <v>319</v>
      </c>
      <c r="C16" s="8" t="s">
        <v>310</v>
      </c>
      <c r="D16" s="8" t="s">
        <v>312</v>
      </c>
      <c r="E16" s="8" t="s">
        <v>313</v>
      </c>
      <c r="F16" s="8">
        <v>9</v>
      </c>
      <c r="G16" s="22">
        <v>242.91</v>
      </c>
      <c r="H16" s="22">
        <v>130.5</v>
      </c>
    </row>
    <row r="17" spans="1:8" x14ac:dyDescent="0.25">
      <c r="A17" s="75">
        <v>40566</v>
      </c>
      <c r="B17" s="8" t="s">
        <v>315</v>
      </c>
      <c r="C17" s="8" t="s">
        <v>310</v>
      </c>
      <c r="D17" s="8" t="s">
        <v>328</v>
      </c>
      <c r="E17" s="8" t="s">
        <v>323</v>
      </c>
      <c r="F17" s="8">
        <v>60</v>
      </c>
      <c r="G17" s="22">
        <v>1439.3999999999999</v>
      </c>
      <c r="H17" s="22">
        <v>660</v>
      </c>
    </row>
    <row r="18" spans="1:8" x14ac:dyDescent="0.25">
      <c r="A18" s="75">
        <v>40563</v>
      </c>
      <c r="B18" s="8" t="s">
        <v>317</v>
      </c>
      <c r="C18" s="8" t="s">
        <v>307</v>
      </c>
      <c r="D18" s="8" t="s">
        <v>328</v>
      </c>
      <c r="E18" s="8" t="s">
        <v>332</v>
      </c>
      <c r="F18" s="8">
        <v>7</v>
      </c>
      <c r="G18" s="22">
        <v>146.92999999999998</v>
      </c>
      <c r="H18" s="22">
        <v>64.75</v>
      </c>
    </row>
    <row r="19" spans="1:8" x14ac:dyDescent="0.25">
      <c r="A19" s="75">
        <v>40568</v>
      </c>
      <c r="B19" s="8" t="s">
        <v>319</v>
      </c>
      <c r="C19" s="8" t="s">
        <v>307</v>
      </c>
      <c r="D19" s="8" t="s">
        <v>3</v>
      </c>
      <c r="E19" s="8" t="s">
        <v>329</v>
      </c>
      <c r="F19" s="8">
        <v>50</v>
      </c>
      <c r="G19" s="22">
        <v>1349.5</v>
      </c>
      <c r="H19" s="22">
        <v>725</v>
      </c>
    </row>
    <row r="20" spans="1:8" x14ac:dyDescent="0.25">
      <c r="A20" s="75">
        <v>40558</v>
      </c>
      <c r="B20" s="8" t="s">
        <v>315</v>
      </c>
      <c r="C20" s="8" t="s">
        <v>309</v>
      </c>
      <c r="D20" s="8" t="s">
        <v>132</v>
      </c>
      <c r="E20" s="8" t="s">
        <v>334</v>
      </c>
      <c r="F20" s="8">
        <v>16</v>
      </c>
      <c r="G20" s="22">
        <v>383.84</v>
      </c>
      <c r="H20" s="22">
        <v>176</v>
      </c>
    </row>
    <row r="21" spans="1:8" x14ac:dyDescent="0.25">
      <c r="A21" s="75">
        <v>40568</v>
      </c>
      <c r="B21" s="8" t="s">
        <v>321</v>
      </c>
      <c r="C21" s="8" t="s">
        <v>308</v>
      </c>
      <c r="D21" s="8" t="s">
        <v>328</v>
      </c>
      <c r="E21" s="8" t="s">
        <v>320</v>
      </c>
      <c r="F21" s="8">
        <v>28</v>
      </c>
      <c r="G21" s="22">
        <v>643.71999999999991</v>
      </c>
      <c r="H21" s="22">
        <v>280</v>
      </c>
    </row>
    <row r="22" spans="1:8" x14ac:dyDescent="0.25">
      <c r="A22" s="75">
        <v>40549</v>
      </c>
      <c r="B22" s="8" t="s">
        <v>311</v>
      </c>
      <c r="C22" s="8" t="s">
        <v>310</v>
      </c>
      <c r="D22" s="8" t="s">
        <v>132</v>
      </c>
      <c r="E22" s="8" t="s">
        <v>342</v>
      </c>
      <c r="F22" s="8">
        <v>53</v>
      </c>
      <c r="G22" s="22">
        <v>1006.4699999999999</v>
      </c>
      <c r="H22" s="22">
        <v>424</v>
      </c>
    </row>
    <row r="23" spans="1:8" x14ac:dyDescent="0.25">
      <c r="A23" s="75">
        <v>40567</v>
      </c>
      <c r="B23" s="8" t="s">
        <v>319</v>
      </c>
      <c r="C23" s="8" t="s">
        <v>308</v>
      </c>
      <c r="D23" s="8" t="s">
        <v>312</v>
      </c>
      <c r="E23" s="8" t="s">
        <v>337</v>
      </c>
      <c r="F23" s="8">
        <v>61</v>
      </c>
      <c r="G23" s="22">
        <v>1646.3899999999999</v>
      </c>
      <c r="H23" s="22">
        <v>884.5</v>
      </c>
    </row>
    <row r="24" spans="1:8" x14ac:dyDescent="0.25">
      <c r="A24" s="75">
        <v>40566</v>
      </c>
      <c r="B24" s="8" t="s">
        <v>317</v>
      </c>
      <c r="C24" s="8" t="s">
        <v>308</v>
      </c>
      <c r="D24" s="8" t="s">
        <v>136</v>
      </c>
      <c r="E24" s="8" t="s">
        <v>429</v>
      </c>
      <c r="F24" s="8">
        <v>23</v>
      </c>
      <c r="G24" s="22">
        <v>482.77</v>
      </c>
      <c r="H24" s="22">
        <v>212.75</v>
      </c>
    </row>
    <row r="25" spans="1:8" x14ac:dyDescent="0.25">
      <c r="A25" s="75">
        <v>40545</v>
      </c>
      <c r="B25" s="8" t="s">
        <v>311</v>
      </c>
      <c r="C25" s="8" t="s">
        <v>309</v>
      </c>
      <c r="D25" s="8" t="s">
        <v>3</v>
      </c>
      <c r="E25" s="8" t="s">
        <v>322</v>
      </c>
      <c r="F25" s="8">
        <v>16</v>
      </c>
      <c r="G25" s="22">
        <v>303.83999999999997</v>
      </c>
      <c r="H25" s="22">
        <v>128</v>
      </c>
    </row>
    <row r="26" spans="1:8" x14ac:dyDescent="0.25">
      <c r="A26" s="75">
        <v>40557</v>
      </c>
      <c r="B26" s="8" t="s">
        <v>319</v>
      </c>
      <c r="C26" s="8" t="s">
        <v>309</v>
      </c>
      <c r="D26" s="8" t="s">
        <v>7</v>
      </c>
      <c r="E26" s="8" t="s">
        <v>342</v>
      </c>
      <c r="F26" s="8">
        <v>43</v>
      </c>
      <c r="G26" s="22">
        <v>1160.57</v>
      </c>
      <c r="H26" s="22">
        <v>623.5</v>
      </c>
    </row>
    <row r="27" spans="1:8" x14ac:dyDescent="0.25">
      <c r="A27" s="75">
        <v>40569</v>
      </c>
      <c r="B27" s="8" t="s">
        <v>317</v>
      </c>
      <c r="C27" s="8" t="s">
        <v>307</v>
      </c>
      <c r="D27" s="8" t="s">
        <v>312</v>
      </c>
      <c r="E27" s="8" t="s">
        <v>322</v>
      </c>
      <c r="F27" s="8">
        <v>29</v>
      </c>
      <c r="G27" s="22">
        <v>608.70999999999992</v>
      </c>
      <c r="H27" s="22">
        <v>268.25</v>
      </c>
    </row>
    <row r="28" spans="1:8" x14ac:dyDescent="0.25">
      <c r="A28" s="75">
        <v>40556</v>
      </c>
      <c r="B28" s="8" t="s">
        <v>315</v>
      </c>
      <c r="C28" s="8" t="s">
        <v>307</v>
      </c>
      <c r="D28" s="8" t="s">
        <v>3</v>
      </c>
      <c r="E28" s="8" t="s">
        <v>323</v>
      </c>
      <c r="F28" s="8">
        <v>60</v>
      </c>
      <c r="G28" s="22">
        <v>1439.3999999999999</v>
      </c>
      <c r="H28" s="22">
        <v>660</v>
      </c>
    </row>
    <row r="29" spans="1:8" x14ac:dyDescent="0.25">
      <c r="A29" s="75">
        <v>40571</v>
      </c>
      <c r="B29" s="8" t="s">
        <v>315</v>
      </c>
      <c r="C29" s="8" t="s">
        <v>310</v>
      </c>
      <c r="D29" s="8" t="s">
        <v>312</v>
      </c>
      <c r="E29" s="8" t="s">
        <v>318</v>
      </c>
      <c r="F29" s="8">
        <v>19</v>
      </c>
      <c r="G29" s="22">
        <v>455.80999999999995</v>
      </c>
      <c r="H29" s="22">
        <v>209</v>
      </c>
    </row>
    <row r="30" spans="1:8" x14ac:dyDescent="0.25">
      <c r="A30" s="75">
        <v>40557</v>
      </c>
      <c r="B30" s="8" t="s">
        <v>319</v>
      </c>
      <c r="C30" s="8" t="s">
        <v>308</v>
      </c>
      <c r="D30" s="8" t="s">
        <v>328</v>
      </c>
      <c r="E30" s="8" t="s">
        <v>323</v>
      </c>
      <c r="F30" s="8">
        <v>29</v>
      </c>
      <c r="G30" s="22">
        <v>782.70999999999992</v>
      </c>
      <c r="H30" s="22">
        <v>420.5</v>
      </c>
    </row>
    <row r="31" spans="1:8" x14ac:dyDescent="0.25">
      <c r="A31" s="75">
        <v>40568</v>
      </c>
      <c r="B31" s="8" t="s">
        <v>315</v>
      </c>
      <c r="C31" s="8" t="s">
        <v>310</v>
      </c>
      <c r="D31" s="8" t="s">
        <v>328</v>
      </c>
      <c r="E31" s="8" t="s">
        <v>318</v>
      </c>
      <c r="F31" s="8">
        <v>21</v>
      </c>
      <c r="G31" s="22">
        <v>503.78999999999996</v>
      </c>
      <c r="H31" s="22">
        <v>231</v>
      </c>
    </row>
    <row r="32" spans="1:8" x14ac:dyDescent="0.25">
      <c r="A32" s="75">
        <v>40563</v>
      </c>
      <c r="B32" s="8" t="s">
        <v>321</v>
      </c>
      <c r="C32" s="8" t="s">
        <v>310</v>
      </c>
      <c r="D32" s="8" t="s">
        <v>136</v>
      </c>
      <c r="E32" s="8" t="s">
        <v>340</v>
      </c>
      <c r="F32" s="8">
        <v>28</v>
      </c>
      <c r="G32" s="22">
        <v>643.71999999999991</v>
      </c>
      <c r="H32" s="22">
        <v>280</v>
      </c>
    </row>
    <row r="33" spans="1:8" x14ac:dyDescent="0.25">
      <c r="A33" s="75">
        <v>40552</v>
      </c>
      <c r="B33" s="8" t="s">
        <v>311</v>
      </c>
      <c r="C33" s="8" t="s">
        <v>309</v>
      </c>
      <c r="D33" s="8" t="s">
        <v>312</v>
      </c>
      <c r="E33" s="8" t="s">
        <v>325</v>
      </c>
      <c r="F33" s="8">
        <v>45</v>
      </c>
      <c r="G33" s="22">
        <v>854.55</v>
      </c>
      <c r="H33" s="22">
        <v>360</v>
      </c>
    </row>
    <row r="34" spans="1:8" x14ac:dyDescent="0.25">
      <c r="A34" s="75">
        <v>40568</v>
      </c>
      <c r="B34" s="8" t="s">
        <v>319</v>
      </c>
      <c r="C34" s="8" t="s">
        <v>308</v>
      </c>
      <c r="D34" s="8" t="s">
        <v>136</v>
      </c>
      <c r="E34" s="8" t="s">
        <v>429</v>
      </c>
      <c r="F34" s="8">
        <v>11</v>
      </c>
      <c r="G34" s="22">
        <v>296.89</v>
      </c>
      <c r="H34" s="22">
        <v>159.5</v>
      </c>
    </row>
    <row r="35" spans="1:8" x14ac:dyDescent="0.25">
      <c r="A35" s="75">
        <v>40545</v>
      </c>
      <c r="B35" s="8" t="s">
        <v>317</v>
      </c>
      <c r="C35" s="8" t="s">
        <v>310</v>
      </c>
      <c r="D35" s="8" t="s">
        <v>3</v>
      </c>
      <c r="E35" s="8" t="s">
        <v>347</v>
      </c>
      <c r="F35" s="8">
        <v>58</v>
      </c>
      <c r="G35" s="22">
        <v>1217.4199999999998</v>
      </c>
      <c r="H35" s="22">
        <v>536.5</v>
      </c>
    </row>
    <row r="36" spans="1:8" x14ac:dyDescent="0.25">
      <c r="A36" s="75">
        <v>40548</v>
      </c>
      <c r="B36" s="8" t="s">
        <v>321</v>
      </c>
      <c r="C36" s="8" t="s">
        <v>308</v>
      </c>
      <c r="D36" s="8" t="s">
        <v>7</v>
      </c>
      <c r="E36" s="8" t="s">
        <v>337</v>
      </c>
      <c r="F36" s="8">
        <v>57</v>
      </c>
      <c r="G36" s="22">
        <v>1310.4299999999998</v>
      </c>
      <c r="H36" s="22">
        <v>570</v>
      </c>
    </row>
    <row r="37" spans="1:8" x14ac:dyDescent="0.25">
      <c r="A37" s="75">
        <v>40548</v>
      </c>
      <c r="B37" s="8" t="s">
        <v>317</v>
      </c>
      <c r="C37" s="8" t="s">
        <v>310</v>
      </c>
      <c r="D37" s="8" t="s">
        <v>132</v>
      </c>
      <c r="E37" s="8" t="s">
        <v>347</v>
      </c>
      <c r="F37" s="8">
        <v>39</v>
      </c>
      <c r="G37" s="22">
        <v>818.6099999999999</v>
      </c>
      <c r="H37" s="22">
        <v>360.75</v>
      </c>
    </row>
    <row r="38" spans="1:8" x14ac:dyDescent="0.25">
      <c r="A38" s="75">
        <v>40568</v>
      </c>
      <c r="B38" s="8" t="s">
        <v>315</v>
      </c>
      <c r="C38" s="8" t="s">
        <v>308</v>
      </c>
      <c r="D38" s="8" t="s">
        <v>7</v>
      </c>
      <c r="E38" s="8" t="s">
        <v>314</v>
      </c>
      <c r="F38" s="8">
        <v>13</v>
      </c>
      <c r="G38" s="22">
        <v>311.87</v>
      </c>
      <c r="H38" s="22">
        <v>143</v>
      </c>
    </row>
    <row r="39" spans="1:8" x14ac:dyDescent="0.25">
      <c r="A39" s="75">
        <v>40548</v>
      </c>
      <c r="B39" s="8" t="s">
        <v>319</v>
      </c>
      <c r="C39" s="8" t="s">
        <v>308</v>
      </c>
      <c r="D39" s="8" t="s">
        <v>7</v>
      </c>
      <c r="E39" s="8" t="s">
        <v>329</v>
      </c>
      <c r="F39" s="8">
        <v>54</v>
      </c>
      <c r="G39" s="22">
        <v>1457.4599999999998</v>
      </c>
      <c r="H39" s="22">
        <v>783</v>
      </c>
    </row>
    <row r="40" spans="1:8" x14ac:dyDescent="0.25">
      <c r="A40" s="75">
        <v>40552</v>
      </c>
      <c r="B40" s="8" t="s">
        <v>315</v>
      </c>
      <c r="C40" s="8" t="s">
        <v>307</v>
      </c>
      <c r="D40" s="8" t="s">
        <v>328</v>
      </c>
      <c r="E40" s="8" t="s">
        <v>324</v>
      </c>
      <c r="F40" s="8">
        <v>10</v>
      </c>
      <c r="G40" s="22">
        <v>239.89999999999998</v>
      </c>
      <c r="H40" s="22">
        <v>110</v>
      </c>
    </row>
    <row r="41" spans="1:8" x14ac:dyDescent="0.25">
      <c r="A41" s="75">
        <v>40556</v>
      </c>
      <c r="B41" s="8" t="s">
        <v>311</v>
      </c>
      <c r="C41" s="8" t="s">
        <v>310</v>
      </c>
      <c r="D41" s="8" t="s">
        <v>136</v>
      </c>
      <c r="E41" s="8" t="s">
        <v>320</v>
      </c>
      <c r="F41" s="8">
        <v>62</v>
      </c>
      <c r="G41" s="22">
        <v>1177.3799999999999</v>
      </c>
      <c r="H41" s="22">
        <v>496</v>
      </c>
    </row>
    <row r="42" spans="1:8" x14ac:dyDescent="0.25">
      <c r="A42" s="75">
        <v>40561</v>
      </c>
      <c r="B42" s="8" t="s">
        <v>311</v>
      </c>
      <c r="C42" s="8" t="s">
        <v>307</v>
      </c>
      <c r="D42" s="8" t="s">
        <v>136</v>
      </c>
      <c r="E42" s="8" t="s">
        <v>332</v>
      </c>
      <c r="F42" s="8">
        <v>51</v>
      </c>
      <c r="G42" s="22">
        <v>968.4899999999999</v>
      </c>
      <c r="H42" s="22">
        <v>408</v>
      </c>
    </row>
    <row r="43" spans="1:8" x14ac:dyDescent="0.25">
      <c r="A43" s="75">
        <v>40555</v>
      </c>
      <c r="B43" s="8" t="s">
        <v>321</v>
      </c>
      <c r="C43" s="8" t="s">
        <v>308</v>
      </c>
      <c r="D43" s="8" t="s">
        <v>312</v>
      </c>
      <c r="E43" s="8" t="s">
        <v>325</v>
      </c>
      <c r="F43" s="8">
        <v>22</v>
      </c>
      <c r="G43" s="22">
        <v>505.78</v>
      </c>
      <c r="H43" s="22">
        <v>220</v>
      </c>
    </row>
    <row r="44" spans="1:8" x14ac:dyDescent="0.25">
      <c r="A44" s="75">
        <v>40555</v>
      </c>
      <c r="B44" s="8" t="s">
        <v>321</v>
      </c>
      <c r="C44" s="8" t="s">
        <v>310</v>
      </c>
      <c r="D44" s="8" t="s">
        <v>3</v>
      </c>
      <c r="E44" s="8" t="s">
        <v>330</v>
      </c>
      <c r="F44" s="8">
        <v>50</v>
      </c>
      <c r="G44" s="22">
        <v>1149.5</v>
      </c>
      <c r="H44" s="22">
        <v>500</v>
      </c>
    </row>
    <row r="45" spans="1:8" x14ac:dyDescent="0.25">
      <c r="A45" s="75">
        <v>40553</v>
      </c>
      <c r="B45" s="8" t="s">
        <v>315</v>
      </c>
      <c r="C45" s="8" t="s">
        <v>307</v>
      </c>
      <c r="D45" s="8" t="s">
        <v>136</v>
      </c>
      <c r="E45" s="8" t="s">
        <v>322</v>
      </c>
      <c r="F45" s="8">
        <v>9</v>
      </c>
      <c r="G45" s="22">
        <v>215.91</v>
      </c>
      <c r="H45" s="22">
        <v>99</v>
      </c>
    </row>
    <row r="46" spans="1:8" x14ac:dyDescent="0.25">
      <c r="A46" s="75">
        <v>40544</v>
      </c>
      <c r="B46" s="8" t="s">
        <v>321</v>
      </c>
      <c r="C46" s="8" t="s">
        <v>309</v>
      </c>
      <c r="D46" s="8" t="s">
        <v>312</v>
      </c>
      <c r="E46" s="8" t="s">
        <v>329</v>
      </c>
      <c r="F46" s="8">
        <v>24</v>
      </c>
      <c r="G46" s="22">
        <v>551.76</v>
      </c>
      <c r="H46" s="22">
        <v>240</v>
      </c>
    </row>
    <row r="47" spans="1:8" x14ac:dyDescent="0.25">
      <c r="A47" s="75">
        <v>40560</v>
      </c>
      <c r="B47" s="8" t="s">
        <v>319</v>
      </c>
      <c r="C47" s="8" t="s">
        <v>310</v>
      </c>
      <c r="D47" s="8" t="s">
        <v>312</v>
      </c>
      <c r="E47" s="8" t="s">
        <v>331</v>
      </c>
      <c r="F47" s="8">
        <v>42</v>
      </c>
      <c r="G47" s="22">
        <v>1133.58</v>
      </c>
      <c r="H47" s="22">
        <v>609</v>
      </c>
    </row>
    <row r="48" spans="1:8" x14ac:dyDescent="0.25">
      <c r="A48" s="75">
        <v>40545</v>
      </c>
      <c r="B48" s="8" t="s">
        <v>321</v>
      </c>
      <c r="C48" s="8" t="s">
        <v>310</v>
      </c>
      <c r="D48" s="8" t="s">
        <v>132</v>
      </c>
      <c r="E48" s="8" t="s">
        <v>313</v>
      </c>
      <c r="F48" s="8">
        <v>17</v>
      </c>
      <c r="G48" s="22">
        <v>390.83</v>
      </c>
      <c r="H48" s="22">
        <v>170</v>
      </c>
    </row>
    <row r="49" spans="1:8" x14ac:dyDescent="0.25">
      <c r="A49" s="75">
        <v>40572</v>
      </c>
      <c r="B49" s="8" t="s">
        <v>321</v>
      </c>
      <c r="C49" s="8" t="s">
        <v>309</v>
      </c>
      <c r="D49" s="8" t="s">
        <v>132</v>
      </c>
      <c r="E49" s="8" t="s">
        <v>325</v>
      </c>
      <c r="F49" s="8">
        <v>20</v>
      </c>
      <c r="G49" s="22">
        <v>459.79999999999995</v>
      </c>
      <c r="H49" s="22">
        <v>200</v>
      </c>
    </row>
    <row r="50" spans="1:8" x14ac:dyDescent="0.25">
      <c r="A50" s="75">
        <v>40569</v>
      </c>
      <c r="B50" s="8" t="s">
        <v>319</v>
      </c>
      <c r="C50" s="8" t="s">
        <v>310</v>
      </c>
      <c r="D50" s="8" t="s">
        <v>3</v>
      </c>
      <c r="E50" s="8" t="s">
        <v>336</v>
      </c>
      <c r="F50" s="8">
        <v>20</v>
      </c>
      <c r="G50" s="22">
        <v>539.79999999999995</v>
      </c>
      <c r="H50" s="22">
        <v>290</v>
      </c>
    </row>
    <row r="51" spans="1:8" x14ac:dyDescent="0.25">
      <c r="A51" s="75">
        <v>40556</v>
      </c>
      <c r="B51" s="8" t="s">
        <v>311</v>
      </c>
      <c r="C51" s="8" t="s">
        <v>307</v>
      </c>
      <c r="D51" s="8" t="s">
        <v>328</v>
      </c>
      <c r="E51" s="8" t="s">
        <v>326</v>
      </c>
      <c r="F51" s="8">
        <v>11</v>
      </c>
      <c r="G51" s="22">
        <v>208.89</v>
      </c>
      <c r="H51" s="22">
        <v>88</v>
      </c>
    </row>
    <row r="52" spans="1:8" x14ac:dyDescent="0.25">
      <c r="A52" s="75">
        <v>40545</v>
      </c>
      <c r="B52" s="8" t="s">
        <v>319</v>
      </c>
      <c r="C52" s="8" t="s">
        <v>309</v>
      </c>
      <c r="D52" s="8" t="s">
        <v>7</v>
      </c>
      <c r="E52" s="8" t="s">
        <v>322</v>
      </c>
      <c r="F52" s="8">
        <v>22</v>
      </c>
      <c r="G52" s="22">
        <v>593.78</v>
      </c>
      <c r="H52" s="22">
        <v>319</v>
      </c>
    </row>
    <row r="53" spans="1:8" x14ac:dyDescent="0.25">
      <c r="A53" s="75">
        <v>40566</v>
      </c>
      <c r="B53" s="8" t="s">
        <v>321</v>
      </c>
      <c r="C53" s="8" t="s">
        <v>310</v>
      </c>
      <c r="D53" s="8" t="s">
        <v>136</v>
      </c>
      <c r="E53" s="8" t="s">
        <v>333</v>
      </c>
      <c r="F53" s="8">
        <v>19</v>
      </c>
      <c r="G53" s="22">
        <v>436.80999999999995</v>
      </c>
      <c r="H53" s="22">
        <v>190</v>
      </c>
    </row>
    <row r="54" spans="1:8" x14ac:dyDescent="0.25">
      <c r="A54" s="75">
        <v>40564</v>
      </c>
      <c r="B54" s="8" t="s">
        <v>315</v>
      </c>
      <c r="C54" s="8" t="s">
        <v>307</v>
      </c>
      <c r="D54" s="8" t="s">
        <v>328</v>
      </c>
      <c r="E54" s="8" t="s">
        <v>337</v>
      </c>
      <c r="F54" s="8">
        <v>32</v>
      </c>
      <c r="G54" s="22">
        <v>767.68</v>
      </c>
      <c r="H54" s="22">
        <v>352</v>
      </c>
    </row>
    <row r="55" spans="1:8" x14ac:dyDescent="0.25">
      <c r="A55" s="75">
        <v>40551</v>
      </c>
      <c r="B55" s="8" t="s">
        <v>319</v>
      </c>
      <c r="C55" s="8" t="s">
        <v>309</v>
      </c>
      <c r="D55" s="8" t="s">
        <v>132</v>
      </c>
      <c r="E55" s="8" t="s">
        <v>344</v>
      </c>
      <c r="F55" s="8">
        <v>26</v>
      </c>
      <c r="G55" s="22">
        <v>701.74</v>
      </c>
      <c r="H55" s="22">
        <v>377</v>
      </c>
    </row>
    <row r="56" spans="1:8" x14ac:dyDescent="0.25">
      <c r="A56" s="75">
        <v>40562</v>
      </c>
      <c r="B56" s="8" t="s">
        <v>319</v>
      </c>
      <c r="C56" s="8" t="s">
        <v>309</v>
      </c>
      <c r="D56" s="8" t="s">
        <v>312</v>
      </c>
      <c r="E56" s="8" t="s">
        <v>343</v>
      </c>
      <c r="F56" s="8">
        <v>57</v>
      </c>
      <c r="G56" s="22">
        <v>1538.4299999999998</v>
      </c>
      <c r="H56" s="22">
        <v>826.5</v>
      </c>
    </row>
    <row r="57" spans="1:8" x14ac:dyDescent="0.25">
      <c r="A57" s="75">
        <v>40567</v>
      </c>
      <c r="B57" s="8" t="s">
        <v>311</v>
      </c>
      <c r="C57" s="8" t="s">
        <v>307</v>
      </c>
      <c r="D57" s="8" t="s">
        <v>136</v>
      </c>
      <c r="E57" s="8" t="s">
        <v>325</v>
      </c>
      <c r="F57" s="8">
        <v>57</v>
      </c>
      <c r="G57" s="22">
        <v>1082.4299999999998</v>
      </c>
      <c r="H57" s="22">
        <v>456</v>
      </c>
    </row>
    <row r="58" spans="1:8" x14ac:dyDescent="0.25">
      <c r="A58" s="75">
        <v>40555</v>
      </c>
      <c r="B58" s="8" t="s">
        <v>319</v>
      </c>
      <c r="C58" s="8" t="s">
        <v>307</v>
      </c>
      <c r="D58" s="8" t="s">
        <v>7</v>
      </c>
      <c r="E58" s="8" t="s">
        <v>432</v>
      </c>
      <c r="F58" s="8">
        <v>59</v>
      </c>
      <c r="G58" s="22">
        <v>1592.4099999999999</v>
      </c>
      <c r="H58" s="22">
        <v>855.5</v>
      </c>
    </row>
    <row r="59" spans="1:8" x14ac:dyDescent="0.25">
      <c r="A59" s="75">
        <v>40554</v>
      </c>
      <c r="B59" s="8" t="s">
        <v>321</v>
      </c>
      <c r="C59" s="8" t="s">
        <v>310</v>
      </c>
      <c r="D59" s="8" t="s">
        <v>132</v>
      </c>
      <c r="E59" s="8" t="s">
        <v>327</v>
      </c>
      <c r="F59" s="8">
        <v>15</v>
      </c>
      <c r="G59" s="22">
        <v>344.84999999999997</v>
      </c>
      <c r="H59" s="22">
        <v>150</v>
      </c>
    </row>
    <row r="60" spans="1:8" x14ac:dyDescent="0.25">
      <c r="A60" s="75">
        <v>40566</v>
      </c>
      <c r="B60" s="8" t="s">
        <v>319</v>
      </c>
      <c r="C60" s="8" t="s">
        <v>308</v>
      </c>
      <c r="D60" s="8" t="s">
        <v>132</v>
      </c>
      <c r="E60" s="8" t="s">
        <v>341</v>
      </c>
      <c r="F60" s="8">
        <v>50</v>
      </c>
      <c r="G60" s="22">
        <v>1349.5</v>
      </c>
      <c r="H60" s="22">
        <v>725</v>
      </c>
    </row>
    <row r="61" spans="1:8" x14ac:dyDescent="0.25">
      <c r="A61" s="75">
        <v>40566</v>
      </c>
      <c r="B61" s="8" t="s">
        <v>317</v>
      </c>
      <c r="C61" s="8" t="s">
        <v>307</v>
      </c>
      <c r="D61" s="8" t="s">
        <v>328</v>
      </c>
      <c r="E61" s="8" t="s">
        <v>330</v>
      </c>
      <c r="F61" s="8">
        <v>29</v>
      </c>
      <c r="G61" s="22">
        <v>608.70999999999992</v>
      </c>
      <c r="H61" s="22">
        <v>268.25</v>
      </c>
    </row>
    <row r="62" spans="1:8" x14ac:dyDescent="0.25">
      <c r="A62" s="75">
        <v>40573</v>
      </c>
      <c r="B62" s="8" t="s">
        <v>317</v>
      </c>
      <c r="C62" s="8" t="s">
        <v>309</v>
      </c>
      <c r="D62" s="8" t="s">
        <v>132</v>
      </c>
      <c r="E62" s="8" t="s">
        <v>345</v>
      </c>
      <c r="F62" s="8">
        <v>23</v>
      </c>
      <c r="G62" s="22">
        <v>482.77</v>
      </c>
      <c r="H62" s="22">
        <v>212.75</v>
      </c>
    </row>
    <row r="63" spans="1:8" x14ac:dyDescent="0.25">
      <c r="A63" s="75">
        <v>40548</v>
      </c>
      <c r="B63" s="8" t="s">
        <v>321</v>
      </c>
      <c r="C63" s="8" t="s">
        <v>307</v>
      </c>
      <c r="D63" s="8" t="s">
        <v>132</v>
      </c>
      <c r="E63" s="8" t="s">
        <v>346</v>
      </c>
      <c r="F63" s="8">
        <v>10</v>
      </c>
      <c r="G63" s="22">
        <v>229.89999999999998</v>
      </c>
      <c r="H63" s="22">
        <v>100</v>
      </c>
    </row>
    <row r="64" spans="1:8" x14ac:dyDescent="0.25">
      <c r="A64" s="75">
        <v>40572</v>
      </c>
      <c r="B64" s="8" t="s">
        <v>311</v>
      </c>
      <c r="C64" s="8" t="s">
        <v>307</v>
      </c>
      <c r="D64" s="8" t="s">
        <v>3</v>
      </c>
      <c r="E64" s="8" t="s">
        <v>325</v>
      </c>
      <c r="F64" s="8">
        <v>40</v>
      </c>
      <c r="G64" s="22">
        <v>759.59999999999991</v>
      </c>
      <c r="H64" s="22">
        <v>320</v>
      </c>
    </row>
    <row r="65" spans="1:8" x14ac:dyDescent="0.25">
      <c r="A65" s="75">
        <v>40548</v>
      </c>
      <c r="B65" s="8" t="s">
        <v>317</v>
      </c>
      <c r="C65" s="8" t="s">
        <v>310</v>
      </c>
      <c r="D65" s="8" t="s">
        <v>3</v>
      </c>
      <c r="E65" s="8" t="s">
        <v>330</v>
      </c>
      <c r="F65" s="8">
        <v>23</v>
      </c>
      <c r="G65" s="22">
        <v>482.77</v>
      </c>
      <c r="H65" s="22">
        <v>212.75</v>
      </c>
    </row>
    <row r="66" spans="1:8" x14ac:dyDescent="0.25">
      <c r="A66" s="75">
        <v>40568</v>
      </c>
      <c r="B66" s="8" t="s">
        <v>321</v>
      </c>
      <c r="C66" s="8" t="s">
        <v>308</v>
      </c>
      <c r="D66" s="8" t="s">
        <v>136</v>
      </c>
      <c r="E66" s="8" t="s">
        <v>341</v>
      </c>
      <c r="F66" s="8">
        <v>10</v>
      </c>
      <c r="G66" s="22">
        <v>229.89999999999998</v>
      </c>
      <c r="H66" s="22">
        <v>100</v>
      </c>
    </row>
    <row r="67" spans="1:8" x14ac:dyDescent="0.25">
      <c r="A67" s="75">
        <v>40560</v>
      </c>
      <c r="B67" s="8" t="s">
        <v>319</v>
      </c>
      <c r="C67" s="8" t="s">
        <v>309</v>
      </c>
      <c r="D67" s="8" t="s">
        <v>132</v>
      </c>
      <c r="E67" s="8" t="s">
        <v>313</v>
      </c>
      <c r="F67" s="8">
        <v>47</v>
      </c>
      <c r="G67" s="22">
        <v>1268.53</v>
      </c>
      <c r="H67" s="22">
        <v>681.5</v>
      </c>
    </row>
    <row r="68" spans="1:8" x14ac:dyDescent="0.25">
      <c r="A68" s="75">
        <v>40565</v>
      </c>
      <c r="B68" s="8" t="s">
        <v>311</v>
      </c>
      <c r="C68" s="8" t="s">
        <v>309</v>
      </c>
      <c r="D68" s="8" t="s">
        <v>132</v>
      </c>
      <c r="E68" s="8" t="s">
        <v>338</v>
      </c>
      <c r="F68" s="8">
        <v>64</v>
      </c>
      <c r="G68" s="22">
        <v>1215.3599999999999</v>
      </c>
      <c r="H68" s="22">
        <v>512</v>
      </c>
    </row>
    <row r="69" spans="1:8" x14ac:dyDescent="0.25">
      <c r="A69" s="75">
        <v>40573</v>
      </c>
      <c r="B69" s="8" t="s">
        <v>321</v>
      </c>
      <c r="C69" s="8" t="s">
        <v>308</v>
      </c>
      <c r="D69" s="8" t="s">
        <v>136</v>
      </c>
      <c r="E69" s="8" t="s">
        <v>318</v>
      </c>
      <c r="F69" s="8">
        <v>10</v>
      </c>
      <c r="G69" s="22">
        <v>229.89999999999998</v>
      </c>
      <c r="H69" s="22">
        <v>100</v>
      </c>
    </row>
    <row r="70" spans="1:8" x14ac:dyDescent="0.25">
      <c r="A70" s="75">
        <v>40551</v>
      </c>
      <c r="B70" s="8" t="s">
        <v>321</v>
      </c>
      <c r="C70" s="8" t="s">
        <v>310</v>
      </c>
      <c r="D70" s="8" t="s">
        <v>132</v>
      </c>
      <c r="E70" s="8" t="s">
        <v>348</v>
      </c>
      <c r="F70" s="8">
        <v>63</v>
      </c>
      <c r="G70" s="22">
        <v>1448.37</v>
      </c>
      <c r="H70" s="22">
        <v>630</v>
      </c>
    </row>
    <row r="71" spans="1:8" x14ac:dyDescent="0.25">
      <c r="A71" s="75">
        <v>40557</v>
      </c>
      <c r="B71" s="8" t="s">
        <v>321</v>
      </c>
      <c r="C71" s="8" t="s">
        <v>310</v>
      </c>
      <c r="D71" s="8" t="s">
        <v>328</v>
      </c>
      <c r="E71" s="8" t="s">
        <v>316</v>
      </c>
      <c r="F71" s="8">
        <v>52</v>
      </c>
      <c r="G71" s="22">
        <v>1195.48</v>
      </c>
      <c r="H71" s="22">
        <v>520</v>
      </c>
    </row>
    <row r="72" spans="1:8" x14ac:dyDescent="0.25">
      <c r="A72" s="75">
        <v>40552</v>
      </c>
      <c r="B72" s="8" t="s">
        <v>311</v>
      </c>
      <c r="C72" s="8" t="s">
        <v>310</v>
      </c>
      <c r="D72" s="8" t="s">
        <v>132</v>
      </c>
      <c r="E72" s="8" t="s">
        <v>337</v>
      </c>
      <c r="F72" s="8">
        <v>22</v>
      </c>
      <c r="G72" s="22">
        <v>417.78</v>
      </c>
      <c r="H72" s="22">
        <v>176</v>
      </c>
    </row>
    <row r="73" spans="1:8" x14ac:dyDescent="0.25">
      <c r="A73" s="75">
        <v>40565</v>
      </c>
      <c r="B73" s="8" t="s">
        <v>311</v>
      </c>
      <c r="C73" s="8" t="s">
        <v>308</v>
      </c>
      <c r="D73" s="8" t="s">
        <v>132</v>
      </c>
      <c r="E73" s="8" t="s">
        <v>314</v>
      </c>
      <c r="F73" s="8">
        <v>29</v>
      </c>
      <c r="G73" s="22">
        <v>550.70999999999992</v>
      </c>
      <c r="H73" s="22">
        <v>232</v>
      </c>
    </row>
    <row r="74" spans="1:8" x14ac:dyDescent="0.25">
      <c r="A74" s="75">
        <v>40553</v>
      </c>
      <c r="B74" s="8" t="s">
        <v>321</v>
      </c>
      <c r="C74" s="8" t="s">
        <v>308</v>
      </c>
      <c r="D74" s="8" t="s">
        <v>328</v>
      </c>
      <c r="E74" s="8" t="s">
        <v>322</v>
      </c>
      <c r="F74" s="8">
        <v>50</v>
      </c>
      <c r="G74" s="22">
        <v>1149.5</v>
      </c>
      <c r="H74" s="22">
        <v>500</v>
      </c>
    </row>
    <row r="75" spans="1:8" x14ac:dyDescent="0.25">
      <c r="A75" s="75">
        <v>40569</v>
      </c>
      <c r="B75" s="8" t="s">
        <v>317</v>
      </c>
      <c r="C75" s="8" t="s">
        <v>309</v>
      </c>
      <c r="D75" s="8" t="s">
        <v>3</v>
      </c>
      <c r="E75" s="8" t="s">
        <v>324</v>
      </c>
      <c r="F75" s="8">
        <v>50</v>
      </c>
      <c r="G75" s="22">
        <v>1049.5</v>
      </c>
      <c r="H75" s="22">
        <v>462.5</v>
      </c>
    </row>
    <row r="76" spans="1:8" x14ac:dyDescent="0.25">
      <c r="A76" s="75">
        <v>40557</v>
      </c>
      <c r="B76" s="8" t="s">
        <v>315</v>
      </c>
      <c r="C76" s="8" t="s">
        <v>310</v>
      </c>
      <c r="D76" s="8" t="s">
        <v>3</v>
      </c>
      <c r="E76" s="8" t="s">
        <v>336</v>
      </c>
      <c r="F76" s="8">
        <v>48</v>
      </c>
      <c r="G76" s="22">
        <v>1151.52</v>
      </c>
      <c r="H76" s="22">
        <v>528</v>
      </c>
    </row>
    <row r="77" spans="1:8" x14ac:dyDescent="0.25">
      <c r="A77" s="75">
        <v>40556</v>
      </c>
      <c r="B77" s="8" t="s">
        <v>319</v>
      </c>
      <c r="C77" s="8" t="s">
        <v>307</v>
      </c>
      <c r="D77" s="8" t="s">
        <v>136</v>
      </c>
      <c r="E77" s="8" t="s">
        <v>331</v>
      </c>
      <c r="F77" s="8">
        <v>27</v>
      </c>
      <c r="G77" s="22">
        <v>728.7299999999999</v>
      </c>
      <c r="H77" s="22">
        <v>391.5</v>
      </c>
    </row>
    <row r="78" spans="1:8" x14ac:dyDescent="0.25">
      <c r="A78" s="75">
        <v>40555</v>
      </c>
      <c r="B78" s="8" t="s">
        <v>321</v>
      </c>
      <c r="C78" s="8" t="s">
        <v>309</v>
      </c>
      <c r="D78" s="8" t="s">
        <v>132</v>
      </c>
      <c r="E78" s="8" t="s">
        <v>339</v>
      </c>
      <c r="F78" s="8">
        <v>6</v>
      </c>
      <c r="G78" s="22">
        <v>137.94</v>
      </c>
      <c r="H78" s="22">
        <v>60</v>
      </c>
    </row>
    <row r="79" spans="1:8" x14ac:dyDescent="0.25">
      <c r="A79" s="75">
        <v>40571</v>
      </c>
      <c r="B79" s="8" t="s">
        <v>315</v>
      </c>
      <c r="C79" s="8" t="s">
        <v>308</v>
      </c>
      <c r="D79" s="8" t="s">
        <v>136</v>
      </c>
      <c r="E79" s="8" t="s">
        <v>343</v>
      </c>
      <c r="F79" s="8">
        <v>62</v>
      </c>
      <c r="G79" s="22">
        <v>1487.3799999999999</v>
      </c>
      <c r="H79" s="22">
        <v>682</v>
      </c>
    </row>
    <row r="80" spans="1:8" x14ac:dyDescent="0.25">
      <c r="A80" s="75">
        <v>40565</v>
      </c>
      <c r="B80" s="8" t="s">
        <v>315</v>
      </c>
      <c r="C80" s="8" t="s">
        <v>308</v>
      </c>
      <c r="D80" s="8" t="s">
        <v>3</v>
      </c>
      <c r="E80" s="8" t="s">
        <v>342</v>
      </c>
      <c r="F80" s="8">
        <v>10</v>
      </c>
      <c r="G80" s="22">
        <v>239.89999999999998</v>
      </c>
      <c r="H80" s="22">
        <v>110</v>
      </c>
    </row>
    <row r="81" spans="1:8" x14ac:dyDescent="0.25">
      <c r="A81" s="75">
        <v>40547</v>
      </c>
      <c r="B81" s="8" t="s">
        <v>315</v>
      </c>
      <c r="C81" s="8" t="s">
        <v>307</v>
      </c>
      <c r="D81" s="8" t="s">
        <v>328</v>
      </c>
      <c r="E81" s="8" t="s">
        <v>341</v>
      </c>
      <c r="F81" s="8">
        <v>33</v>
      </c>
      <c r="G81" s="22">
        <v>791.67</v>
      </c>
      <c r="H81" s="22">
        <v>363</v>
      </c>
    </row>
    <row r="82" spans="1:8" x14ac:dyDescent="0.25">
      <c r="A82" s="75">
        <v>40569</v>
      </c>
      <c r="B82" s="8" t="s">
        <v>319</v>
      </c>
      <c r="C82" s="8" t="s">
        <v>310</v>
      </c>
      <c r="D82" s="8" t="s">
        <v>3</v>
      </c>
      <c r="E82" s="8" t="s">
        <v>333</v>
      </c>
      <c r="F82" s="8">
        <v>17</v>
      </c>
      <c r="G82" s="22">
        <v>458.83</v>
      </c>
      <c r="H82" s="22">
        <v>246.5</v>
      </c>
    </row>
    <row r="83" spans="1:8" x14ac:dyDescent="0.25">
      <c r="A83" s="75">
        <v>40562</v>
      </c>
      <c r="B83" s="8" t="s">
        <v>321</v>
      </c>
      <c r="C83" s="8" t="s">
        <v>310</v>
      </c>
      <c r="D83" s="8" t="s">
        <v>328</v>
      </c>
      <c r="E83" s="8" t="s">
        <v>345</v>
      </c>
      <c r="F83" s="8">
        <v>10</v>
      </c>
      <c r="G83" s="22">
        <v>229.89999999999998</v>
      </c>
      <c r="H83" s="22">
        <v>100</v>
      </c>
    </row>
    <row r="84" spans="1:8" x14ac:dyDescent="0.25">
      <c r="A84" s="75">
        <v>40544</v>
      </c>
      <c r="B84" s="8" t="s">
        <v>315</v>
      </c>
      <c r="C84" s="8" t="s">
        <v>307</v>
      </c>
      <c r="D84" s="8" t="s">
        <v>132</v>
      </c>
      <c r="E84" s="8" t="s">
        <v>341</v>
      </c>
      <c r="F84" s="8">
        <v>8</v>
      </c>
      <c r="G84" s="22">
        <v>191.92</v>
      </c>
      <c r="H84" s="22">
        <v>88</v>
      </c>
    </row>
    <row r="85" spans="1:8" x14ac:dyDescent="0.25">
      <c r="A85" s="75">
        <v>40549</v>
      </c>
      <c r="B85" s="8" t="s">
        <v>317</v>
      </c>
      <c r="C85" s="8" t="s">
        <v>308</v>
      </c>
      <c r="D85" s="8" t="s">
        <v>136</v>
      </c>
      <c r="E85" s="8" t="s">
        <v>342</v>
      </c>
      <c r="F85" s="8">
        <v>30</v>
      </c>
      <c r="G85" s="22">
        <v>629.69999999999993</v>
      </c>
      <c r="H85" s="22">
        <v>277.5</v>
      </c>
    </row>
    <row r="86" spans="1:8" x14ac:dyDescent="0.25">
      <c r="A86" s="75">
        <v>40551</v>
      </c>
      <c r="B86" s="8" t="s">
        <v>315</v>
      </c>
      <c r="C86" s="8" t="s">
        <v>309</v>
      </c>
      <c r="D86" s="8" t="s">
        <v>3</v>
      </c>
      <c r="E86" s="8" t="s">
        <v>322</v>
      </c>
      <c r="F86" s="8">
        <v>22</v>
      </c>
      <c r="G86" s="22">
        <v>527.78</v>
      </c>
      <c r="H86" s="22">
        <v>242</v>
      </c>
    </row>
    <row r="87" spans="1:8" x14ac:dyDescent="0.25">
      <c r="A87" s="75">
        <v>40571</v>
      </c>
      <c r="B87" s="8" t="s">
        <v>319</v>
      </c>
      <c r="C87" s="8" t="s">
        <v>308</v>
      </c>
      <c r="D87" s="8" t="s">
        <v>132</v>
      </c>
      <c r="E87" s="8" t="s">
        <v>324</v>
      </c>
      <c r="F87" s="8">
        <v>30</v>
      </c>
      <c r="G87" s="22">
        <v>809.69999999999993</v>
      </c>
      <c r="H87" s="22">
        <v>435</v>
      </c>
    </row>
    <row r="88" spans="1:8" x14ac:dyDescent="0.25">
      <c r="A88" s="75">
        <v>40555</v>
      </c>
      <c r="B88" s="8" t="s">
        <v>321</v>
      </c>
      <c r="C88" s="8" t="s">
        <v>308</v>
      </c>
      <c r="D88" s="8" t="s">
        <v>328</v>
      </c>
      <c r="E88" s="8" t="s">
        <v>314</v>
      </c>
      <c r="F88" s="8">
        <v>64</v>
      </c>
      <c r="G88" s="22">
        <v>1471.36</v>
      </c>
      <c r="H88" s="22">
        <v>640</v>
      </c>
    </row>
    <row r="89" spans="1:8" x14ac:dyDescent="0.25">
      <c r="A89" s="75">
        <v>40553</v>
      </c>
      <c r="B89" s="8" t="s">
        <v>319</v>
      </c>
      <c r="C89" s="8" t="s">
        <v>310</v>
      </c>
      <c r="D89" s="8" t="s">
        <v>7</v>
      </c>
      <c r="E89" s="8" t="s">
        <v>343</v>
      </c>
      <c r="F89" s="8">
        <v>43</v>
      </c>
      <c r="G89" s="22">
        <v>1160.57</v>
      </c>
      <c r="H89" s="22">
        <v>623.5</v>
      </c>
    </row>
    <row r="90" spans="1:8" x14ac:dyDescent="0.25">
      <c r="A90" s="75">
        <v>40571</v>
      </c>
      <c r="B90" s="8" t="s">
        <v>321</v>
      </c>
      <c r="C90" s="8" t="s">
        <v>307</v>
      </c>
      <c r="D90" s="8" t="s">
        <v>132</v>
      </c>
      <c r="E90" s="8" t="s">
        <v>322</v>
      </c>
      <c r="F90" s="8">
        <v>45</v>
      </c>
      <c r="G90" s="22">
        <v>1034.55</v>
      </c>
      <c r="H90" s="22">
        <v>450</v>
      </c>
    </row>
    <row r="91" spans="1:8" x14ac:dyDescent="0.25">
      <c r="A91" s="75">
        <v>40565</v>
      </c>
      <c r="B91" s="8" t="s">
        <v>315</v>
      </c>
      <c r="C91" s="8" t="s">
        <v>309</v>
      </c>
      <c r="D91" s="8" t="s">
        <v>136</v>
      </c>
      <c r="E91" s="8" t="s">
        <v>327</v>
      </c>
      <c r="F91" s="8">
        <v>45</v>
      </c>
      <c r="G91" s="22">
        <v>1079.55</v>
      </c>
      <c r="H91" s="22">
        <v>495</v>
      </c>
    </row>
    <row r="92" spans="1:8" x14ac:dyDescent="0.25">
      <c r="A92" s="75">
        <v>40568</v>
      </c>
      <c r="B92" s="8" t="s">
        <v>311</v>
      </c>
      <c r="C92" s="8" t="s">
        <v>308</v>
      </c>
      <c r="D92" s="8" t="s">
        <v>3</v>
      </c>
      <c r="E92" s="8" t="s">
        <v>326</v>
      </c>
      <c r="F92" s="8">
        <v>55</v>
      </c>
      <c r="G92" s="22">
        <v>1044.4499999999998</v>
      </c>
      <c r="H92" s="22">
        <v>440</v>
      </c>
    </row>
    <row r="93" spans="1:8" x14ac:dyDescent="0.25">
      <c r="A93" s="75">
        <v>40561</v>
      </c>
      <c r="B93" s="8" t="s">
        <v>311</v>
      </c>
      <c r="C93" s="8" t="s">
        <v>310</v>
      </c>
      <c r="D93" s="8" t="s">
        <v>132</v>
      </c>
      <c r="E93" s="8" t="s">
        <v>323</v>
      </c>
      <c r="F93" s="8">
        <v>62</v>
      </c>
      <c r="G93" s="22">
        <v>1177.3799999999999</v>
      </c>
      <c r="H93" s="22">
        <v>496</v>
      </c>
    </row>
    <row r="94" spans="1:8" x14ac:dyDescent="0.25">
      <c r="A94" s="75">
        <v>40549</v>
      </c>
      <c r="B94" s="8" t="s">
        <v>315</v>
      </c>
      <c r="C94" s="8" t="s">
        <v>308</v>
      </c>
      <c r="D94" s="8" t="s">
        <v>328</v>
      </c>
      <c r="E94" s="8" t="s">
        <v>324</v>
      </c>
      <c r="F94" s="8">
        <v>11</v>
      </c>
      <c r="G94" s="22">
        <v>263.89</v>
      </c>
      <c r="H94" s="22">
        <v>121</v>
      </c>
    </row>
    <row r="95" spans="1:8" x14ac:dyDescent="0.25">
      <c r="A95" s="75">
        <v>40569</v>
      </c>
      <c r="B95" s="8" t="s">
        <v>319</v>
      </c>
      <c r="C95" s="8" t="s">
        <v>308</v>
      </c>
      <c r="D95" s="8" t="s">
        <v>136</v>
      </c>
      <c r="E95" s="8" t="s">
        <v>325</v>
      </c>
      <c r="F95" s="8">
        <v>17</v>
      </c>
      <c r="G95" s="22">
        <v>458.83</v>
      </c>
      <c r="H95" s="22">
        <v>246.5</v>
      </c>
    </row>
    <row r="96" spans="1:8" x14ac:dyDescent="0.25">
      <c r="A96" s="75">
        <v>40554</v>
      </c>
      <c r="B96" s="8" t="s">
        <v>321</v>
      </c>
      <c r="C96" s="8" t="s">
        <v>309</v>
      </c>
      <c r="D96" s="8" t="s">
        <v>7</v>
      </c>
      <c r="E96" s="8" t="s">
        <v>341</v>
      </c>
      <c r="F96" s="8">
        <v>57</v>
      </c>
      <c r="G96" s="22">
        <v>1310.4299999999998</v>
      </c>
      <c r="H96" s="22">
        <v>570</v>
      </c>
    </row>
    <row r="97" spans="1:8" x14ac:dyDescent="0.25">
      <c r="A97" s="75">
        <v>40563</v>
      </c>
      <c r="B97" s="8" t="s">
        <v>311</v>
      </c>
      <c r="C97" s="8" t="s">
        <v>307</v>
      </c>
      <c r="D97" s="8" t="s">
        <v>312</v>
      </c>
      <c r="E97" s="8" t="s">
        <v>314</v>
      </c>
      <c r="F97" s="8">
        <v>64</v>
      </c>
      <c r="G97" s="22">
        <v>1215.3599999999999</v>
      </c>
      <c r="H97" s="22">
        <v>512</v>
      </c>
    </row>
    <row r="98" spans="1:8" x14ac:dyDescent="0.25">
      <c r="A98" s="75">
        <v>40566</v>
      </c>
      <c r="B98" s="8" t="s">
        <v>319</v>
      </c>
      <c r="C98" s="8" t="s">
        <v>309</v>
      </c>
      <c r="D98" s="8" t="s">
        <v>328</v>
      </c>
      <c r="E98" s="8" t="s">
        <v>347</v>
      </c>
      <c r="F98" s="8">
        <v>31</v>
      </c>
      <c r="G98" s="22">
        <v>836.68999999999994</v>
      </c>
      <c r="H98" s="22">
        <v>449.5</v>
      </c>
    </row>
    <row r="99" spans="1:8" x14ac:dyDescent="0.25">
      <c r="A99" s="75">
        <v>40563</v>
      </c>
      <c r="B99" s="8" t="s">
        <v>317</v>
      </c>
      <c r="C99" s="8" t="s">
        <v>310</v>
      </c>
      <c r="D99" s="8" t="s">
        <v>136</v>
      </c>
      <c r="E99" s="8" t="s">
        <v>337</v>
      </c>
      <c r="F99" s="8">
        <v>21</v>
      </c>
      <c r="G99" s="22">
        <v>440.78999999999996</v>
      </c>
      <c r="H99" s="22">
        <v>194.25</v>
      </c>
    </row>
    <row r="100" spans="1:8" x14ac:dyDescent="0.25">
      <c r="A100" s="75">
        <v>40546</v>
      </c>
      <c r="B100" s="8" t="s">
        <v>319</v>
      </c>
      <c r="C100" s="8" t="s">
        <v>310</v>
      </c>
      <c r="D100" s="8" t="s">
        <v>136</v>
      </c>
      <c r="E100" s="8" t="s">
        <v>332</v>
      </c>
      <c r="F100" s="8">
        <v>32</v>
      </c>
      <c r="G100" s="22">
        <v>863.68</v>
      </c>
      <c r="H100" s="22">
        <v>464</v>
      </c>
    </row>
    <row r="101" spans="1:8" x14ac:dyDescent="0.25">
      <c r="A101" s="75">
        <v>40548</v>
      </c>
      <c r="B101" s="8" t="s">
        <v>315</v>
      </c>
      <c r="C101" s="8" t="s">
        <v>308</v>
      </c>
      <c r="D101" s="8" t="s">
        <v>328</v>
      </c>
      <c r="E101" s="8" t="s">
        <v>325</v>
      </c>
      <c r="F101" s="8">
        <v>47</v>
      </c>
      <c r="G101" s="22">
        <v>1127.53</v>
      </c>
      <c r="H101" s="22">
        <v>517</v>
      </c>
    </row>
    <row r="102" spans="1:8" x14ac:dyDescent="0.25">
      <c r="A102" s="75">
        <v>40554</v>
      </c>
      <c r="B102" s="8" t="s">
        <v>321</v>
      </c>
      <c r="C102" s="8" t="s">
        <v>308</v>
      </c>
      <c r="D102" s="8" t="s">
        <v>328</v>
      </c>
      <c r="E102" s="8" t="s">
        <v>342</v>
      </c>
      <c r="F102" s="8">
        <v>19</v>
      </c>
      <c r="G102" s="22">
        <v>436.80999999999995</v>
      </c>
      <c r="H102" s="22">
        <v>190</v>
      </c>
    </row>
    <row r="103" spans="1:8" x14ac:dyDescent="0.25">
      <c r="A103" s="75">
        <v>40571</v>
      </c>
      <c r="B103" s="8" t="s">
        <v>315</v>
      </c>
      <c r="C103" s="8" t="s">
        <v>310</v>
      </c>
      <c r="D103" s="8" t="s">
        <v>7</v>
      </c>
      <c r="E103" s="8" t="s">
        <v>313</v>
      </c>
      <c r="F103" s="8">
        <v>14</v>
      </c>
      <c r="G103" s="22">
        <v>335.85999999999996</v>
      </c>
      <c r="H103" s="22">
        <v>154</v>
      </c>
    </row>
    <row r="104" spans="1:8" x14ac:dyDescent="0.25">
      <c r="A104" s="75">
        <v>40548</v>
      </c>
      <c r="B104" s="8" t="s">
        <v>311</v>
      </c>
      <c r="C104" s="8" t="s">
        <v>308</v>
      </c>
      <c r="D104" s="8" t="s">
        <v>312</v>
      </c>
      <c r="E104" s="8" t="s">
        <v>343</v>
      </c>
      <c r="F104" s="8">
        <v>14</v>
      </c>
      <c r="G104" s="22">
        <v>265.85999999999996</v>
      </c>
      <c r="H104" s="22">
        <v>112</v>
      </c>
    </row>
    <row r="105" spans="1:8" x14ac:dyDescent="0.25">
      <c r="A105" s="75">
        <v>40558</v>
      </c>
      <c r="B105" s="8" t="s">
        <v>319</v>
      </c>
      <c r="C105" s="8" t="s">
        <v>309</v>
      </c>
      <c r="D105" s="8" t="s">
        <v>136</v>
      </c>
      <c r="E105" s="8" t="s">
        <v>323</v>
      </c>
      <c r="F105" s="8">
        <v>55</v>
      </c>
      <c r="G105" s="22">
        <v>1484.4499999999998</v>
      </c>
      <c r="H105" s="22">
        <v>797.5</v>
      </c>
    </row>
    <row r="106" spans="1:8" x14ac:dyDescent="0.25">
      <c r="A106" s="75">
        <v>40547</v>
      </c>
      <c r="B106" s="8" t="s">
        <v>311</v>
      </c>
      <c r="C106" s="8" t="s">
        <v>308</v>
      </c>
      <c r="D106" s="8" t="s">
        <v>3</v>
      </c>
      <c r="E106" s="8" t="s">
        <v>333</v>
      </c>
      <c r="F106" s="8">
        <v>37</v>
      </c>
      <c r="G106" s="22">
        <v>702.63</v>
      </c>
      <c r="H106" s="22">
        <v>296</v>
      </c>
    </row>
  </sheetData>
  <pageMargins left="0.7" right="0.7" top="0.75" bottom="0.75" header="0.3" footer="0.3"/>
  <pageSetup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12">
    <tabColor rgb="FF0000FF"/>
  </sheetPr>
  <dimension ref="A1:H106"/>
  <sheetViews>
    <sheetView topLeftCell="A88" workbookViewId="0">
      <selection activeCell="C8" sqref="C8"/>
    </sheetView>
  </sheetViews>
  <sheetFormatPr defaultColWidth="9.140625" defaultRowHeight="15" x14ac:dyDescent="0.25"/>
  <cols>
    <col min="7" max="7" width="17.85546875"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40555</v>
      </c>
      <c r="B2" s="8" t="s">
        <v>319</v>
      </c>
      <c r="C2" s="8" t="s">
        <v>307</v>
      </c>
      <c r="D2" s="8" t="s">
        <v>328</v>
      </c>
      <c r="E2" s="8" t="s">
        <v>322</v>
      </c>
      <c r="F2" s="8">
        <v>36</v>
      </c>
      <c r="G2" s="22">
        <v>971.64</v>
      </c>
      <c r="H2" s="22">
        <v>522</v>
      </c>
    </row>
    <row r="3" spans="1:8" x14ac:dyDescent="0.25">
      <c r="A3" s="75">
        <v>40554</v>
      </c>
      <c r="B3" s="8" t="s">
        <v>319</v>
      </c>
      <c r="C3" s="8" t="s">
        <v>307</v>
      </c>
      <c r="D3" s="8" t="s">
        <v>132</v>
      </c>
      <c r="E3" s="8" t="s">
        <v>335</v>
      </c>
      <c r="F3" s="8">
        <v>62</v>
      </c>
      <c r="G3" s="22">
        <v>1673.3799999999999</v>
      </c>
      <c r="H3" s="22">
        <v>899</v>
      </c>
    </row>
    <row r="4" spans="1:8" x14ac:dyDescent="0.25">
      <c r="A4" s="75">
        <v>40549</v>
      </c>
      <c r="B4" s="8" t="s">
        <v>319</v>
      </c>
      <c r="C4" s="8" t="s">
        <v>307</v>
      </c>
      <c r="D4" s="8" t="s">
        <v>312</v>
      </c>
      <c r="E4" s="8" t="s">
        <v>324</v>
      </c>
      <c r="F4" s="8">
        <v>50</v>
      </c>
      <c r="G4" s="22">
        <v>1349.5</v>
      </c>
      <c r="H4" s="22">
        <v>725</v>
      </c>
    </row>
    <row r="5" spans="1:8" x14ac:dyDescent="0.25">
      <c r="A5" s="75">
        <v>40546</v>
      </c>
      <c r="B5" s="8" t="s">
        <v>315</v>
      </c>
      <c r="C5" s="8" t="s">
        <v>310</v>
      </c>
      <c r="D5" s="8" t="s">
        <v>328</v>
      </c>
      <c r="E5" s="8" t="s">
        <v>341</v>
      </c>
      <c r="F5" s="8">
        <v>59</v>
      </c>
      <c r="G5" s="22">
        <v>1415.4099999999999</v>
      </c>
      <c r="H5" s="22">
        <v>649</v>
      </c>
    </row>
    <row r="6" spans="1:8" x14ac:dyDescent="0.25">
      <c r="A6" s="75">
        <v>40559</v>
      </c>
      <c r="B6" s="8" t="s">
        <v>315</v>
      </c>
      <c r="C6" s="8" t="s">
        <v>308</v>
      </c>
      <c r="D6" s="8" t="s">
        <v>312</v>
      </c>
      <c r="E6" s="8" t="s">
        <v>316</v>
      </c>
      <c r="F6" s="8">
        <v>53</v>
      </c>
      <c r="G6" s="22">
        <v>1271.47</v>
      </c>
      <c r="H6" s="22">
        <v>583</v>
      </c>
    </row>
    <row r="7" spans="1:8" x14ac:dyDescent="0.25">
      <c r="A7" s="75">
        <v>40567</v>
      </c>
      <c r="B7" s="8" t="s">
        <v>311</v>
      </c>
      <c r="C7" s="8" t="s">
        <v>309</v>
      </c>
      <c r="D7" s="8" t="s">
        <v>136</v>
      </c>
      <c r="E7" s="8" t="s">
        <v>429</v>
      </c>
      <c r="F7" s="8">
        <v>41</v>
      </c>
      <c r="G7" s="22">
        <v>778.58999999999992</v>
      </c>
      <c r="H7" s="22">
        <v>328</v>
      </c>
    </row>
    <row r="8" spans="1:8" x14ac:dyDescent="0.25">
      <c r="A8" s="75">
        <v>40553</v>
      </c>
      <c r="B8" s="8" t="s">
        <v>321</v>
      </c>
      <c r="C8" s="8" t="s">
        <v>308</v>
      </c>
      <c r="D8" s="8" t="s">
        <v>132</v>
      </c>
      <c r="E8" s="8" t="s">
        <v>428</v>
      </c>
      <c r="F8" s="8">
        <v>13</v>
      </c>
      <c r="G8" s="22">
        <v>298.87</v>
      </c>
      <c r="H8" s="22">
        <v>130</v>
      </c>
    </row>
    <row r="9" spans="1:8" x14ac:dyDescent="0.25">
      <c r="A9" s="75">
        <v>40567</v>
      </c>
      <c r="B9" s="8" t="s">
        <v>319</v>
      </c>
      <c r="C9" s="8" t="s">
        <v>310</v>
      </c>
      <c r="D9" s="8" t="s">
        <v>132</v>
      </c>
      <c r="E9" s="8" t="s">
        <v>322</v>
      </c>
      <c r="F9" s="8">
        <v>56</v>
      </c>
      <c r="G9" s="22">
        <v>1511.4399999999998</v>
      </c>
      <c r="H9" s="22">
        <v>812</v>
      </c>
    </row>
    <row r="10" spans="1:8" x14ac:dyDescent="0.25">
      <c r="A10" s="75">
        <v>40556</v>
      </c>
      <c r="B10" s="8" t="s">
        <v>311</v>
      </c>
      <c r="C10" s="8" t="s">
        <v>307</v>
      </c>
      <c r="D10" s="8" t="s">
        <v>328</v>
      </c>
      <c r="E10" s="8" t="s">
        <v>338</v>
      </c>
      <c r="F10" s="8">
        <v>50</v>
      </c>
      <c r="G10" s="22">
        <v>949.49999999999989</v>
      </c>
      <c r="H10" s="22">
        <v>400</v>
      </c>
    </row>
    <row r="11" spans="1:8" x14ac:dyDescent="0.25">
      <c r="A11" s="75">
        <v>40568</v>
      </c>
      <c r="B11" s="8" t="s">
        <v>311</v>
      </c>
      <c r="C11" s="8" t="s">
        <v>308</v>
      </c>
      <c r="D11" s="8" t="s">
        <v>132</v>
      </c>
      <c r="E11" s="8" t="s">
        <v>329</v>
      </c>
      <c r="F11" s="8">
        <v>26</v>
      </c>
      <c r="G11" s="22">
        <v>493.73999999999995</v>
      </c>
      <c r="H11" s="22">
        <v>208</v>
      </c>
    </row>
    <row r="12" spans="1:8" x14ac:dyDescent="0.25">
      <c r="A12" s="75">
        <v>40553</v>
      </c>
      <c r="B12" s="8" t="s">
        <v>321</v>
      </c>
      <c r="C12" s="8" t="s">
        <v>307</v>
      </c>
      <c r="D12" s="8" t="s">
        <v>136</v>
      </c>
      <c r="E12" s="8" t="s">
        <v>335</v>
      </c>
      <c r="F12" s="8">
        <v>26</v>
      </c>
      <c r="G12" s="22">
        <v>597.74</v>
      </c>
      <c r="H12" s="22">
        <v>260</v>
      </c>
    </row>
    <row r="13" spans="1:8" x14ac:dyDescent="0.25">
      <c r="A13" s="75">
        <v>40572</v>
      </c>
      <c r="B13" s="8" t="s">
        <v>317</v>
      </c>
      <c r="C13" s="8" t="s">
        <v>310</v>
      </c>
      <c r="D13" s="8" t="s">
        <v>328</v>
      </c>
      <c r="E13" s="8" t="s">
        <v>342</v>
      </c>
      <c r="F13" s="8">
        <v>53</v>
      </c>
      <c r="G13" s="22">
        <v>1112.47</v>
      </c>
      <c r="H13" s="22">
        <v>490.25</v>
      </c>
    </row>
    <row r="14" spans="1:8" x14ac:dyDescent="0.25">
      <c r="A14" s="75">
        <v>40560</v>
      </c>
      <c r="B14" s="8" t="s">
        <v>319</v>
      </c>
      <c r="C14" s="8" t="s">
        <v>307</v>
      </c>
      <c r="D14" s="8" t="s">
        <v>136</v>
      </c>
      <c r="E14" s="8" t="s">
        <v>334</v>
      </c>
      <c r="F14" s="8">
        <v>43</v>
      </c>
      <c r="G14" s="22">
        <v>1160.57</v>
      </c>
      <c r="H14" s="22">
        <v>623.5</v>
      </c>
    </row>
    <row r="15" spans="1:8" x14ac:dyDescent="0.25">
      <c r="A15" s="75">
        <v>40546</v>
      </c>
      <c r="B15" s="8" t="s">
        <v>319</v>
      </c>
      <c r="C15" s="8" t="s">
        <v>308</v>
      </c>
      <c r="D15" s="8" t="s">
        <v>328</v>
      </c>
      <c r="E15" s="8" t="s">
        <v>324</v>
      </c>
      <c r="F15" s="8">
        <v>36</v>
      </c>
      <c r="G15" s="22">
        <v>971.64</v>
      </c>
      <c r="H15" s="22">
        <v>522</v>
      </c>
    </row>
    <row r="16" spans="1:8" x14ac:dyDescent="0.25">
      <c r="A16" s="75">
        <v>40567</v>
      </c>
      <c r="B16" s="8" t="s">
        <v>319</v>
      </c>
      <c r="C16" s="8" t="s">
        <v>310</v>
      </c>
      <c r="D16" s="8" t="s">
        <v>312</v>
      </c>
      <c r="E16" s="8" t="s">
        <v>313</v>
      </c>
      <c r="F16" s="8">
        <v>9</v>
      </c>
      <c r="G16" s="22">
        <v>242.91</v>
      </c>
      <c r="H16" s="22">
        <v>130.5</v>
      </c>
    </row>
    <row r="17" spans="1:8" x14ac:dyDescent="0.25">
      <c r="A17" s="75">
        <v>40566</v>
      </c>
      <c r="B17" s="8" t="s">
        <v>315</v>
      </c>
      <c r="C17" s="8" t="s">
        <v>310</v>
      </c>
      <c r="D17" s="8" t="s">
        <v>328</v>
      </c>
      <c r="E17" s="8" t="s">
        <v>323</v>
      </c>
      <c r="F17" s="8">
        <v>60</v>
      </c>
      <c r="G17" s="22">
        <v>1439.3999999999999</v>
      </c>
      <c r="H17" s="22">
        <v>660</v>
      </c>
    </row>
    <row r="18" spans="1:8" x14ac:dyDescent="0.25">
      <c r="A18" s="75">
        <v>40563</v>
      </c>
      <c r="B18" s="8" t="s">
        <v>317</v>
      </c>
      <c r="C18" s="8" t="s">
        <v>307</v>
      </c>
      <c r="D18" s="8" t="s">
        <v>328</v>
      </c>
      <c r="E18" s="8" t="s">
        <v>332</v>
      </c>
      <c r="F18" s="8">
        <v>7</v>
      </c>
      <c r="G18" s="22">
        <v>146.92999999999998</v>
      </c>
      <c r="H18" s="22">
        <v>64.75</v>
      </c>
    </row>
    <row r="19" spans="1:8" x14ac:dyDescent="0.25">
      <c r="A19" s="75">
        <v>40568</v>
      </c>
      <c r="B19" s="8" t="s">
        <v>319</v>
      </c>
      <c r="C19" s="8" t="s">
        <v>307</v>
      </c>
      <c r="D19" s="8" t="s">
        <v>3</v>
      </c>
      <c r="E19" s="8" t="s">
        <v>329</v>
      </c>
      <c r="F19" s="8">
        <v>50</v>
      </c>
      <c r="G19" s="22">
        <v>1349.5</v>
      </c>
      <c r="H19" s="22">
        <v>725</v>
      </c>
    </row>
    <row r="20" spans="1:8" x14ac:dyDescent="0.25">
      <c r="A20" s="75">
        <v>40558</v>
      </c>
      <c r="B20" s="8" t="s">
        <v>315</v>
      </c>
      <c r="C20" s="8" t="s">
        <v>309</v>
      </c>
      <c r="D20" s="8" t="s">
        <v>132</v>
      </c>
      <c r="E20" s="8" t="s">
        <v>334</v>
      </c>
      <c r="F20" s="8">
        <v>16</v>
      </c>
      <c r="G20" s="22">
        <v>383.84</v>
      </c>
      <c r="H20" s="22">
        <v>176</v>
      </c>
    </row>
    <row r="21" spans="1:8" x14ac:dyDescent="0.25">
      <c r="A21" s="75">
        <v>40568</v>
      </c>
      <c r="B21" s="8" t="s">
        <v>321</v>
      </c>
      <c r="C21" s="8" t="s">
        <v>308</v>
      </c>
      <c r="D21" s="8" t="s">
        <v>328</v>
      </c>
      <c r="E21" s="8" t="s">
        <v>320</v>
      </c>
      <c r="F21" s="8">
        <v>28</v>
      </c>
      <c r="G21" s="22">
        <v>643.71999999999991</v>
      </c>
      <c r="H21" s="22">
        <v>280</v>
      </c>
    </row>
    <row r="22" spans="1:8" x14ac:dyDescent="0.25">
      <c r="A22" s="75">
        <v>40549</v>
      </c>
      <c r="B22" s="8" t="s">
        <v>311</v>
      </c>
      <c r="C22" s="8" t="s">
        <v>310</v>
      </c>
      <c r="D22" s="8" t="s">
        <v>132</v>
      </c>
      <c r="E22" s="8" t="s">
        <v>342</v>
      </c>
      <c r="F22" s="8">
        <v>53</v>
      </c>
      <c r="G22" s="22">
        <v>1006.4699999999999</v>
      </c>
      <c r="H22" s="22">
        <v>424</v>
      </c>
    </row>
    <row r="23" spans="1:8" x14ac:dyDescent="0.25">
      <c r="A23" s="75">
        <v>40567</v>
      </c>
      <c r="B23" s="8" t="s">
        <v>319</v>
      </c>
      <c r="C23" s="8" t="s">
        <v>308</v>
      </c>
      <c r="D23" s="8" t="s">
        <v>312</v>
      </c>
      <c r="E23" s="8" t="s">
        <v>337</v>
      </c>
      <c r="F23" s="8">
        <v>61</v>
      </c>
      <c r="G23" s="22">
        <v>1646.3899999999999</v>
      </c>
      <c r="H23" s="22">
        <v>884.5</v>
      </c>
    </row>
    <row r="24" spans="1:8" x14ac:dyDescent="0.25">
      <c r="A24" s="75">
        <v>40566</v>
      </c>
      <c r="B24" s="8" t="s">
        <v>317</v>
      </c>
      <c r="C24" s="8" t="s">
        <v>308</v>
      </c>
      <c r="D24" s="8" t="s">
        <v>136</v>
      </c>
      <c r="E24" s="8" t="s">
        <v>429</v>
      </c>
      <c r="F24" s="8">
        <v>23</v>
      </c>
      <c r="G24" s="22">
        <v>482.77</v>
      </c>
      <c r="H24" s="22">
        <v>212.75</v>
      </c>
    </row>
    <row r="25" spans="1:8" x14ac:dyDescent="0.25">
      <c r="A25" s="75">
        <v>40545</v>
      </c>
      <c r="B25" s="8" t="s">
        <v>311</v>
      </c>
      <c r="C25" s="8" t="s">
        <v>309</v>
      </c>
      <c r="D25" s="8" t="s">
        <v>3</v>
      </c>
      <c r="E25" s="8" t="s">
        <v>322</v>
      </c>
      <c r="F25" s="8">
        <v>16</v>
      </c>
      <c r="G25" s="22">
        <v>303.83999999999997</v>
      </c>
      <c r="H25" s="22">
        <v>128</v>
      </c>
    </row>
    <row r="26" spans="1:8" x14ac:dyDescent="0.25">
      <c r="A26" s="75">
        <v>40557</v>
      </c>
      <c r="B26" s="8" t="s">
        <v>319</v>
      </c>
      <c r="C26" s="8" t="s">
        <v>309</v>
      </c>
      <c r="D26" s="8" t="s">
        <v>7</v>
      </c>
      <c r="E26" s="8" t="s">
        <v>342</v>
      </c>
      <c r="F26" s="8">
        <v>43</v>
      </c>
      <c r="G26" s="22">
        <v>1160.57</v>
      </c>
      <c r="H26" s="22">
        <v>623.5</v>
      </c>
    </row>
    <row r="27" spans="1:8" x14ac:dyDescent="0.25">
      <c r="A27" s="75">
        <v>40569</v>
      </c>
      <c r="B27" s="8" t="s">
        <v>317</v>
      </c>
      <c r="C27" s="8" t="s">
        <v>307</v>
      </c>
      <c r="D27" s="8" t="s">
        <v>312</v>
      </c>
      <c r="E27" s="8" t="s">
        <v>322</v>
      </c>
      <c r="F27" s="8">
        <v>29</v>
      </c>
      <c r="G27" s="22">
        <v>608.70999999999992</v>
      </c>
      <c r="H27" s="22">
        <v>268.25</v>
      </c>
    </row>
    <row r="28" spans="1:8" x14ac:dyDescent="0.25">
      <c r="A28" s="75">
        <v>40556</v>
      </c>
      <c r="B28" s="8" t="s">
        <v>315</v>
      </c>
      <c r="C28" s="8" t="s">
        <v>307</v>
      </c>
      <c r="D28" s="8" t="s">
        <v>3</v>
      </c>
      <c r="E28" s="8" t="s">
        <v>323</v>
      </c>
      <c r="F28" s="8">
        <v>60</v>
      </c>
      <c r="G28" s="22">
        <v>1439.3999999999999</v>
      </c>
      <c r="H28" s="22">
        <v>660</v>
      </c>
    </row>
    <row r="29" spans="1:8" x14ac:dyDescent="0.25">
      <c r="A29" s="75">
        <v>40571</v>
      </c>
      <c r="B29" s="8" t="s">
        <v>315</v>
      </c>
      <c r="C29" s="8" t="s">
        <v>310</v>
      </c>
      <c r="D29" s="8" t="s">
        <v>312</v>
      </c>
      <c r="E29" s="8" t="s">
        <v>318</v>
      </c>
      <c r="F29" s="8">
        <v>19</v>
      </c>
      <c r="G29" s="22">
        <v>455.80999999999995</v>
      </c>
      <c r="H29" s="22">
        <v>209</v>
      </c>
    </row>
    <row r="30" spans="1:8" x14ac:dyDescent="0.25">
      <c r="A30" s="75">
        <v>40557</v>
      </c>
      <c r="B30" s="8" t="s">
        <v>319</v>
      </c>
      <c r="C30" s="8" t="s">
        <v>308</v>
      </c>
      <c r="D30" s="8" t="s">
        <v>328</v>
      </c>
      <c r="E30" s="8" t="s">
        <v>323</v>
      </c>
      <c r="F30" s="8">
        <v>29</v>
      </c>
      <c r="G30" s="22">
        <v>782.70999999999992</v>
      </c>
      <c r="H30" s="22">
        <v>420.5</v>
      </c>
    </row>
    <row r="31" spans="1:8" x14ac:dyDescent="0.25">
      <c r="A31" s="75">
        <v>40568</v>
      </c>
      <c r="B31" s="8" t="s">
        <v>315</v>
      </c>
      <c r="C31" s="8" t="s">
        <v>310</v>
      </c>
      <c r="D31" s="8" t="s">
        <v>328</v>
      </c>
      <c r="E31" s="8" t="s">
        <v>318</v>
      </c>
      <c r="F31" s="8">
        <v>21</v>
      </c>
      <c r="G31" s="22">
        <v>503.78999999999996</v>
      </c>
      <c r="H31" s="22">
        <v>231</v>
      </c>
    </row>
    <row r="32" spans="1:8" x14ac:dyDescent="0.25">
      <c r="A32" s="75">
        <v>40563</v>
      </c>
      <c r="B32" s="8" t="s">
        <v>321</v>
      </c>
      <c r="C32" s="8" t="s">
        <v>310</v>
      </c>
      <c r="D32" s="8" t="s">
        <v>136</v>
      </c>
      <c r="E32" s="8" t="s">
        <v>340</v>
      </c>
      <c r="F32" s="8">
        <v>28</v>
      </c>
      <c r="G32" s="22">
        <v>643.71999999999991</v>
      </c>
      <c r="H32" s="22">
        <v>280</v>
      </c>
    </row>
    <row r="33" spans="1:8" x14ac:dyDescent="0.25">
      <c r="A33" s="75">
        <v>40552</v>
      </c>
      <c r="B33" s="8" t="s">
        <v>311</v>
      </c>
      <c r="C33" s="8" t="s">
        <v>309</v>
      </c>
      <c r="D33" s="8" t="s">
        <v>312</v>
      </c>
      <c r="E33" s="8" t="s">
        <v>325</v>
      </c>
      <c r="F33" s="8">
        <v>45</v>
      </c>
      <c r="G33" s="22">
        <v>854.55</v>
      </c>
      <c r="H33" s="22">
        <v>360</v>
      </c>
    </row>
    <row r="34" spans="1:8" x14ac:dyDescent="0.25">
      <c r="A34" s="75">
        <v>40568</v>
      </c>
      <c r="B34" s="8" t="s">
        <v>319</v>
      </c>
      <c r="C34" s="8" t="s">
        <v>308</v>
      </c>
      <c r="D34" s="8" t="s">
        <v>136</v>
      </c>
      <c r="E34" s="8" t="s">
        <v>429</v>
      </c>
      <c r="F34" s="8">
        <v>11</v>
      </c>
      <c r="G34" s="22">
        <v>296.89</v>
      </c>
      <c r="H34" s="22">
        <v>159.5</v>
      </c>
    </row>
    <row r="35" spans="1:8" x14ac:dyDescent="0.25">
      <c r="A35" s="75">
        <v>40545</v>
      </c>
      <c r="B35" s="8" t="s">
        <v>317</v>
      </c>
      <c r="C35" s="8" t="s">
        <v>310</v>
      </c>
      <c r="D35" s="8" t="s">
        <v>3</v>
      </c>
      <c r="E35" s="8" t="s">
        <v>347</v>
      </c>
      <c r="F35" s="8">
        <v>58</v>
      </c>
      <c r="G35" s="22">
        <v>1217.4199999999998</v>
      </c>
      <c r="H35" s="22">
        <v>536.5</v>
      </c>
    </row>
    <row r="36" spans="1:8" x14ac:dyDescent="0.25">
      <c r="A36" s="75">
        <v>40548</v>
      </c>
      <c r="B36" s="8" t="s">
        <v>321</v>
      </c>
      <c r="C36" s="8" t="s">
        <v>308</v>
      </c>
      <c r="D36" s="8" t="s">
        <v>7</v>
      </c>
      <c r="E36" s="8" t="s">
        <v>337</v>
      </c>
      <c r="F36" s="8">
        <v>57</v>
      </c>
      <c r="G36" s="22">
        <v>1310.4299999999998</v>
      </c>
      <c r="H36" s="22">
        <v>570</v>
      </c>
    </row>
    <row r="37" spans="1:8" x14ac:dyDescent="0.25">
      <c r="A37" s="75">
        <v>40548</v>
      </c>
      <c r="B37" s="8" t="s">
        <v>317</v>
      </c>
      <c r="C37" s="8" t="s">
        <v>310</v>
      </c>
      <c r="D37" s="8" t="s">
        <v>132</v>
      </c>
      <c r="E37" s="8" t="s">
        <v>347</v>
      </c>
      <c r="F37" s="8">
        <v>39</v>
      </c>
      <c r="G37" s="22">
        <v>818.6099999999999</v>
      </c>
      <c r="H37" s="22">
        <v>360.75</v>
      </c>
    </row>
    <row r="38" spans="1:8" x14ac:dyDescent="0.25">
      <c r="A38" s="75">
        <v>40568</v>
      </c>
      <c r="B38" s="8" t="s">
        <v>315</v>
      </c>
      <c r="C38" s="8" t="s">
        <v>308</v>
      </c>
      <c r="D38" s="8" t="s">
        <v>7</v>
      </c>
      <c r="E38" s="8" t="s">
        <v>314</v>
      </c>
      <c r="F38" s="8">
        <v>13</v>
      </c>
      <c r="G38" s="22">
        <v>311.87</v>
      </c>
      <c r="H38" s="22">
        <v>143</v>
      </c>
    </row>
    <row r="39" spans="1:8" x14ac:dyDescent="0.25">
      <c r="A39" s="75">
        <v>40548</v>
      </c>
      <c r="B39" s="8" t="s">
        <v>319</v>
      </c>
      <c r="C39" s="8" t="s">
        <v>308</v>
      </c>
      <c r="D39" s="8" t="s">
        <v>7</v>
      </c>
      <c r="E39" s="8" t="s">
        <v>329</v>
      </c>
      <c r="F39" s="8">
        <v>54</v>
      </c>
      <c r="G39" s="22">
        <v>1457.4599999999998</v>
      </c>
      <c r="H39" s="22">
        <v>783</v>
      </c>
    </row>
    <row r="40" spans="1:8" x14ac:dyDescent="0.25">
      <c r="A40" s="75">
        <v>40552</v>
      </c>
      <c r="B40" s="8" t="s">
        <v>315</v>
      </c>
      <c r="C40" s="8" t="s">
        <v>307</v>
      </c>
      <c r="D40" s="8" t="s">
        <v>328</v>
      </c>
      <c r="E40" s="8" t="s">
        <v>324</v>
      </c>
      <c r="F40" s="8">
        <v>10</v>
      </c>
      <c r="G40" s="22">
        <v>239.89999999999998</v>
      </c>
      <c r="H40" s="22">
        <v>110</v>
      </c>
    </row>
    <row r="41" spans="1:8" x14ac:dyDescent="0.25">
      <c r="A41" s="75">
        <v>40556</v>
      </c>
      <c r="B41" s="8" t="s">
        <v>311</v>
      </c>
      <c r="C41" s="8" t="s">
        <v>310</v>
      </c>
      <c r="D41" s="8" t="s">
        <v>136</v>
      </c>
      <c r="E41" s="8" t="s">
        <v>320</v>
      </c>
      <c r="F41" s="8">
        <v>62</v>
      </c>
      <c r="G41" s="22">
        <v>1177.3799999999999</v>
      </c>
      <c r="H41" s="22">
        <v>496</v>
      </c>
    </row>
    <row r="42" spans="1:8" x14ac:dyDescent="0.25">
      <c r="A42" s="75">
        <v>40561</v>
      </c>
      <c r="B42" s="8" t="s">
        <v>311</v>
      </c>
      <c r="C42" s="8" t="s">
        <v>307</v>
      </c>
      <c r="D42" s="8" t="s">
        <v>136</v>
      </c>
      <c r="E42" s="8" t="s">
        <v>332</v>
      </c>
      <c r="F42" s="8">
        <v>51</v>
      </c>
      <c r="G42" s="22">
        <v>968.4899999999999</v>
      </c>
      <c r="H42" s="22">
        <v>408</v>
      </c>
    </row>
    <row r="43" spans="1:8" x14ac:dyDescent="0.25">
      <c r="A43" s="75">
        <v>40555</v>
      </c>
      <c r="B43" s="8" t="s">
        <v>321</v>
      </c>
      <c r="C43" s="8" t="s">
        <v>308</v>
      </c>
      <c r="D43" s="8" t="s">
        <v>312</v>
      </c>
      <c r="E43" s="8" t="s">
        <v>325</v>
      </c>
      <c r="F43" s="8">
        <v>22</v>
      </c>
      <c r="G43" s="22">
        <v>505.78</v>
      </c>
      <c r="H43" s="22">
        <v>220</v>
      </c>
    </row>
    <row r="44" spans="1:8" x14ac:dyDescent="0.25">
      <c r="A44" s="75">
        <v>40555</v>
      </c>
      <c r="B44" s="8" t="s">
        <v>321</v>
      </c>
      <c r="C44" s="8" t="s">
        <v>310</v>
      </c>
      <c r="D44" s="8" t="s">
        <v>3</v>
      </c>
      <c r="E44" s="8" t="s">
        <v>330</v>
      </c>
      <c r="F44" s="8">
        <v>50</v>
      </c>
      <c r="G44" s="22">
        <v>1149.5</v>
      </c>
      <c r="H44" s="22">
        <v>500</v>
      </c>
    </row>
    <row r="45" spans="1:8" x14ac:dyDescent="0.25">
      <c r="A45" s="75">
        <v>40553</v>
      </c>
      <c r="B45" s="8" t="s">
        <v>315</v>
      </c>
      <c r="C45" s="8" t="s">
        <v>307</v>
      </c>
      <c r="D45" s="8" t="s">
        <v>136</v>
      </c>
      <c r="E45" s="8" t="s">
        <v>322</v>
      </c>
      <c r="F45" s="8">
        <v>9</v>
      </c>
      <c r="G45" s="22">
        <v>215.91</v>
      </c>
      <c r="H45" s="22">
        <v>99</v>
      </c>
    </row>
    <row r="46" spans="1:8" x14ac:dyDescent="0.25">
      <c r="A46" s="75">
        <v>40544</v>
      </c>
      <c r="B46" s="8" t="s">
        <v>321</v>
      </c>
      <c r="C46" s="8" t="s">
        <v>309</v>
      </c>
      <c r="D46" s="8" t="s">
        <v>312</v>
      </c>
      <c r="E46" s="8" t="s">
        <v>329</v>
      </c>
      <c r="F46" s="8">
        <v>24</v>
      </c>
      <c r="G46" s="22">
        <v>551.76</v>
      </c>
      <c r="H46" s="22">
        <v>240</v>
      </c>
    </row>
    <row r="47" spans="1:8" x14ac:dyDescent="0.25">
      <c r="A47" s="75">
        <v>40560</v>
      </c>
      <c r="B47" s="8" t="s">
        <v>319</v>
      </c>
      <c r="C47" s="8" t="s">
        <v>310</v>
      </c>
      <c r="D47" s="8" t="s">
        <v>312</v>
      </c>
      <c r="E47" s="8" t="s">
        <v>331</v>
      </c>
      <c r="F47" s="8">
        <v>42</v>
      </c>
      <c r="G47" s="22">
        <v>1133.58</v>
      </c>
      <c r="H47" s="22">
        <v>609</v>
      </c>
    </row>
    <row r="48" spans="1:8" x14ac:dyDescent="0.25">
      <c r="A48" s="75">
        <v>40545</v>
      </c>
      <c r="B48" s="8" t="s">
        <v>321</v>
      </c>
      <c r="C48" s="8" t="s">
        <v>310</v>
      </c>
      <c r="D48" s="8" t="s">
        <v>132</v>
      </c>
      <c r="E48" s="8" t="s">
        <v>313</v>
      </c>
      <c r="F48" s="8">
        <v>17</v>
      </c>
      <c r="G48" s="22">
        <v>390.83</v>
      </c>
      <c r="H48" s="22">
        <v>170</v>
      </c>
    </row>
    <row r="49" spans="1:8" x14ac:dyDescent="0.25">
      <c r="A49" s="75">
        <v>40572</v>
      </c>
      <c r="B49" s="8" t="s">
        <v>321</v>
      </c>
      <c r="C49" s="8" t="s">
        <v>309</v>
      </c>
      <c r="D49" s="8" t="s">
        <v>132</v>
      </c>
      <c r="E49" s="8" t="s">
        <v>325</v>
      </c>
      <c r="F49" s="8">
        <v>20</v>
      </c>
      <c r="G49" s="22">
        <v>459.79999999999995</v>
      </c>
      <c r="H49" s="22">
        <v>200</v>
      </c>
    </row>
    <row r="50" spans="1:8" x14ac:dyDescent="0.25">
      <c r="A50" s="75">
        <v>40569</v>
      </c>
      <c r="B50" s="8" t="s">
        <v>319</v>
      </c>
      <c r="C50" s="8" t="s">
        <v>310</v>
      </c>
      <c r="D50" s="8" t="s">
        <v>3</v>
      </c>
      <c r="E50" s="8" t="s">
        <v>336</v>
      </c>
      <c r="F50" s="8">
        <v>20</v>
      </c>
      <c r="G50" s="22">
        <v>539.79999999999995</v>
      </c>
      <c r="H50" s="22">
        <v>290</v>
      </c>
    </row>
    <row r="51" spans="1:8" x14ac:dyDescent="0.25">
      <c r="A51" s="75">
        <v>40556</v>
      </c>
      <c r="B51" s="8" t="s">
        <v>311</v>
      </c>
      <c r="C51" s="8" t="s">
        <v>307</v>
      </c>
      <c r="D51" s="8" t="s">
        <v>328</v>
      </c>
      <c r="E51" s="8" t="s">
        <v>326</v>
      </c>
      <c r="F51" s="8">
        <v>11</v>
      </c>
      <c r="G51" s="22">
        <v>208.89</v>
      </c>
      <c r="H51" s="22">
        <v>88</v>
      </c>
    </row>
    <row r="52" spans="1:8" x14ac:dyDescent="0.25">
      <c r="A52" s="75">
        <v>40545</v>
      </c>
      <c r="B52" s="8" t="s">
        <v>319</v>
      </c>
      <c r="C52" s="8" t="s">
        <v>309</v>
      </c>
      <c r="D52" s="8" t="s">
        <v>7</v>
      </c>
      <c r="E52" s="8" t="s">
        <v>322</v>
      </c>
      <c r="F52" s="8">
        <v>22</v>
      </c>
      <c r="G52" s="22">
        <v>593.78</v>
      </c>
      <c r="H52" s="22">
        <v>319</v>
      </c>
    </row>
    <row r="53" spans="1:8" x14ac:dyDescent="0.25">
      <c r="A53" s="75">
        <v>40566</v>
      </c>
      <c r="B53" s="8" t="s">
        <v>321</v>
      </c>
      <c r="C53" s="8" t="s">
        <v>310</v>
      </c>
      <c r="D53" s="8" t="s">
        <v>136</v>
      </c>
      <c r="E53" s="8" t="s">
        <v>333</v>
      </c>
      <c r="F53" s="8">
        <v>19</v>
      </c>
      <c r="G53" s="22">
        <v>436.80999999999995</v>
      </c>
      <c r="H53" s="22">
        <v>190</v>
      </c>
    </row>
    <row r="54" spans="1:8" x14ac:dyDescent="0.25">
      <c r="A54" s="75">
        <v>40564</v>
      </c>
      <c r="B54" s="8" t="s">
        <v>315</v>
      </c>
      <c r="C54" s="8" t="s">
        <v>307</v>
      </c>
      <c r="D54" s="8" t="s">
        <v>328</v>
      </c>
      <c r="E54" s="8" t="s">
        <v>337</v>
      </c>
      <c r="F54" s="8">
        <v>32</v>
      </c>
      <c r="G54" s="22">
        <v>767.68</v>
      </c>
      <c r="H54" s="22">
        <v>352</v>
      </c>
    </row>
    <row r="55" spans="1:8" x14ac:dyDescent="0.25">
      <c r="A55" s="75">
        <v>40551</v>
      </c>
      <c r="B55" s="8" t="s">
        <v>319</v>
      </c>
      <c r="C55" s="8" t="s">
        <v>309</v>
      </c>
      <c r="D55" s="8" t="s">
        <v>132</v>
      </c>
      <c r="E55" s="8" t="s">
        <v>344</v>
      </c>
      <c r="F55" s="8">
        <v>26</v>
      </c>
      <c r="G55" s="22">
        <v>701.74</v>
      </c>
      <c r="H55" s="22">
        <v>377</v>
      </c>
    </row>
    <row r="56" spans="1:8" x14ac:dyDescent="0.25">
      <c r="A56" s="75">
        <v>40562</v>
      </c>
      <c r="B56" s="8" t="s">
        <v>319</v>
      </c>
      <c r="C56" s="8" t="s">
        <v>309</v>
      </c>
      <c r="D56" s="8" t="s">
        <v>312</v>
      </c>
      <c r="E56" s="8" t="s">
        <v>343</v>
      </c>
      <c r="F56" s="8">
        <v>57</v>
      </c>
      <c r="G56" s="22">
        <v>1538.4299999999998</v>
      </c>
      <c r="H56" s="22">
        <v>826.5</v>
      </c>
    </row>
    <row r="57" spans="1:8" x14ac:dyDescent="0.25">
      <c r="A57" s="75">
        <v>40567</v>
      </c>
      <c r="B57" s="8" t="s">
        <v>311</v>
      </c>
      <c r="C57" s="8" t="s">
        <v>307</v>
      </c>
      <c r="D57" s="8" t="s">
        <v>136</v>
      </c>
      <c r="E57" s="8" t="s">
        <v>325</v>
      </c>
      <c r="F57" s="8">
        <v>57</v>
      </c>
      <c r="G57" s="22">
        <v>1082.4299999999998</v>
      </c>
      <c r="H57" s="22">
        <v>456</v>
      </c>
    </row>
    <row r="58" spans="1:8" x14ac:dyDescent="0.25">
      <c r="A58" s="75">
        <v>40555</v>
      </c>
      <c r="B58" s="8" t="s">
        <v>319</v>
      </c>
      <c r="C58" s="8" t="s">
        <v>307</v>
      </c>
      <c r="D58" s="8" t="s">
        <v>7</v>
      </c>
      <c r="E58" s="8" t="s">
        <v>432</v>
      </c>
      <c r="F58" s="8">
        <v>59</v>
      </c>
      <c r="G58" s="22">
        <v>1592.4099999999999</v>
      </c>
      <c r="H58" s="22">
        <v>855.5</v>
      </c>
    </row>
    <row r="59" spans="1:8" x14ac:dyDescent="0.25">
      <c r="A59" s="75">
        <v>40554</v>
      </c>
      <c r="B59" s="8" t="s">
        <v>321</v>
      </c>
      <c r="C59" s="8" t="s">
        <v>310</v>
      </c>
      <c r="D59" s="8" t="s">
        <v>132</v>
      </c>
      <c r="E59" s="8" t="s">
        <v>327</v>
      </c>
      <c r="F59" s="8">
        <v>15</v>
      </c>
      <c r="G59" s="22">
        <v>344.84999999999997</v>
      </c>
      <c r="H59" s="22">
        <v>150</v>
      </c>
    </row>
    <row r="60" spans="1:8" x14ac:dyDescent="0.25">
      <c r="A60" s="75">
        <v>40566</v>
      </c>
      <c r="B60" s="8" t="s">
        <v>319</v>
      </c>
      <c r="C60" s="8" t="s">
        <v>308</v>
      </c>
      <c r="D60" s="8" t="s">
        <v>132</v>
      </c>
      <c r="E60" s="8" t="s">
        <v>341</v>
      </c>
      <c r="F60" s="8">
        <v>50</v>
      </c>
      <c r="G60" s="22">
        <v>1349.5</v>
      </c>
      <c r="H60" s="22">
        <v>725</v>
      </c>
    </row>
    <row r="61" spans="1:8" x14ac:dyDescent="0.25">
      <c r="A61" s="75">
        <v>40566</v>
      </c>
      <c r="B61" s="8" t="s">
        <v>317</v>
      </c>
      <c r="C61" s="8" t="s">
        <v>307</v>
      </c>
      <c r="D61" s="8" t="s">
        <v>328</v>
      </c>
      <c r="E61" s="8" t="s">
        <v>330</v>
      </c>
      <c r="F61" s="8">
        <v>29</v>
      </c>
      <c r="G61" s="22">
        <v>608.70999999999992</v>
      </c>
      <c r="H61" s="22">
        <v>268.25</v>
      </c>
    </row>
    <row r="62" spans="1:8" x14ac:dyDescent="0.25">
      <c r="A62" s="75">
        <v>40573</v>
      </c>
      <c r="B62" s="8" t="s">
        <v>317</v>
      </c>
      <c r="C62" s="8" t="s">
        <v>309</v>
      </c>
      <c r="D62" s="8" t="s">
        <v>132</v>
      </c>
      <c r="E62" s="8" t="s">
        <v>345</v>
      </c>
      <c r="F62" s="8">
        <v>23</v>
      </c>
      <c r="G62" s="22">
        <v>482.77</v>
      </c>
      <c r="H62" s="22">
        <v>212.75</v>
      </c>
    </row>
    <row r="63" spans="1:8" x14ac:dyDescent="0.25">
      <c r="A63" s="75">
        <v>40548</v>
      </c>
      <c r="B63" s="8" t="s">
        <v>321</v>
      </c>
      <c r="C63" s="8" t="s">
        <v>307</v>
      </c>
      <c r="D63" s="8" t="s">
        <v>132</v>
      </c>
      <c r="E63" s="8" t="s">
        <v>346</v>
      </c>
      <c r="F63" s="8">
        <v>10</v>
      </c>
      <c r="G63" s="22">
        <v>229.89999999999998</v>
      </c>
      <c r="H63" s="22">
        <v>100</v>
      </c>
    </row>
    <row r="64" spans="1:8" x14ac:dyDescent="0.25">
      <c r="A64" s="75">
        <v>40572</v>
      </c>
      <c r="B64" s="8" t="s">
        <v>311</v>
      </c>
      <c r="C64" s="8" t="s">
        <v>307</v>
      </c>
      <c r="D64" s="8" t="s">
        <v>3</v>
      </c>
      <c r="E64" s="8" t="s">
        <v>325</v>
      </c>
      <c r="F64" s="8">
        <v>40</v>
      </c>
      <c r="G64" s="22">
        <v>759.59999999999991</v>
      </c>
      <c r="H64" s="22">
        <v>320</v>
      </c>
    </row>
    <row r="65" spans="1:8" x14ac:dyDescent="0.25">
      <c r="A65" s="75">
        <v>40548</v>
      </c>
      <c r="B65" s="8" t="s">
        <v>317</v>
      </c>
      <c r="C65" s="8" t="s">
        <v>310</v>
      </c>
      <c r="D65" s="8" t="s">
        <v>3</v>
      </c>
      <c r="E65" s="8" t="s">
        <v>330</v>
      </c>
      <c r="F65" s="8">
        <v>23</v>
      </c>
      <c r="G65" s="22">
        <v>482.77</v>
      </c>
      <c r="H65" s="22">
        <v>212.75</v>
      </c>
    </row>
    <row r="66" spans="1:8" x14ac:dyDescent="0.25">
      <c r="A66" s="75">
        <v>40568</v>
      </c>
      <c r="B66" s="8" t="s">
        <v>321</v>
      </c>
      <c r="C66" s="8" t="s">
        <v>308</v>
      </c>
      <c r="D66" s="8" t="s">
        <v>136</v>
      </c>
      <c r="E66" s="8" t="s">
        <v>341</v>
      </c>
      <c r="F66" s="8">
        <v>10</v>
      </c>
      <c r="G66" s="22">
        <v>229.89999999999998</v>
      </c>
      <c r="H66" s="22">
        <v>100</v>
      </c>
    </row>
    <row r="67" spans="1:8" x14ac:dyDescent="0.25">
      <c r="A67" s="75">
        <v>40560</v>
      </c>
      <c r="B67" s="8" t="s">
        <v>319</v>
      </c>
      <c r="C67" s="8" t="s">
        <v>309</v>
      </c>
      <c r="D67" s="8" t="s">
        <v>132</v>
      </c>
      <c r="E67" s="8" t="s">
        <v>313</v>
      </c>
      <c r="F67" s="8">
        <v>47</v>
      </c>
      <c r="G67" s="22">
        <v>1268.53</v>
      </c>
      <c r="H67" s="22">
        <v>681.5</v>
      </c>
    </row>
    <row r="68" spans="1:8" x14ac:dyDescent="0.25">
      <c r="A68" s="75">
        <v>40565</v>
      </c>
      <c r="B68" s="8" t="s">
        <v>311</v>
      </c>
      <c r="C68" s="8" t="s">
        <v>309</v>
      </c>
      <c r="D68" s="8" t="s">
        <v>132</v>
      </c>
      <c r="E68" s="8" t="s">
        <v>338</v>
      </c>
      <c r="F68" s="8">
        <v>64</v>
      </c>
      <c r="G68" s="22">
        <v>1215.3599999999999</v>
      </c>
      <c r="H68" s="22">
        <v>512</v>
      </c>
    </row>
    <row r="69" spans="1:8" x14ac:dyDescent="0.25">
      <c r="A69" s="75">
        <v>40573</v>
      </c>
      <c r="B69" s="8" t="s">
        <v>321</v>
      </c>
      <c r="C69" s="8" t="s">
        <v>308</v>
      </c>
      <c r="D69" s="8" t="s">
        <v>136</v>
      </c>
      <c r="E69" s="8" t="s">
        <v>318</v>
      </c>
      <c r="F69" s="8">
        <v>10</v>
      </c>
      <c r="G69" s="22">
        <v>229.89999999999998</v>
      </c>
      <c r="H69" s="22">
        <v>100</v>
      </c>
    </row>
    <row r="70" spans="1:8" x14ac:dyDescent="0.25">
      <c r="A70" s="75">
        <v>40551</v>
      </c>
      <c r="B70" s="8" t="s">
        <v>321</v>
      </c>
      <c r="C70" s="8" t="s">
        <v>310</v>
      </c>
      <c r="D70" s="8" t="s">
        <v>132</v>
      </c>
      <c r="E70" s="8" t="s">
        <v>348</v>
      </c>
      <c r="F70" s="8">
        <v>63</v>
      </c>
      <c r="G70" s="22">
        <v>1448.37</v>
      </c>
      <c r="H70" s="22">
        <v>630</v>
      </c>
    </row>
    <row r="71" spans="1:8" x14ac:dyDescent="0.25">
      <c r="A71" s="75">
        <v>40557</v>
      </c>
      <c r="B71" s="8" t="s">
        <v>321</v>
      </c>
      <c r="C71" s="8" t="s">
        <v>310</v>
      </c>
      <c r="D71" s="8" t="s">
        <v>328</v>
      </c>
      <c r="E71" s="8" t="s">
        <v>316</v>
      </c>
      <c r="F71" s="8">
        <v>52</v>
      </c>
      <c r="G71" s="22">
        <v>1195.48</v>
      </c>
      <c r="H71" s="22">
        <v>520</v>
      </c>
    </row>
    <row r="72" spans="1:8" x14ac:dyDescent="0.25">
      <c r="A72" s="75">
        <v>40552</v>
      </c>
      <c r="B72" s="8" t="s">
        <v>311</v>
      </c>
      <c r="C72" s="8" t="s">
        <v>310</v>
      </c>
      <c r="D72" s="8" t="s">
        <v>132</v>
      </c>
      <c r="E72" s="8" t="s">
        <v>337</v>
      </c>
      <c r="F72" s="8">
        <v>22</v>
      </c>
      <c r="G72" s="22">
        <v>417.78</v>
      </c>
      <c r="H72" s="22">
        <v>176</v>
      </c>
    </row>
    <row r="73" spans="1:8" x14ac:dyDescent="0.25">
      <c r="A73" s="75">
        <v>40565</v>
      </c>
      <c r="B73" s="8" t="s">
        <v>311</v>
      </c>
      <c r="C73" s="8" t="s">
        <v>308</v>
      </c>
      <c r="D73" s="8" t="s">
        <v>132</v>
      </c>
      <c r="E73" s="8" t="s">
        <v>314</v>
      </c>
      <c r="F73" s="8">
        <v>29</v>
      </c>
      <c r="G73" s="22">
        <v>550.70999999999992</v>
      </c>
      <c r="H73" s="22">
        <v>232</v>
      </c>
    </row>
    <row r="74" spans="1:8" x14ac:dyDescent="0.25">
      <c r="A74" s="75">
        <v>40553</v>
      </c>
      <c r="B74" s="8" t="s">
        <v>321</v>
      </c>
      <c r="C74" s="8" t="s">
        <v>308</v>
      </c>
      <c r="D74" s="8" t="s">
        <v>328</v>
      </c>
      <c r="E74" s="8" t="s">
        <v>322</v>
      </c>
      <c r="F74" s="8">
        <v>50</v>
      </c>
      <c r="G74" s="22">
        <v>1149.5</v>
      </c>
      <c r="H74" s="22">
        <v>500</v>
      </c>
    </row>
    <row r="75" spans="1:8" x14ac:dyDescent="0.25">
      <c r="A75" s="75">
        <v>40569</v>
      </c>
      <c r="B75" s="8" t="s">
        <v>317</v>
      </c>
      <c r="C75" s="8" t="s">
        <v>309</v>
      </c>
      <c r="D75" s="8" t="s">
        <v>3</v>
      </c>
      <c r="E75" s="8" t="s">
        <v>324</v>
      </c>
      <c r="F75" s="8">
        <v>50</v>
      </c>
      <c r="G75" s="22">
        <v>1049.5</v>
      </c>
      <c r="H75" s="22">
        <v>462.5</v>
      </c>
    </row>
    <row r="76" spans="1:8" x14ac:dyDescent="0.25">
      <c r="A76" s="75">
        <v>40557</v>
      </c>
      <c r="B76" s="8" t="s">
        <v>315</v>
      </c>
      <c r="C76" s="8" t="s">
        <v>310</v>
      </c>
      <c r="D76" s="8" t="s">
        <v>3</v>
      </c>
      <c r="E76" s="8" t="s">
        <v>336</v>
      </c>
      <c r="F76" s="8">
        <v>48</v>
      </c>
      <c r="G76" s="22">
        <v>1151.52</v>
      </c>
      <c r="H76" s="22">
        <v>528</v>
      </c>
    </row>
    <row r="77" spans="1:8" x14ac:dyDescent="0.25">
      <c r="A77" s="75">
        <v>40556</v>
      </c>
      <c r="B77" s="8" t="s">
        <v>319</v>
      </c>
      <c r="C77" s="8" t="s">
        <v>307</v>
      </c>
      <c r="D77" s="8" t="s">
        <v>136</v>
      </c>
      <c r="E77" s="8" t="s">
        <v>331</v>
      </c>
      <c r="F77" s="8">
        <v>27</v>
      </c>
      <c r="G77" s="22">
        <v>728.7299999999999</v>
      </c>
      <c r="H77" s="22">
        <v>391.5</v>
      </c>
    </row>
    <row r="78" spans="1:8" x14ac:dyDescent="0.25">
      <c r="A78" s="75">
        <v>40555</v>
      </c>
      <c r="B78" s="8" t="s">
        <v>321</v>
      </c>
      <c r="C78" s="8" t="s">
        <v>309</v>
      </c>
      <c r="D78" s="8" t="s">
        <v>132</v>
      </c>
      <c r="E78" s="8" t="s">
        <v>339</v>
      </c>
      <c r="F78" s="8">
        <v>6</v>
      </c>
      <c r="G78" s="22">
        <v>137.94</v>
      </c>
      <c r="H78" s="22">
        <v>60</v>
      </c>
    </row>
    <row r="79" spans="1:8" x14ac:dyDescent="0.25">
      <c r="A79" s="75">
        <v>40571</v>
      </c>
      <c r="B79" s="8" t="s">
        <v>315</v>
      </c>
      <c r="C79" s="8" t="s">
        <v>308</v>
      </c>
      <c r="D79" s="8" t="s">
        <v>136</v>
      </c>
      <c r="E79" s="8" t="s">
        <v>343</v>
      </c>
      <c r="F79" s="8">
        <v>62</v>
      </c>
      <c r="G79" s="22">
        <v>1487.3799999999999</v>
      </c>
      <c r="H79" s="22">
        <v>682</v>
      </c>
    </row>
    <row r="80" spans="1:8" x14ac:dyDescent="0.25">
      <c r="A80" s="75">
        <v>40565</v>
      </c>
      <c r="B80" s="8" t="s">
        <v>315</v>
      </c>
      <c r="C80" s="8" t="s">
        <v>308</v>
      </c>
      <c r="D80" s="8" t="s">
        <v>3</v>
      </c>
      <c r="E80" s="8" t="s">
        <v>342</v>
      </c>
      <c r="F80" s="8">
        <v>10</v>
      </c>
      <c r="G80" s="22">
        <v>239.89999999999998</v>
      </c>
      <c r="H80" s="22">
        <v>110</v>
      </c>
    </row>
    <row r="81" spans="1:8" x14ac:dyDescent="0.25">
      <c r="A81" s="75">
        <v>40547</v>
      </c>
      <c r="B81" s="8" t="s">
        <v>315</v>
      </c>
      <c r="C81" s="8" t="s">
        <v>307</v>
      </c>
      <c r="D81" s="8" t="s">
        <v>328</v>
      </c>
      <c r="E81" s="8" t="s">
        <v>341</v>
      </c>
      <c r="F81" s="8">
        <v>33</v>
      </c>
      <c r="G81" s="22">
        <v>791.67</v>
      </c>
      <c r="H81" s="22">
        <v>363</v>
      </c>
    </row>
    <row r="82" spans="1:8" x14ac:dyDescent="0.25">
      <c r="A82" s="75">
        <v>40569</v>
      </c>
      <c r="B82" s="8" t="s">
        <v>319</v>
      </c>
      <c r="C82" s="8" t="s">
        <v>310</v>
      </c>
      <c r="D82" s="8" t="s">
        <v>3</v>
      </c>
      <c r="E82" s="8" t="s">
        <v>333</v>
      </c>
      <c r="F82" s="8">
        <v>17</v>
      </c>
      <c r="G82" s="22">
        <v>458.83</v>
      </c>
      <c r="H82" s="22">
        <v>246.5</v>
      </c>
    </row>
    <row r="83" spans="1:8" x14ac:dyDescent="0.25">
      <c r="A83" s="75">
        <v>40562</v>
      </c>
      <c r="B83" s="8" t="s">
        <v>321</v>
      </c>
      <c r="C83" s="8" t="s">
        <v>310</v>
      </c>
      <c r="D83" s="8" t="s">
        <v>328</v>
      </c>
      <c r="E83" s="8" t="s">
        <v>345</v>
      </c>
      <c r="F83" s="8">
        <v>10</v>
      </c>
      <c r="G83" s="22">
        <v>229.89999999999998</v>
      </c>
      <c r="H83" s="22">
        <v>100</v>
      </c>
    </row>
    <row r="84" spans="1:8" x14ac:dyDescent="0.25">
      <c r="A84" s="75">
        <v>40544</v>
      </c>
      <c r="B84" s="8" t="s">
        <v>315</v>
      </c>
      <c r="C84" s="8" t="s">
        <v>307</v>
      </c>
      <c r="D84" s="8" t="s">
        <v>132</v>
      </c>
      <c r="E84" s="8" t="s">
        <v>341</v>
      </c>
      <c r="F84" s="8">
        <v>8</v>
      </c>
      <c r="G84" s="22">
        <v>191.92</v>
      </c>
      <c r="H84" s="22">
        <v>88</v>
      </c>
    </row>
    <row r="85" spans="1:8" x14ac:dyDescent="0.25">
      <c r="A85" s="75">
        <v>40549</v>
      </c>
      <c r="B85" s="8" t="s">
        <v>317</v>
      </c>
      <c r="C85" s="8" t="s">
        <v>308</v>
      </c>
      <c r="D85" s="8" t="s">
        <v>136</v>
      </c>
      <c r="E85" s="8" t="s">
        <v>342</v>
      </c>
      <c r="F85" s="8">
        <v>30</v>
      </c>
      <c r="G85" s="22">
        <v>629.69999999999993</v>
      </c>
      <c r="H85" s="22">
        <v>277.5</v>
      </c>
    </row>
    <row r="86" spans="1:8" x14ac:dyDescent="0.25">
      <c r="A86" s="75">
        <v>40551</v>
      </c>
      <c r="B86" s="8" t="s">
        <v>315</v>
      </c>
      <c r="C86" s="8" t="s">
        <v>309</v>
      </c>
      <c r="D86" s="8" t="s">
        <v>3</v>
      </c>
      <c r="E86" s="8" t="s">
        <v>322</v>
      </c>
      <c r="F86" s="8">
        <v>22</v>
      </c>
      <c r="G86" s="22">
        <v>527.78</v>
      </c>
      <c r="H86" s="22">
        <v>242</v>
      </c>
    </row>
    <row r="87" spans="1:8" x14ac:dyDescent="0.25">
      <c r="A87" s="75">
        <v>40571</v>
      </c>
      <c r="B87" s="8" t="s">
        <v>319</v>
      </c>
      <c r="C87" s="8" t="s">
        <v>308</v>
      </c>
      <c r="D87" s="8" t="s">
        <v>132</v>
      </c>
      <c r="E87" s="8" t="s">
        <v>324</v>
      </c>
      <c r="F87" s="8">
        <v>30</v>
      </c>
      <c r="G87" s="22">
        <v>809.69999999999993</v>
      </c>
      <c r="H87" s="22">
        <v>435</v>
      </c>
    </row>
    <row r="88" spans="1:8" x14ac:dyDescent="0.25">
      <c r="A88" s="75">
        <v>40555</v>
      </c>
      <c r="B88" s="8" t="s">
        <v>321</v>
      </c>
      <c r="C88" s="8" t="s">
        <v>308</v>
      </c>
      <c r="D88" s="8" t="s">
        <v>328</v>
      </c>
      <c r="E88" s="8" t="s">
        <v>314</v>
      </c>
      <c r="F88" s="8">
        <v>64</v>
      </c>
      <c r="G88" s="22">
        <v>1471.36</v>
      </c>
      <c r="H88" s="22">
        <v>640</v>
      </c>
    </row>
    <row r="89" spans="1:8" x14ac:dyDescent="0.25">
      <c r="A89" s="75">
        <v>40553</v>
      </c>
      <c r="B89" s="8" t="s">
        <v>319</v>
      </c>
      <c r="C89" s="8" t="s">
        <v>310</v>
      </c>
      <c r="D89" s="8" t="s">
        <v>7</v>
      </c>
      <c r="E89" s="8" t="s">
        <v>343</v>
      </c>
      <c r="F89" s="8">
        <v>43</v>
      </c>
      <c r="G89" s="22">
        <v>1160.57</v>
      </c>
      <c r="H89" s="22">
        <v>623.5</v>
      </c>
    </row>
    <row r="90" spans="1:8" x14ac:dyDescent="0.25">
      <c r="A90" s="75">
        <v>40571</v>
      </c>
      <c r="B90" s="8" t="s">
        <v>321</v>
      </c>
      <c r="C90" s="8" t="s">
        <v>307</v>
      </c>
      <c r="D90" s="8" t="s">
        <v>132</v>
      </c>
      <c r="E90" s="8" t="s">
        <v>322</v>
      </c>
      <c r="F90" s="8">
        <v>45</v>
      </c>
      <c r="G90" s="22">
        <v>1034.55</v>
      </c>
      <c r="H90" s="22">
        <v>450</v>
      </c>
    </row>
    <row r="91" spans="1:8" x14ac:dyDescent="0.25">
      <c r="A91" s="75">
        <v>40565</v>
      </c>
      <c r="B91" s="8" t="s">
        <v>315</v>
      </c>
      <c r="C91" s="8" t="s">
        <v>309</v>
      </c>
      <c r="D91" s="8" t="s">
        <v>136</v>
      </c>
      <c r="E91" s="8" t="s">
        <v>327</v>
      </c>
      <c r="F91" s="8">
        <v>45</v>
      </c>
      <c r="G91" s="22">
        <v>1079.55</v>
      </c>
      <c r="H91" s="22">
        <v>495</v>
      </c>
    </row>
    <row r="92" spans="1:8" x14ac:dyDescent="0.25">
      <c r="A92" s="75">
        <v>40568</v>
      </c>
      <c r="B92" s="8" t="s">
        <v>311</v>
      </c>
      <c r="C92" s="8" t="s">
        <v>308</v>
      </c>
      <c r="D92" s="8" t="s">
        <v>3</v>
      </c>
      <c r="E92" s="8" t="s">
        <v>326</v>
      </c>
      <c r="F92" s="8">
        <v>55</v>
      </c>
      <c r="G92" s="22">
        <v>1044.4499999999998</v>
      </c>
      <c r="H92" s="22">
        <v>440</v>
      </c>
    </row>
    <row r="93" spans="1:8" x14ac:dyDescent="0.25">
      <c r="A93" s="75">
        <v>40561</v>
      </c>
      <c r="B93" s="8" t="s">
        <v>311</v>
      </c>
      <c r="C93" s="8" t="s">
        <v>310</v>
      </c>
      <c r="D93" s="8" t="s">
        <v>132</v>
      </c>
      <c r="E93" s="8" t="s">
        <v>323</v>
      </c>
      <c r="F93" s="8">
        <v>62</v>
      </c>
      <c r="G93" s="22">
        <v>1177.3799999999999</v>
      </c>
      <c r="H93" s="22">
        <v>496</v>
      </c>
    </row>
    <row r="94" spans="1:8" x14ac:dyDescent="0.25">
      <c r="A94" s="75">
        <v>40549</v>
      </c>
      <c r="B94" s="8" t="s">
        <v>315</v>
      </c>
      <c r="C94" s="8" t="s">
        <v>308</v>
      </c>
      <c r="D94" s="8" t="s">
        <v>328</v>
      </c>
      <c r="E94" s="8" t="s">
        <v>324</v>
      </c>
      <c r="F94" s="8">
        <v>11</v>
      </c>
      <c r="G94" s="22">
        <v>263.89</v>
      </c>
      <c r="H94" s="22">
        <v>121</v>
      </c>
    </row>
    <row r="95" spans="1:8" x14ac:dyDescent="0.25">
      <c r="A95" s="75">
        <v>40569</v>
      </c>
      <c r="B95" s="8" t="s">
        <v>319</v>
      </c>
      <c r="C95" s="8" t="s">
        <v>308</v>
      </c>
      <c r="D95" s="8" t="s">
        <v>136</v>
      </c>
      <c r="E95" s="8" t="s">
        <v>325</v>
      </c>
      <c r="F95" s="8">
        <v>17</v>
      </c>
      <c r="G95" s="22">
        <v>458.83</v>
      </c>
      <c r="H95" s="22">
        <v>246.5</v>
      </c>
    </row>
    <row r="96" spans="1:8" x14ac:dyDescent="0.25">
      <c r="A96" s="75">
        <v>40554</v>
      </c>
      <c r="B96" s="8" t="s">
        <v>321</v>
      </c>
      <c r="C96" s="8" t="s">
        <v>309</v>
      </c>
      <c r="D96" s="8" t="s">
        <v>7</v>
      </c>
      <c r="E96" s="8" t="s">
        <v>341</v>
      </c>
      <c r="F96" s="8">
        <v>57</v>
      </c>
      <c r="G96" s="22">
        <v>1310.4299999999998</v>
      </c>
      <c r="H96" s="22">
        <v>570</v>
      </c>
    </row>
    <row r="97" spans="1:8" x14ac:dyDescent="0.25">
      <c r="A97" s="75">
        <v>40563</v>
      </c>
      <c r="B97" s="8" t="s">
        <v>311</v>
      </c>
      <c r="C97" s="8" t="s">
        <v>307</v>
      </c>
      <c r="D97" s="8" t="s">
        <v>312</v>
      </c>
      <c r="E97" s="8" t="s">
        <v>314</v>
      </c>
      <c r="F97" s="8">
        <v>64</v>
      </c>
      <c r="G97" s="22">
        <v>1215.3599999999999</v>
      </c>
      <c r="H97" s="22">
        <v>512</v>
      </c>
    </row>
    <row r="98" spans="1:8" x14ac:dyDescent="0.25">
      <c r="A98" s="75">
        <v>40566</v>
      </c>
      <c r="B98" s="8" t="s">
        <v>319</v>
      </c>
      <c r="C98" s="8" t="s">
        <v>309</v>
      </c>
      <c r="D98" s="8" t="s">
        <v>328</v>
      </c>
      <c r="E98" s="8" t="s">
        <v>347</v>
      </c>
      <c r="F98" s="8">
        <v>31</v>
      </c>
      <c r="G98" s="22">
        <v>836.68999999999994</v>
      </c>
      <c r="H98" s="22">
        <v>449.5</v>
      </c>
    </row>
    <row r="99" spans="1:8" x14ac:dyDescent="0.25">
      <c r="A99" s="75">
        <v>40563</v>
      </c>
      <c r="B99" s="8" t="s">
        <v>317</v>
      </c>
      <c r="C99" s="8" t="s">
        <v>310</v>
      </c>
      <c r="D99" s="8" t="s">
        <v>136</v>
      </c>
      <c r="E99" s="8" t="s">
        <v>337</v>
      </c>
      <c r="F99" s="8">
        <v>21</v>
      </c>
      <c r="G99" s="22">
        <v>440.78999999999996</v>
      </c>
      <c r="H99" s="22">
        <v>194.25</v>
      </c>
    </row>
    <row r="100" spans="1:8" x14ac:dyDescent="0.25">
      <c r="A100" s="75">
        <v>40546</v>
      </c>
      <c r="B100" s="8" t="s">
        <v>319</v>
      </c>
      <c r="C100" s="8" t="s">
        <v>310</v>
      </c>
      <c r="D100" s="8" t="s">
        <v>136</v>
      </c>
      <c r="E100" s="8" t="s">
        <v>332</v>
      </c>
      <c r="F100" s="8">
        <v>32</v>
      </c>
      <c r="G100" s="22">
        <v>863.68</v>
      </c>
      <c r="H100" s="22">
        <v>464</v>
      </c>
    </row>
    <row r="101" spans="1:8" x14ac:dyDescent="0.25">
      <c r="A101" s="75">
        <v>40548</v>
      </c>
      <c r="B101" s="8" t="s">
        <v>315</v>
      </c>
      <c r="C101" s="8" t="s">
        <v>308</v>
      </c>
      <c r="D101" s="8" t="s">
        <v>328</v>
      </c>
      <c r="E101" s="8" t="s">
        <v>325</v>
      </c>
      <c r="F101" s="8">
        <v>47</v>
      </c>
      <c r="G101" s="22">
        <v>1127.53</v>
      </c>
      <c r="H101" s="22">
        <v>517</v>
      </c>
    </row>
    <row r="102" spans="1:8" x14ac:dyDescent="0.25">
      <c r="A102" s="75">
        <v>40554</v>
      </c>
      <c r="B102" s="8" t="s">
        <v>321</v>
      </c>
      <c r="C102" s="8" t="s">
        <v>308</v>
      </c>
      <c r="D102" s="8" t="s">
        <v>328</v>
      </c>
      <c r="E102" s="8" t="s">
        <v>342</v>
      </c>
      <c r="F102" s="8">
        <v>19</v>
      </c>
      <c r="G102" s="22">
        <v>436.80999999999995</v>
      </c>
      <c r="H102" s="22">
        <v>190</v>
      </c>
    </row>
    <row r="103" spans="1:8" x14ac:dyDescent="0.25">
      <c r="A103" s="75">
        <v>40571</v>
      </c>
      <c r="B103" s="8" t="s">
        <v>315</v>
      </c>
      <c r="C103" s="8" t="s">
        <v>310</v>
      </c>
      <c r="D103" s="8" t="s">
        <v>7</v>
      </c>
      <c r="E103" s="8" t="s">
        <v>313</v>
      </c>
      <c r="F103" s="8">
        <v>14</v>
      </c>
      <c r="G103" s="22">
        <v>335.85999999999996</v>
      </c>
      <c r="H103" s="22">
        <v>154</v>
      </c>
    </row>
    <row r="104" spans="1:8" x14ac:dyDescent="0.25">
      <c r="A104" s="75">
        <v>40548</v>
      </c>
      <c r="B104" s="8" t="s">
        <v>311</v>
      </c>
      <c r="C104" s="8" t="s">
        <v>308</v>
      </c>
      <c r="D104" s="8" t="s">
        <v>312</v>
      </c>
      <c r="E104" s="8" t="s">
        <v>343</v>
      </c>
      <c r="F104" s="8">
        <v>14</v>
      </c>
      <c r="G104" s="22">
        <v>265.85999999999996</v>
      </c>
      <c r="H104" s="22">
        <v>112</v>
      </c>
    </row>
    <row r="105" spans="1:8" x14ac:dyDescent="0.25">
      <c r="A105" s="75">
        <v>40558</v>
      </c>
      <c r="B105" s="8" t="s">
        <v>319</v>
      </c>
      <c r="C105" s="8" t="s">
        <v>309</v>
      </c>
      <c r="D105" s="8" t="s">
        <v>136</v>
      </c>
      <c r="E105" s="8" t="s">
        <v>323</v>
      </c>
      <c r="F105" s="8">
        <v>55</v>
      </c>
      <c r="G105" s="22">
        <v>1484.4499999999998</v>
      </c>
      <c r="H105" s="22">
        <v>797.5</v>
      </c>
    </row>
    <row r="106" spans="1:8" x14ac:dyDescent="0.25">
      <c r="A106" s="75">
        <v>40547</v>
      </c>
      <c r="B106" s="8" t="s">
        <v>311</v>
      </c>
      <c r="C106" s="8" t="s">
        <v>308</v>
      </c>
      <c r="D106" s="8" t="s">
        <v>3</v>
      </c>
      <c r="E106" s="8" t="s">
        <v>333</v>
      </c>
      <c r="F106" s="8">
        <v>37</v>
      </c>
      <c r="G106" s="22">
        <v>702.63</v>
      </c>
      <c r="H106" s="22">
        <v>296</v>
      </c>
    </row>
  </sheetData>
  <pageMargins left="0.7" right="0.7" top="0.75" bottom="0.75" header="0.3" footer="0.3"/>
  <pageSetup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14">
    <tabColor rgb="FF0000FF"/>
  </sheetPr>
  <dimension ref="A1:H23"/>
  <sheetViews>
    <sheetView zoomScaleNormal="100" workbookViewId="0">
      <selection activeCell="C8" sqref="C8"/>
    </sheetView>
  </sheetViews>
  <sheetFormatPr defaultColWidth="9.140625" defaultRowHeight="15" x14ac:dyDescent="0.25"/>
  <cols>
    <col min="7" max="7" width="17.85546875"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40544</v>
      </c>
      <c r="B2" s="8" t="s">
        <v>321</v>
      </c>
      <c r="C2" s="8" t="s">
        <v>309</v>
      </c>
      <c r="D2" s="8" t="s">
        <v>312</v>
      </c>
      <c r="E2" s="8" t="s">
        <v>329</v>
      </c>
      <c r="F2" s="8">
        <v>24</v>
      </c>
      <c r="G2" s="22">
        <v>551.76</v>
      </c>
      <c r="H2" s="22">
        <v>240</v>
      </c>
    </row>
    <row r="3" spans="1:8" x14ac:dyDescent="0.25">
      <c r="A3" s="75">
        <v>40544</v>
      </c>
      <c r="B3" s="8" t="s">
        <v>315</v>
      </c>
      <c r="C3" s="8" t="s">
        <v>307</v>
      </c>
      <c r="D3" s="8" t="s">
        <v>132</v>
      </c>
      <c r="E3" s="8" t="s">
        <v>341</v>
      </c>
      <c r="F3" s="8">
        <v>8</v>
      </c>
      <c r="G3" s="22">
        <v>191.92</v>
      </c>
      <c r="H3" s="22">
        <v>88</v>
      </c>
    </row>
    <row r="4" spans="1:8" x14ac:dyDescent="0.25">
      <c r="A4" s="75">
        <v>40545</v>
      </c>
      <c r="B4" s="8" t="s">
        <v>311</v>
      </c>
      <c r="C4" s="8" t="s">
        <v>309</v>
      </c>
      <c r="D4" s="8" t="s">
        <v>3</v>
      </c>
      <c r="E4" s="8" t="s">
        <v>322</v>
      </c>
      <c r="F4" s="8">
        <v>16</v>
      </c>
      <c r="G4" s="22">
        <v>303.83999999999997</v>
      </c>
      <c r="H4" s="22">
        <v>128</v>
      </c>
    </row>
    <row r="5" spans="1:8" x14ac:dyDescent="0.25">
      <c r="A5" s="75">
        <v>40545</v>
      </c>
      <c r="B5" s="8" t="s">
        <v>317</v>
      </c>
      <c r="C5" s="8" t="s">
        <v>310</v>
      </c>
      <c r="D5" s="8" t="s">
        <v>3</v>
      </c>
      <c r="E5" s="8" t="s">
        <v>347</v>
      </c>
      <c r="F5" s="8">
        <v>58</v>
      </c>
      <c r="G5" s="22">
        <v>1217.4199999999998</v>
      </c>
      <c r="H5" s="22">
        <v>536.5</v>
      </c>
    </row>
    <row r="6" spans="1:8" x14ac:dyDescent="0.25">
      <c r="A6" s="75">
        <v>40545</v>
      </c>
      <c r="B6" s="8" t="s">
        <v>321</v>
      </c>
      <c r="C6" s="8" t="s">
        <v>310</v>
      </c>
      <c r="D6" s="8" t="s">
        <v>132</v>
      </c>
      <c r="E6" s="8" t="s">
        <v>313</v>
      </c>
      <c r="F6" s="8">
        <v>17</v>
      </c>
      <c r="G6" s="22">
        <v>390.83</v>
      </c>
      <c r="H6" s="22">
        <v>170</v>
      </c>
    </row>
    <row r="7" spans="1:8" x14ac:dyDescent="0.25">
      <c r="A7" s="75">
        <v>40545</v>
      </c>
      <c r="B7" s="8" t="s">
        <v>319</v>
      </c>
      <c r="C7" s="8" t="s">
        <v>309</v>
      </c>
      <c r="D7" s="8" t="s">
        <v>7</v>
      </c>
      <c r="E7" s="8" t="s">
        <v>322</v>
      </c>
      <c r="F7" s="8">
        <v>22</v>
      </c>
      <c r="G7" s="22">
        <v>593.78</v>
      </c>
      <c r="H7" s="22">
        <v>319</v>
      </c>
    </row>
    <row r="8" spans="1:8" x14ac:dyDescent="0.25">
      <c r="A8" s="75">
        <v>40546</v>
      </c>
      <c r="B8" s="8" t="s">
        <v>315</v>
      </c>
      <c r="C8" s="8" t="s">
        <v>310</v>
      </c>
      <c r="D8" s="8" t="s">
        <v>328</v>
      </c>
      <c r="E8" s="8" t="s">
        <v>341</v>
      </c>
      <c r="F8" s="8">
        <v>59</v>
      </c>
      <c r="G8" s="22">
        <v>1415.4099999999999</v>
      </c>
      <c r="H8" s="22">
        <v>649</v>
      </c>
    </row>
    <row r="9" spans="1:8" x14ac:dyDescent="0.25">
      <c r="A9" s="75">
        <v>40546</v>
      </c>
      <c r="B9" s="8" t="s">
        <v>319</v>
      </c>
      <c r="C9" s="8" t="s">
        <v>308</v>
      </c>
      <c r="D9" s="8" t="s">
        <v>328</v>
      </c>
      <c r="E9" s="8" t="s">
        <v>324</v>
      </c>
      <c r="F9" s="8">
        <v>36</v>
      </c>
      <c r="G9" s="22">
        <v>971.64</v>
      </c>
      <c r="H9" s="22">
        <v>522</v>
      </c>
    </row>
    <row r="10" spans="1:8" x14ac:dyDescent="0.25">
      <c r="A10" s="75">
        <v>40546</v>
      </c>
      <c r="B10" s="8" t="s">
        <v>319</v>
      </c>
      <c r="C10" s="8" t="s">
        <v>310</v>
      </c>
      <c r="D10" s="8" t="s">
        <v>136</v>
      </c>
      <c r="E10" s="8" t="s">
        <v>332</v>
      </c>
      <c r="F10" s="8">
        <v>32</v>
      </c>
      <c r="G10" s="22">
        <v>863.68</v>
      </c>
      <c r="H10" s="22">
        <v>464</v>
      </c>
    </row>
    <row r="11" spans="1:8" x14ac:dyDescent="0.25">
      <c r="A11" s="75">
        <v>40547</v>
      </c>
      <c r="B11" s="8" t="s">
        <v>315</v>
      </c>
      <c r="C11" s="8" t="s">
        <v>307</v>
      </c>
      <c r="D11" s="8" t="s">
        <v>328</v>
      </c>
      <c r="E11" s="8" t="s">
        <v>341</v>
      </c>
      <c r="F11" s="8">
        <v>33</v>
      </c>
      <c r="G11" s="22">
        <v>791.67</v>
      </c>
      <c r="H11" s="22">
        <v>363</v>
      </c>
    </row>
    <row r="12" spans="1:8" x14ac:dyDescent="0.25">
      <c r="A12" s="75">
        <v>40547</v>
      </c>
      <c r="B12" s="8" t="s">
        <v>311</v>
      </c>
      <c r="C12" s="8" t="s">
        <v>308</v>
      </c>
      <c r="D12" s="8" t="s">
        <v>3</v>
      </c>
      <c r="E12" s="8" t="s">
        <v>333</v>
      </c>
      <c r="F12" s="8">
        <v>37</v>
      </c>
      <c r="G12" s="22">
        <v>702.63</v>
      </c>
      <c r="H12" s="22">
        <v>296</v>
      </c>
    </row>
    <row r="13" spans="1:8" x14ac:dyDescent="0.25">
      <c r="A13" s="75">
        <v>40548</v>
      </c>
      <c r="B13" s="8" t="s">
        <v>321</v>
      </c>
      <c r="C13" s="8" t="s">
        <v>308</v>
      </c>
      <c r="D13" s="8" t="s">
        <v>7</v>
      </c>
      <c r="E13" s="8" t="s">
        <v>337</v>
      </c>
      <c r="F13" s="8">
        <v>57</v>
      </c>
      <c r="G13" s="22">
        <v>1310.4299999999998</v>
      </c>
      <c r="H13" s="22">
        <v>570</v>
      </c>
    </row>
    <row r="14" spans="1:8" x14ac:dyDescent="0.25">
      <c r="A14" s="75">
        <v>40548</v>
      </c>
      <c r="B14" s="8" t="s">
        <v>317</v>
      </c>
      <c r="C14" s="8" t="s">
        <v>310</v>
      </c>
      <c r="D14" s="8" t="s">
        <v>132</v>
      </c>
      <c r="E14" s="8" t="s">
        <v>347</v>
      </c>
      <c r="F14" s="8">
        <v>39</v>
      </c>
      <c r="G14" s="22">
        <v>818.6099999999999</v>
      </c>
      <c r="H14" s="22">
        <v>360.75</v>
      </c>
    </row>
    <row r="15" spans="1:8" x14ac:dyDescent="0.25">
      <c r="A15" s="75">
        <v>40548</v>
      </c>
      <c r="B15" s="8" t="s">
        <v>319</v>
      </c>
      <c r="C15" s="8" t="s">
        <v>308</v>
      </c>
      <c r="D15" s="8" t="s">
        <v>7</v>
      </c>
      <c r="E15" s="8" t="s">
        <v>329</v>
      </c>
      <c r="F15" s="8">
        <v>54</v>
      </c>
      <c r="G15" s="22">
        <v>1457.4599999999998</v>
      </c>
      <c r="H15" s="22">
        <v>783</v>
      </c>
    </row>
    <row r="16" spans="1:8" x14ac:dyDescent="0.25">
      <c r="A16" s="75">
        <v>40548</v>
      </c>
      <c r="B16" s="8" t="s">
        <v>321</v>
      </c>
      <c r="C16" s="8" t="s">
        <v>307</v>
      </c>
      <c r="D16" s="8" t="s">
        <v>132</v>
      </c>
      <c r="E16" s="8" t="s">
        <v>346</v>
      </c>
      <c r="F16" s="8">
        <v>10</v>
      </c>
      <c r="G16" s="22">
        <v>229.89999999999998</v>
      </c>
      <c r="H16" s="22">
        <v>100</v>
      </c>
    </row>
    <row r="17" spans="1:8" x14ac:dyDescent="0.25">
      <c r="A17" s="75">
        <v>40548</v>
      </c>
      <c r="B17" s="8" t="s">
        <v>317</v>
      </c>
      <c r="C17" s="8" t="s">
        <v>310</v>
      </c>
      <c r="D17" s="8" t="s">
        <v>3</v>
      </c>
      <c r="E17" s="8" t="s">
        <v>330</v>
      </c>
      <c r="F17" s="8">
        <v>23</v>
      </c>
      <c r="G17" s="22">
        <v>482.77</v>
      </c>
      <c r="H17" s="22">
        <v>212.75</v>
      </c>
    </row>
    <row r="18" spans="1:8" x14ac:dyDescent="0.25">
      <c r="A18" s="75">
        <v>40548</v>
      </c>
      <c r="B18" s="8" t="s">
        <v>315</v>
      </c>
      <c r="C18" s="8" t="s">
        <v>308</v>
      </c>
      <c r="D18" s="8" t="s">
        <v>328</v>
      </c>
      <c r="E18" s="8" t="s">
        <v>325</v>
      </c>
      <c r="F18" s="8">
        <v>47</v>
      </c>
      <c r="G18" s="22">
        <v>1127.53</v>
      </c>
      <c r="H18" s="22">
        <v>517</v>
      </c>
    </row>
    <row r="19" spans="1:8" x14ac:dyDescent="0.25">
      <c r="A19" s="75">
        <v>40548</v>
      </c>
      <c r="B19" s="8" t="s">
        <v>311</v>
      </c>
      <c r="C19" s="8" t="s">
        <v>308</v>
      </c>
      <c r="D19" s="8" t="s">
        <v>312</v>
      </c>
      <c r="E19" s="8" t="s">
        <v>343</v>
      </c>
      <c r="F19" s="8">
        <v>14</v>
      </c>
      <c r="G19" s="22">
        <v>265.85999999999996</v>
      </c>
      <c r="H19" s="22">
        <v>112</v>
      </c>
    </row>
    <row r="20" spans="1:8" x14ac:dyDescent="0.25">
      <c r="A20" s="75">
        <v>40549</v>
      </c>
      <c r="B20" s="8" t="s">
        <v>319</v>
      </c>
      <c r="C20" s="8" t="s">
        <v>307</v>
      </c>
      <c r="D20" s="8" t="s">
        <v>312</v>
      </c>
      <c r="E20" s="8" t="s">
        <v>324</v>
      </c>
      <c r="F20" s="8">
        <v>50</v>
      </c>
      <c r="G20" s="22">
        <v>1349.5</v>
      </c>
      <c r="H20" s="22">
        <v>725</v>
      </c>
    </row>
    <row r="21" spans="1:8" x14ac:dyDescent="0.25">
      <c r="A21" s="75">
        <v>40549</v>
      </c>
      <c r="B21" s="8" t="s">
        <v>311</v>
      </c>
      <c r="C21" s="8" t="s">
        <v>310</v>
      </c>
      <c r="D21" s="8" t="s">
        <v>132</v>
      </c>
      <c r="E21" s="8" t="s">
        <v>342</v>
      </c>
      <c r="F21" s="8">
        <v>53</v>
      </c>
      <c r="G21" s="22">
        <v>1006.4699999999999</v>
      </c>
      <c r="H21" s="22">
        <v>424</v>
      </c>
    </row>
    <row r="22" spans="1:8" x14ac:dyDescent="0.25">
      <c r="A22" s="75">
        <v>40549</v>
      </c>
      <c r="B22" s="8" t="s">
        <v>317</v>
      </c>
      <c r="C22" s="8" t="s">
        <v>308</v>
      </c>
      <c r="D22" s="8" t="s">
        <v>136</v>
      </c>
      <c r="E22" s="8" t="s">
        <v>342</v>
      </c>
      <c r="F22" s="8">
        <v>30</v>
      </c>
      <c r="G22" s="22">
        <v>629.69999999999993</v>
      </c>
      <c r="H22" s="22">
        <v>277.5</v>
      </c>
    </row>
    <row r="23" spans="1:8" x14ac:dyDescent="0.25">
      <c r="A23" s="75">
        <v>40549</v>
      </c>
      <c r="B23" s="8" t="s">
        <v>315</v>
      </c>
      <c r="C23" s="8" t="s">
        <v>308</v>
      </c>
      <c r="D23" s="8" t="s">
        <v>328</v>
      </c>
      <c r="E23" s="8" t="s">
        <v>324</v>
      </c>
      <c r="F23" s="8">
        <v>11</v>
      </c>
      <c r="G23" s="22">
        <v>263.89</v>
      </c>
      <c r="H23" s="22">
        <v>121</v>
      </c>
    </row>
  </sheetData>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1">
    <tabColor rgb="FF0000FF"/>
  </sheetPr>
  <dimension ref="A3:B10"/>
  <sheetViews>
    <sheetView workbookViewId="0">
      <selection activeCell="C11" sqref="C11"/>
    </sheetView>
  </sheetViews>
  <sheetFormatPr defaultRowHeight="15" x14ac:dyDescent="0.25"/>
  <cols>
    <col min="1" max="1" width="10.7109375" customWidth="1"/>
    <col min="2" max="2" width="11.7109375" bestFit="1" customWidth="1"/>
  </cols>
  <sheetData>
    <row r="3" spans="1:2" x14ac:dyDescent="0.25">
      <c r="A3" s="73" t="s">
        <v>1</v>
      </c>
      <c r="B3" s="73" t="s">
        <v>1046</v>
      </c>
    </row>
    <row r="4" spans="1:2" x14ac:dyDescent="0.25">
      <c r="A4" t="s">
        <v>7</v>
      </c>
      <c r="B4" s="30">
        <v>9233.3799999999992</v>
      </c>
    </row>
    <row r="5" spans="1:2" x14ac:dyDescent="0.25">
      <c r="A5" t="s">
        <v>312</v>
      </c>
      <c r="B5" s="30">
        <v>11640.110000000002</v>
      </c>
    </row>
    <row r="6" spans="1:2" x14ac:dyDescent="0.25">
      <c r="A6" t="s">
        <v>328</v>
      </c>
      <c r="B6" s="30">
        <v>18265.219999999998</v>
      </c>
    </row>
    <row r="7" spans="1:2" x14ac:dyDescent="0.25">
      <c r="A7" t="s">
        <v>136</v>
      </c>
      <c r="B7" s="30">
        <v>15474.21</v>
      </c>
    </row>
    <row r="8" spans="1:2" x14ac:dyDescent="0.25">
      <c r="A8" t="s">
        <v>3</v>
      </c>
      <c r="B8" s="30">
        <v>12416.44</v>
      </c>
    </row>
    <row r="9" spans="1:2" x14ac:dyDescent="0.25">
      <c r="A9" t="s">
        <v>132</v>
      </c>
      <c r="B9" s="30">
        <v>18397.980000000003</v>
      </c>
    </row>
    <row r="10" spans="1:2" x14ac:dyDescent="0.25">
      <c r="A10" t="s">
        <v>1014</v>
      </c>
      <c r="B10" s="30">
        <v>85427.34</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17">
    <tabColor rgb="FF0000FF"/>
  </sheetPr>
  <dimension ref="A1:H106"/>
  <sheetViews>
    <sheetView zoomScale="145" zoomScaleNormal="145" workbookViewId="0">
      <selection activeCell="F2" sqref="F2"/>
    </sheetView>
  </sheetViews>
  <sheetFormatPr defaultColWidth="9.140625" defaultRowHeight="15" x14ac:dyDescent="0.25"/>
  <cols>
    <col min="1" max="1" width="7.7109375" bestFit="1" customWidth="1"/>
    <col min="2" max="2" width="9" bestFit="1" customWidth="1"/>
    <col min="3" max="3" width="9.85546875" bestFit="1" customWidth="1"/>
    <col min="7" max="7" width="13.140625" bestFit="1" customWidth="1"/>
    <col min="8" max="8" width="12.140625" bestFit="1" customWidth="1"/>
  </cols>
  <sheetData>
    <row r="1" spans="1:8" x14ac:dyDescent="0.25">
      <c r="A1" s="134" t="s">
        <v>0</v>
      </c>
      <c r="B1" s="134" t="s">
        <v>1</v>
      </c>
      <c r="C1" s="134" t="s">
        <v>37</v>
      </c>
      <c r="F1" s="134" t="s">
        <v>1391</v>
      </c>
      <c r="H1" s="134" t="s">
        <v>1392</v>
      </c>
    </row>
    <row r="2" spans="1:8" x14ac:dyDescent="0.25">
      <c r="A2" s="75">
        <v>40555</v>
      </c>
      <c r="B2" s="8" t="s">
        <v>328</v>
      </c>
      <c r="C2" s="22">
        <v>971.64</v>
      </c>
      <c r="F2" s="8">
        <v>5</v>
      </c>
      <c r="H2" s="8">
        <f t="shared" ref="H2:H8" si="0">F2+0.25</f>
        <v>5.25</v>
      </c>
    </row>
    <row r="3" spans="1:8" x14ac:dyDescent="0.25">
      <c r="A3" s="75">
        <v>40554</v>
      </c>
      <c r="B3" s="8" t="s">
        <v>132</v>
      </c>
      <c r="C3" s="22">
        <v>1673.3799999999999</v>
      </c>
      <c r="F3" s="8">
        <v>8</v>
      </c>
      <c r="H3" s="8">
        <f t="shared" si="0"/>
        <v>8.25</v>
      </c>
    </row>
    <row r="4" spans="1:8" x14ac:dyDescent="0.25">
      <c r="A4" s="75">
        <v>40549</v>
      </c>
      <c r="B4" s="8" t="s">
        <v>312</v>
      </c>
      <c r="C4" s="22">
        <v>1349.5</v>
      </c>
      <c r="F4" s="8">
        <v>9</v>
      </c>
      <c r="H4" s="8">
        <f t="shared" si="0"/>
        <v>9.25</v>
      </c>
    </row>
    <row r="5" spans="1:8" x14ac:dyDescent="0.25">
      <c r="A5" s="75">
        <v>40546</v>
      </c>
      <c r="B5" s="8" t="s">
        <v>328</v>
      </c>
      <c r="C5" s="22">
        <v>1415.4099999999999</v>
      </c>
      <c r="F5" s="8">
        <v>10</v>
      </c>
      <c r="H5" s="8">
        <f t="shared" si="0"/>
        <v>10.25</v>
      </c>
    </row>
    <row r="6" spans="1:8" x14ac:dyDescent="0.25">
      <c r="A6" s="75">
        <v>40559</v>
      </c>
      <c r="B6" s="8" t="s">
        <v>312</v>
      </c>
      <c r="C6" s="22">
        <v>1271.47</v>
      </c>
      <c r="F6" s="8">
        <v>11</v>
      </c>
      <c r="H6" s="8">
        <f t="shared" si="0"/>
        <v>11.25</v>
      </c>
    </row>
    <row r="7" spans="1:8" x14ac:dyDescent="0.25">
      <c r="A7" s="75">
        <v>40567</v>
      </c>
      <c r="B7" s="8" t="s">
        <v>136</v>
      </c>
      <c r="C7" s="22">
        <v>778.58999999999992</v>
      </c>
      <c r="F7" s="8">
        <v>20</v>
      </c>
      <c r="H7" s="8">
        <f t="shared" si="0"/>
        <v>20.25</v>
      </c>
    </row>
    <row r="8" spans="1:8" x14ac:dyDescent="0.25">
      <c r="A8" s="75">
        <v>40553</v>
      </c>
      <c r="B8" s="8" t="s">
        <v>132</v>
      </c>
      <c r="C8" s="22">
        <v>298.87</v>
      </c>
      <c r="F8" s="8">
        <v>19</v>
      </c>
      <c r="H8" s="8">
        <f t="shared" si="0"/>
        <v>19.25</v>
      </c>
    </row>
    <row r="9" spans="1:8" x14ac:dyDescent="0.25">
      <c r="A9" s="75">
        <v>40567</v>
      </c>
      <c r="B9" s="8" t="s">
        <v>132</v>
      </c>
      <c r="C9" s="22">
        <v>1511.4399999999998</v>
      </c>
    </row>
    <row r="10" spans="1:8" x14ac:dyDescent="0.25">
      <c r="A10" s="75">
        <v>40556</v>
      </c>
      <c r="B10" s="8" t="s">
        <v>328</v>
      </c>
      <c r="C10" s="22">
        <v>949.49999999999989</v>
      </c>
    </row>
    <row r="11" spans="1:8" x14ac:dyDescent="0.25">
      <c r="A11" s="75">
        <v>40568</v>
      </c>
      <c r="B11" s="8" t="s">
        <v>132</v>
      </c>
      <c r="C11" s="22">
        <v>493.73999999999995</v>
      </c>
    </row>
    <row r="12" spans="1:8" x14ac:dyDescent="0.25">
      <c r="A12" s="75">
        <v>40553</v>
      </c>
      <c r="B12" s="8" t="s">
        <v>136</v>
      </c>
      <c r="C12" s="22">
        <v>597.74</v>
      </c>
    </row>
    <row r="13" spans="1:8" x14ac:dyDescent="0.25">
      <c r="A13" s="75">
        <v>40572</v>
      </c>
      <c r="B13" s="8" t="s">
        <v>328</v>
      </c>
      <c r="C13" s="22">
        <v>1112.47</v>
      </c>
    </row>
    <row r="14" spans="1:8" x14ac:dyDescent="0.25">
      <c r="A14" s="75">
        <v>40560</v>
      </c>
      <c r="B14" s="8" t="s">
        <v>136</v>
      </c>
      <c r="C14" s="22">
        <v>1160.57</v>
      </c>
    </row>
    <row r="15" spans="1:8" x14ac:dyDescent="0.25">
      <c r="A15" s="75">
        <v>40546</v>
      </c>
      <c r="B15" s="8" t="s">
        <v>328</v>
      </c>
      <c r="C15" s="22">
        <v>971.64</v>
      </c>
    </row>
    <row r="16" spans="1:8" x14ac:dyDescent="0.25">
      <c r="A16" s="75">
        <v>40567</v>
      </c>
      <c r="B16" s="8" t="s">
        <v>312</v>
      </c>
      <c r="C16" s="22">
        <v>242.91</v>
      </c>
    </row>
    <row r="17" spans="1:3" x14ac:dyDescent="0.25">
      <c r="A17" s="75">
        <v>40566</v>
      </c>
      <c r="B17" s="8" t="s">
        <v>328</v>
      </c>
      <c r="C17" s="22">
        <v>1439.3999999999999</v>
      </c>
    </row>
    <row r="18" spans="1:3" x14ac:dyDescent="0.25">
      <c r="A18" s="75">
        <v>40563</v>
      </c>
      <c r="B18" s="8" t="s">
        <v>328</v>
      </c>
      <c r="C18" s="22">
        <v>146.92999999999998</v>
      </c>
    </row>
    <row r="19" spans="1:3" x14ac:dyDescent="0.25">
      <c r="A19" s="75">
        <v>40568</v>
      </c>
      <c r="B19" s="8" t="s">
        <v>3</v>
      </c>
      <c r="C19" s="22">
        <v>1349.5</v>
      </c>
    </row>
    <row r="20" spans="1:3" x14ac:dyDescent="0.25">
      <c r="A20" s="75">
        <v>40558</v>
      </c>
      <c r="B20" s="8" t="s">
        <v>132</v>
      </c>
      <c r="C20" s="22">
        <v>383.84</v>
      </c>
    </row>
    <row r="21" spans="1:3" x14ac:dyDescent="0.25">
      <c r="A21" s="75">
        <v>40568</v>
      </c>
      <c r="B21" s="8" t="s">
        <v>328</v>
      </c>
      <c r="C21" s="22">
        <v>643.71999999999991</v>
      </c>
    </row>
    <row r="22" spans="1:3" x14ac:dyDescent="0.25">
      <c r="A22" s="75">
        <v>40549</v>
      </c>
      <c r="B22" s="8" t="s">
        <v>132</v>
      </c>
      <c r="C22" s="22">
        <v>1006.4699999999999</v>
      </c>
    </row>
    <row r="23" spans="1:3" x14ac:dyDescent="0.25">
      <c r="A23" s="75">
        <v>40567</v>
      </c>
      <c r="B23" s="8" t="s">
        <v>312</v>
      </c>
      <c r="C23" s="22">
        <v>1646.3899999999999</v>
      </c>
    </row>
    <row r="24" spans="1:3" x14ac:dyDescent="0.25">
      <c r="A24" s="75">
        <v>40566</v>
      </c>
      <c r="B24" s="8" t="s">
        <v>136</v>
      </c>
      <c r="C24" s="22">
        <v>482.77</v>
      </c>
    </row>
    <row r="25" spans="1:3" x14ac:dyDescent="0.25">
      <c r="A25" s="75">
        <v>40545</v>
      </c>
      <c r="B25" s="8" t="s">
        <v>3</v>
      </c>
      <c r="C25" s="22">
        <v>303.83999999999997</v>
      </c>
    </row>
    <row r="26" spans="1:3" x14ac:dyDescent="0.25">
      <c r="A26" s="75">
        <v>40557</v>
      </c>
      <c r="B26" s="8" t="s">
        <v>7</v>
      </c>
      <c r="C26" s="22">
        <v>1160.57</v>
      </c>
    </row>
    <row r="27" spans="1:3" x14ac:dyDescent="0.25">
      <c r="A27" s="75">
        <v>40569</v>
      </c>
      <c r="B27" s="8" t="s">
        <v>312</v>
      </c>
      <c r="C27" s="22">
        <v>608.70999999999992</v>
      </c>
    </row>
    <row r="28" spans="1:3" x14ac:dyDescent="0.25">
      <c r="A28" s="75">
        <v>40556</v>
      </c>
      <c r="B28" s="8" t="s">
        <v>3</v>
      </c>
      <c r="C28" s="22">
        <v>1439.3999999999999</v>
      </c>
    </row>
    <row r="29" spans="1:3" x14ac:dyDescent="0.25">
      <c r="A29" s="75">
        <v>40571</v>
      </c>
      <c r="B29" s="8" t="s">
        <v>312</v>
      </c>
      <c r="C29" s="22">
        <v>455.80999999999995</v>
      </c>
    </row>
    <row r="30" spans="1:3" x14ac:dyDescent="0.25">
      <c r="A30" s="75">
        <v>40557</v>
      </c>
      <c r="B30" s="8" t="s">
        <v>328</v>
      </c>
      <c r="C30" s="22">
        <v>782.70999999999992</v>
      </c>
    </row>
    <row r="31" spans="1:3" x14ac:dyDescent="0.25">
      <c r="A31" s="75">
        <v>40568</v>
      </c>
      <c r="B31" s="8" t="s">
        <v>328</v>
      </c>
      <c r="C31" s="22">
        <v>503.78999999999996</v>
      </c>
    </row>
    <row r="32" spans="1:3" x14ac:dyDescent="0.25">
      <c r="A32" s="75">
        <v>40563</v>
      </c>
      <c r="B32" s="8" t="s">
        <v>136</v>
      </c>
      <c r="C32" s="22">
        <v>643.71999999999991</v>
      </c>
    </row>
    <row r="33" spans="1:3" x14ac:dyDescent="0.25">
      <c r="A33" s="75">
        <v>40552</v>
      </c>
      <c r="B33" s="8" t="s">
        <v>312</v>
      </c>
      <c r="C33" s="22">
        <v>854.55</v>
      </c>
    </row>
    <row r="34" spans="1:3" x14ac:dyDescent="0.25">
      <c r="A34" s="75">
        <v>40568</v>
      </c>
      <c r="B34" s="8" t="s">
        <v>136</v>
      </c>
      <c r="C34" s="22">
        <v>296.89</v>
      </c>
    </row>
    <row r="35" spans="1:3" x14ac:dyDescent="0.25">
      <c r="A35" s="75">
        <v>40545</v>
      </c>
      <c r="B35" s="8" t="s">
        <v>3</v>
      </c>
      <c r="C35" s="22">
        <v>1217.4199999999998</v>
      </c>
    </row>
    <row r="36" spans="1:3" x14ac:dyDescent="0.25">
      <c r="A36" s="75">
        <v>40548</v>
      </c>
      <c r="B36" s="8" t="s">
        <v>7</v>
      </c>
      <c r="C36" s="22">
        <v>1310.4299999999998</v>
      </c>
    </row>
    <row r="37" spans="1:3" x14ac:dyDescent="0.25">
      <c r="A37" s="75">
        <v>40548</v>
      </c>
      <c r="B37" s="8" t="s">
        <v>132</v>
      </c>
      <c r="C37" s="22">
        <v>818.6099999999999</v>
      </c>
    </row>
    <row r="38" spans="1:3" x14ac:dyDescent="0.25">
      <c r="A38" s="75">
        <v>40568</v>
      </c>
      <c r="B38" s="8" t="s">
        <v>7</v>
      </c>
      <c r="C38" s="22">
        <v>311.87</v>
      </c>
    </row>
    <row r="39" spans="1:3" x14ac:dyDescent="0.25">
      <c r="A39" s="75">
        <v>40548</v>
      </c>
      <c r="B39" s="8" t="s">
        <v>7</v>
      </c>
      <c r="C39" s="22">
        <v>1457.4599999999998</v>
      </c>
    </row>
    <row r="40" spans="1:3" x14ac:dyDescent="0.25">
      <c r="A40" s="75">
        <v>40552</v>
      </c>
      <c r="B40" s="8" t="s">
        <v>328</v>
      </c>
      <c r="C40" s="22">
        <v>239.89999999999998</v>
      </c>
    </row>
    <row r="41" spans="1:3" x14ac:dyDescent="0.25">
      <c r="A41" s="75">
        <v>40556</v>
      </c>
      <c r="B41" s="8" t="s">
        <v>136</v>
      </c>
      <c r="C41" s="22">
        <v>1177.3799999999999</v>
      </c>
    </row>
    <row r="42" spans="1:3" x14ac:dyDescent="0.25">
      <c r="A42" s="75">
        <v>40561</v>
      </c>
      <c r="B42" s="8" t="s">
        <v>136</v>
      </c>
      <c r="C42" s="22">
        <v>968.4899999999999</v>
      </c>
    </row>
    <row r="43" spans="1:3" x14ac:dyDescent="0.25">
      <c r="A43" s="75">
        <v>40555</v>
      </c>
      <c r="B43" s="8" t="s">
        <v>312</v>
      </c>
      <c r="C43" s="22">
        <v>505.78</v>
      </c>
    </row>
    <row r="44" spans="1:3" x14ac:dyDescent="0.25">
      <c r="A44" s="75">
        <v>40555</v>
      </c>
      <c r="B44" s="8" t="s">
        <v>3</v>
      </c>
      <c r="C44" s="22">
        <v>1149.5</v>
      </c>
    </row>
    <row r="45" spans="1:3" x14ac:dyDescent="0.25">
      <c r="A45" s="75">
        <v>40553</v>
      </c>
      <c r="B45" s="8" t="s">
        <v>136</v>
      </c>
      <c r="C45" s="22">
        <v>215.91</v>
      </c>
    </row>
    <row r="46" spans="1:3" x14ac:dyDescent="0.25">
      <c r="A46" s="75">
        <v>40544</v>
      </c>
      <c r="B46" s="8" t="s">
        <v>312</v>
      </c>
      <c r="C46" s="22">
        <v>551.76</v>
      </c>
    </row>
    <row r="47" spans="1:3" x14ac:dyDescent="0.25">
      <c r="A47" s="75">
        <v>40560</v>
      </c>
      <c r="B47" s="8" t="s">
        <v>312</v>
      </c>
      <c r="C47" s="22">
        <v>1133.58</v>
      </c>
    </row>
    <row r="48" spans="1:3" x14ac:dyDescent="0.25">
      <c r="A48" s="75">
        <v>40545</v>
      </c>
      <c r="B48" s="8" t="s">
        <v>132</v>
      </c>
      <c r="C48" s="22">
        <v>390.83</v>
      </c>
    </row>
    <row r="49" spans="1:3" x14ac:dyDescent="0.25">
      <c r="A49" s="75">
        <v>40572</v>
      </c>
      <c r="B49" s="8" t="s">
        <v>132</v>
      </c>
      <c r="C49" s="22">
        <v>459.79999999999995</v>
      </c>
    </row>
    <row r="50" spans="1:3" x14ac:dyDescent="0.25">
      <c r="A50" s="75">
        <v>40569</v>
      </c>
      <c r="B50" s="8" t="s">
        <v>3</v>
      </c>
      <c r="C50" s="22">
        <v>539.79999999999995</v>
      </c>
    </row>
    <row r="51" spans="1:3" x14ac:dyDescent="0.25">
      <c r="A51" s="75">
        <v>40556</v>
      </c>
      <c r="B51" s="8" t="s">
        <v>328</v>
      </c>
      <c r="C51" s="22">
        <v>208.89</v>
      </c>
    </row>
    <row r="52" spans="1:3" x14ac:dyDescent="0.25">
      <c r="A52" s="75">
        <v>40545</v>
      </c>
      <c r="B52" s="8" t="s">
        <v>7</v>
      </c>
      <c r="C52" s="22">
        <v>593.78</v>
      </c>
    </row>
    <row r="53" spans="1:3" x14ac:dyDescent="0.25">
      <c r="A53" s="75">
        <v>40566</v>
      </c>
      <c r="B53" s="8" t="s">
        <v>136</v>
      </c>
      <c r="C53" s="22">
        <v>436.80999999999995</v>
      </c>
    </row>
    <row r="54" spans="1:3" x14ac:dyDescent="0.25">
      <c r="A54" s="75">
        <v>40564</v>
      </c>
      <c r="B54" s="8" t="s">
        <v>328</v>
      </c>
      <c r="C54" s="22">
        <v>767.68</v>
      </c>
    </row>
    <row r="55" spans="1:3" x14ac:dyDescent="0.25">
      <c r="A55" s="75">
        <v>40551</v>
      </c>
      <c r="B55" s="8" t="s">
        <v>132</v>
      </c>
      <c r="C55" s="22">
        <v>701.74</v>
      </c>
    </row>
    <row r="56" spans="1:3" x14ac:dyDescent="0.25">
      <c r="A56" s="75">
        <v>40562</v>
      </c>
      <c r="B56" s="8" t="s">
        <v>312</v>
      </c>
      <c r="C56" s="22">
        <v>1538.4299999999998</v>
      </c>
    </row>
    <row r="57" spans="1:3" x14ac:dyDescent="0.25">
      <c r="A57" s="75">
        <v>40567</v>
      </c>
      <c r="B57" s="8" t="s">
        <v>136</v>
      </c>
      <c r="C57" s="22">
        <v>1082.4299999999998</v>
      </c>
    </row>
    <row r="58" spans="1:3" x14ac:dyDescent="0.25">
      <c r="A58" s="75">
        <v>40555</v>
      </c>
      <c r="B58" s="8" t="s">
        <v>7</v>
      </c>
      <c r="C58" s="22">
        <v>1592.4099999999999</v>
      </c>
    </row>
    <row r="59" spans="1:3" x14ac:dyDescent="0.25">
      <c r="A59" s="75">
        <v>40554</v>
      </c>
      <c r="B59" s="8" t="s">
        <v>132</v>
      </c>
      <c r="C59" s="22">
        <v>344.84999999999997</v>
      </c>
    </row>
    <row r="60" spans="1:3" x14ac:dyDescent="0.25">
      <c r="A60" s="75">
        <v>40566</v>
      </c>
      <c r="B60" s="8" t="s">
        <v>132</v>
      </c>
      <c r="C60" s="22">
        <v>1349.5</v>
      </c>
    </row>
    <row r="61" spans="1:3" x14ac:dyDescent="0.25">
      <c r="A61" s="75">
        <v>40566</v>
      </c>
      <c r="B61" s="8" t="s">
        <v>328</v>
      </c>
      <c r="C61" s="22">
        <v>608.70999999999992</v>
      </c>
    </row>
    <row r="62" spans="1:3" x14ac:dyDescent="0.25">
      <c r="A62" s="75">
        <v>40573</v>
      </c>
      <c r="B62" s="8" t="s">
        <v>132</v>
      </c>
      <c r="C62" s="22">
        <v>482.77</v>
      </c>
    </row>
    <row r="63" spans="1:3" x14ac:dyDescent="0.25">
      <c r="A63" s="75">
        <v>40548</v>
      </c>
      <c r="B63" s="8" t="s">
        <v>132</v>
      </c>
      <c r="C63" s="22">
        <v>229.89999999999998</v>
      </c>
    </row>
    <row r="64" spans="1:3" x14ac:dyDescent="0.25">
      <c r="A64" s="75">
        <v>40572</v>
      </c>
      <c r="B64" s="8" t="s">
        <v>3</v>
      </c>
      <c r="C64" s="22">
        <v>759.59999999999991</v>
      </c>
    </row>
    <row r="65" spans="1:3" x14ac:dyDescent="0.25">
      <c r="A65" s="75">
        <v>40548</v>
      </c>
      <c r="B65" s="8" t="s">
        <v>3</v>
      </c>
      <c r="C65" s="22">
        <v>482.77</v>
      </c>
    </row>
    <row r="66" spans="1:3" x14ac:dyDescent="0.25">
      <c r="A66" s="75">
        <v>40568</v>
      </c>
      <c r="B66" s="8" t="s">
        <v>136</v>
      </c>
      <c r="C66" s="22">
        <v>229.89999999999998</v>
      </c>
    </row>
    <row r="67" spans="1:3" x14ac:dyDescent="0.25">
      <c r="A67" s="75">
        <v>40560</v>
      </c>
      <c r="B67" s="8" t="s">
        <v>132</v>
      </c>
      <c r="C67" s="22">
        <v>1268.53</v>
      </c>
    </row>
    <row r="68" spans="1:3" x14ac:dyDescent="0.25">
      <c r="A68" s="75">
        <v>40565</v>
      </c>
      <c r="B68" s="8" t="s">
        <v>132</v>
      </c>
      <c r="C68" s="22">
        <v>1215.3599999999999</v>
      </c>
    </row>
    <row r="69" spans="1:3" x14ac:dyDescent="0.25">
      <c r="A69" s="75">
        <v>40573</v>
      </c>
      <c r="B69" s="8" t="s">
        <v>136</v>
      </c>
      <c r="C69" s="22">
        <v>229.89999999999998</v>
      </c>
    </row>
    <row r="70" spans="1:3" x14ac:dyDescent="0.25">
      <c r="A70" s="75">
        <v>40551</v>
      </c>
      <c r="B70" s="8" t="s">
        <v>132</v>
      </c>
      <c r="C70" s="22">
        <v>1448.37</v>
      </c>
    </row>
    <row r="71" spans="1:3" x14ac:dyDescent="0.25">
      <c r="A71" s="75">
        <v>40557</v>
      </c>
      <c r="B71" s="8" t="s">
        <v>328</v>
      </c>
      <c r="C71" s="22">
        <v>1195.48</v>
      </c>
    </row>
    <row r="72" spans="1:3" x14ac:dyDescent="0.25">
      <c r="A72" s="75">
        <v>40552</v>
      </c>
      <c r="B72" s="8" t="s">
        <v>132</v>
      </c>
      <c r="C72" s="22">
        <v>417.78</v>
      </c>
    </row>
    <row r="73" spans="1:3" x14ac:dyDescent="0.25">
      <c r="A73" s="75">
        <v>40565</v>
      </c>
      <c r="B73" s="8" t="s">
        <v>132</v>
      </c>
      <c r="C73" s="22">
        <v>550.70999999999992</v>
      </c>
    </row>
    <row r="74" spans="1:3" x14ac:dyDescent="0.25">
      <c r="A74" s="75">
        <v>40553</v>
      </c>
      <c r="B74" s="8" t="s">
        <v>328</v>
      </c>
      <c r="C74" s="22">
        <v>1149.5</v>
      </c>
    </row>
    <row r="75" spans="1:3" x14ac:dyDescent="0.25">
      <c r="A75" s="75">
        <v>40569</v>
      </c>
      <c r="B75" s="8" t="s">
        <v>3</v>
      </c>
      <c r="C75" s="22">
        <v>1049.5</v>
      </c>
    </row>
    <row r="76" spans="1:3" x14ac:dyDescent="0.25">
      <c r="A76" s="75">
        <v>40557</v>
      </c>
      <c r="B76" s="8" t="s">
        <v>3</v>
      </c>
      <c r="C76" s="22">
        <v>1151.52</v>
      </c>
    </row>
    <row r="77" spans="1:3" x14ac:dyDescent="0.25">
      <c r="A77" s="75">
        <v>40556</v>
      </c>
      <c r="B77" s="8" t="s">
        <v>136</v>
      </c>
      <c r="C77" s="22">
        <v>728.7299999999999</v>
      </c>
    </row>
    <row r="78" spans="1:3" x14ac:dyDescent="0.25">
      <c r="A78" s="75">
        <v>40555</v>
      </c>
      <c r="B78" s="8" t="s">
        <v>132</v>
      </c>
      <c r="C78" s="22">
        <v>137.94</v>
      </c>
    </row>
    <row r="79" spans="1:3" x14ac:dyDescent="0.25">
      <c r="A79" s="75">
        <v>40571</v>
      </c>
      <c r="B79" s="8" t="s">
        <v>136</v>
      </c>
      <c r="C79" s="22">
        <v>1487.3799999999999</v>
      </c>
    </row>
    <row r="80" spans="1:3" x14ac:dyDescent="0.25">
      <c r="A80" s="75">
        <v>40565</v>
      </c>
      <c r="B80" s="8" t="s">
        <v>3</v>
      </c>
      <c r="C80" s="22">
        <v>239.89999999999998</v>
      </c>
    </row>
    <row r="81" spans="1:3" x14ac:dyDescent="0.25">
      <c r="A81" s="75">
        <v>40547</v>
      </c>
      <c r="B81" s="8" t="s">
        <v>328</v>
      </c>
      <c r="C81" s="22">
        <v>791.67</v>
      </c>
    </row>
    <row r="82" spans="1:3" x14ac:dyDescent="0.25">
      <c r="A82" s="75">
        <v>40569</v>
      </c>
      <c r="B82" s="8" t="s">
        <v>3</v>
      </c>
      <c r="C82" s="22">
        <v>458.83</v>
      </c>
    </row>
    <row r="83" spans="1:3" x14ac:dyDescent="0.25">
      <c r="A83" s="75">
        <v>40562</v>
      </c>
      <c r="B83" s="8" t="s">
        <v>328</v>
      </c>
      <c r="C83" s="22">
        <v>229.89999999999998</v>
      </c>
    </row>
    <row r="84" spans="1:3" x14ac:dyDescent="0.25">
      <c r="A84" s="75">
        <v>40544</v>
      </c>
      <c r="B84" s="8" t="s">
        <v>132</v>
      </c>
      <c r="C84" s="22">
        <v>191.92</v>
      </c>
    </row>
    <row r="85" spans="1:3" x14ac:dyDescent="0.25">
      <c r="A85" s="75">
        <v>40549</v>
      </c>
      <c r="B85" s="8" t="s">
        <v>136</v>
      </c>
      <c r="C85" s="22">
        <v>629.69999999999993</v>
      </c>
    </row>
    <row r="86" spans="1:3" x14ac:dyDescent="0.25">
      <c r="A86" s="75">
        <v>40551</v>
      </c>
      <c r="B86" s="8" t="s">
        <v>3</v>
      </c>
      <c r="C86" s="22">
        <v>527.78</v>
      </c>
    </row>
    <row r="87" spans="1:3" x14ac:dyDescent="0.25">
      <c r="A87" s="75">
        <v>40571</v>
      </c>
      <c r="B87" s="8" t="s">
        <v>132</v>
      </c>
      <c r="C87" s="22">
        <v>809.69999999999993</v>
      </c>
    </row>
    <row r="88" spans="1:3" x14ac:dyDescent="0.25">
      <c r="A88" s="75">
        <v>40555</v>
      </c>
      <c r="B88" s="8" t="s">
        <v>328</v>
      </c>
      <c r="C88" s="22">
        <v>1471.36</v>
      </c>
    </row>
    <row r="89" spans="1:3" x14ac:dyDescent="0.25">
      <c r="A89" s="75">
        <v>40553</v>
      </c>
      <c r="B89" s="8" t="s">
        <v>7</v>
      </c>
      <c r="C89" s="22">
        <v>1160.57</v>
      </c>
    </row>
    <row r="90" spans="1:3" x14ac:dyDescent="0.25">
      <c r="A90" s="75">
        <v>40571</v>
      </c>
      <c r="B90" s="8" t="s">
        <v>132</v>
      </c>
      <c r="C90" s="22">
        <v>1034.55</v>
      </c>
    </row>
    <row r="91" spans="1:3" x14ac:dyDescent="0.25">
      <c r="A91" s="75">
        <v>40565</v>
      </c>
      <c r="B91" s="8" t="s">
        <v>136</v>
      </c>
      <c r="C91" s="22">
        <v>1079.55</v>
      </c>
    </row>
    <row r="92" spans="1:3" x14ac:dyDescent="0.25">
      <c r="A92" s="75">
        <v>40568</v>
      </c>
      <c r="B92" s="8" t="s">
        <v>3</v>
      </c>
      <c r="C92" s="22">
        <v>1044.4499999999998</v>
      </c>
    </row>
    <row r="93" spans="1:3" x14ac:dyDescent="0.25">
      <c r="A93" s="75">
        <v>40561</v>
      </c>
      <c r="B93" s="8" t="s">
        <v>132</v>
      </c>
      <c r="C93" s="22">
        <v>1177.3799999999999</v>
      </c>
    </row>
    <row r="94" spans="1:3" x14ac:dyDescent="0.25">
      <c r="A94" s="75">
        <v>40549</v>
      </c>
      <c r="B94" s="8" t="s">
        <v>328</v>
      </c>
      <c r="C94" s="22">
        <v>263.89</v>
      </c>
    </row>
    <row r="95" spans="1:3" x14ac:dyDescent="0.25">
      <c r="A95" s="75">
        <v>40569</v>
      </c>
      <c r="B95" s="8" t="s">
        <v>136</v>
      </c>
      <c r="C95" s="22">
        <v>458.83</v>
      </c>
    </row>
    <row r="96" spans="1:3" x14ac:dyDescent="0.25">
      <c r="A96" s="75">
        <v>40554</v>
      </c>
      <c r="B96" s="8" t="s">
        <v>7</v>
      </c>
      <c r="C96" s="22">
        <v>1310.4299999999998</v>
      </c>
    </row>
    <row r="97" spans="1:3" x14ac:dyDescent="0.25">
      <c r="A97" s="75">
        <v>40563</v>
      </c>
      <c r="B97" s="8" t="s">
        <v>312</v>
      </c>
      <c r="C97" s="22">
        <v>1215.3599999999999</v>
      </c>
    </row>
    <row r="98" spans="1:3" x14ac:dyDescent="0.25">
      <c r="A98" s="75">
        <v>40566</v>
      </c>
      <c r="B98" s="8" t="s">
        <v>328</v>
      </c>
      <c r="C98" s="22">
        <v>836.68999999999994</v>
      </c>
    </row>
    <row r="99" spans="1:3" x14ac:dyDescent="0.25">
      <c r="A99" s="75">
        <v>40563</v>
      </c>
      <c r="B99" s="8" t="s">
        <v>136</v>
      </c>
      <c r="C99" s="22">
        <v>440.78999999999996</v>
      </c>
    </row>
    <row r="100" spans="1:3" x14ac:dyDescent="0.25">
      <c r="A100" s="75">
        <v>40546</v>
      </c>
      <c r="B100" s="8" t="s">
        <v>136</v>
      </c>
      <c r="C100" s="22">
        <v>863.68</v>
      </c>
    </row>
    <row r="101" spans="1:3" x14ac:dyDescent="0.25">
      <c r="A101" s="75">
        <v>40548</v>
      </c>
      <c r="B101" s="8" t="s">
        <v>328</v>
      </c>
      <c r="C101" s="22">
        <v>1127.53</v>
      </c>
    </row>
    <row r="102" spans="1:3" x14ac:dyDescent="0.25">
      <c r="A102" s="75">
        <v>40554</v>
      </c>
      <c r="B102" s="8" t="s">
        <v>328</v>
      </c>
      <c r="C102" s="22">
        <v>436.80999999999995</v>
      </c>
    </row>
    <row r="103" spans="1:3" x14ac:dyDescent="0.25">
      <c r="A103" s="75">
        <v>40571</v>
      </c>
      <c r="B103" s="8" t="s">
        <v>7</v>
      </c>
      <c r="C103" s="22">
        <v>335.85999999999996</v>
      </c>
    </row>
    <row r="104" spans="1:3" x14ac:dyDescent="0.25">
      <c r="A104" s="75">
        <v>40548</v>
      </c>
      <c r="B104" s="8" t="s">
        <v>312</v>
      </c>
      <c r="C104" s="22">
        <v>265.85999999999996</v>
      </c>
    </row>
    <row r="105" spans="1:3" x14ac:dyDescent="0.25">
      <c r="A105" s="75">
        <v>40558</v>
      </c>
      <c r="B105" s="8" t="s">
        <v>136</v>
      </c>
      <c r="C105" s="22">
        <v>1484.4499999999998</v>
      </c>
    </row>
    <row r="106" spans="1:3" x14ac:dyDescent="0.25">
      <c r="A106" s="75">
        <v>40547</v>
      </c>
      <c r="B106" s="8" t="s">
        <v>3</v>
      </c>
      <c r="C106" s="22">
        <v>702.63</v>
      </c>
    </row>
  </sheetData>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18">
    <tabColor rgb="FF0000FF"/>
  </sheetPr>
  <dimension ref="A1:K107"/>
  <sheetViews>
    <sheetView topLeftCell="B1" workbookViewId="0">
      <selection activeCell="G7" sqref="G7"/>
    </sheetView>
  </sheetViews>
  <sheetFormatPr defaultColWidth="9.28515625"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9" max="9" width="3" customWidth="1"/>
  </cols>
  <sheetData>
    <row r="1" spans="1:11" x14ac:dyDescent="0.25">
      <c r="A1" s="134" t="s">
        <v>0</v>
      </c>
      <c r="B1" s="134" t="s">
        <v>302</v>
      </c>
      <c r="C1" s="134" t="s">
        <v>303</v>
      </c>
      <c r="D1" s="134" t="s">
        <v>1</v>
      </c>
      <c r="E1" s="134" t="s">
        <v>304</v>
      </c>
      <c r="F1" s="134" t="s">
        <v>305</v>
      </c>
      <c r="G1" s="134" t="s">
        <v>37</v>
      </c>
      <c r="H1" s="134" t="s">
        <v>175</v>
      </c>
      <c r="J1" s="8" t="s">
        <v>120</v>
      </c>
      <c r="K1" s="22">
        <f>AVERAGE(G2:G106)</f>
        <v>813.59371428571421</v>
      </c>
    </row>
    <row r="2" spans="1:11" x14ac:dyDescent="0.25">
      <c r="A2" s="75">
        <v>40555</v>
      </c>
      <c r="B2" s="248" t="s">
        <v>319</v>
      </c>
      <c r="C2" s="8" t="s">
        <v>307</v>
      </c>
      <c r="D2" s="8" t="s">
        <v>328</v>
      </c>
      <c r="E2" s="8" t="s">
        <v>322</v>
      </c>
      <c r="F2" s="8">
        <v>36</v>
      </c>
      <c r="G2" s="22">
        <v>971.64</v>
      </c>
      <c r="H2" s="22">
        <v>522</v>
      </c>
    </row>
    <row r="3" spans="1:11" x14ac:dyDescent="0.25">
      <c r="A3" s="75">
        <v>40554</v>
      </c>
      <c r="B3" s="248" t="s">
        <v>319</v>
      </c>
      <c r="C3" s="8" t="s">
        <v>307</v>
      </c>
      <c r="D3" s="8" t="s">
        <v>132</v>
      </c>
      <c r="E3" s="8" t="s">
        <v>335</v>
      </c>
      <c r="F3" s="8">
        <v>62</v>
      </c>
      <c r="G3" s="22">
        <v>1673.3799999999999</v>
      </c>
      <c r="H3" s="22">
        <v>899</v>
      </c>
    </row>
    <row r="4" spans="1:11" x14ac:dyDescent="0.25">
      <c r="A4" s="75">
        <v>40549</v>
      </c>
      <c r="B4" s="248" t="s">
        <v>319</v>
      </c>
      <c r="C4" s="8" t="s">
        <v>307</v>
      </c>
      <c r="D4" s="8" t="s">
        <v>312</v>
      </c>
      <c r="E4" s="8" t="s">
        <v>324</v>
      </c>
      <c r="F4" s="8">
        <v>50</v>
      </c>
      <c r="G4" s="22">
        <v>1349.5</v>
      </c>
      <c r="H4" s="22">
        <v>725</v>
      </c>
    </row>
    <row r="5" spans="1:11" x14ac:dyDescent="0.25">
      <c r="A5" s="75">
        <v>40546</v>
      </c>
      <c r="B5" s="248" t="s">
        <v>315</v>
      </c>
      <c r="C5" s="8" t="s">
        <v>310</v>
      </c>
      <c r="D5" s="8" t="s">
        <v>328</v>
      </c>
      <c r="E5" s="8" t="s">
        <v>341</v>
      </c>
      <c r="F5" s="8">
        <v>59</v>
      </c>
      <c r="G5" s="22">
        <v>1415.4099999999999</v>
      </c>
      <c r="H5" s="22">
        <v>649</v>
      </c>
    </row>
    <row r="6" spans="1:11" x14ac:dyDescent="0.25">
      <c r="A6" s="75">
        <v>40559</v>
      </c>
      <c r="B6" s="248" t="s">
        <v>315</v>
      </c>
      <c r="C6" s="8" t="s">
        <v>308</v>
      </c>
      <c r="D6" s="8" t="s">
        <v>312</v>
      </c>
      <c r="E6" s="8" t="s">
        <v>316</v>
      </c>
      <c r="F6" s="8">
        <v>53</v>
      </c>
      <c r="G6" s="22">
        <v>1271.47</v>
      </c>
      <c r="H6" s="22">
        <v>583</v>
      </c>
    </row>
    <row r="7" spans="1:11" x14ac:dyDescent="0.25">
      <c r="A7" s="75">
        <v>40567</v>
      </c>
      <c r="B7" s="248" t="s">
        <v>311</v>
      </c>
      <c r="C7" s="8" t="s">
        <v>309</v>
      </c>
      <c r="D7" s="8" t="s">
        <v>136</v>
      </c>
      <c r="E7" s="8" t="s">
        <v>429</v>
      </c>
      <c r="F7" s="8">
        <v>41</v>
      </c>
      <c r="G7" s="22">
        <v>778.58999999999992</v>
      </c>
      <c r="H7" s="22">
        <v>328</v>
      </c>
    </row>
    <row r="8" spans="1:11" x14ac:dyDescent="0.25">
      <c r="A8" s="75">
        <v>40553</v>
      </c>
      <c r="B8" s="248" t="s">
        <v>321</v>
      </c>
      <c r="C8" s="8" t="s">
        <v>308</v>
      </c>
      <c r="D8" s="8" t="s">
        <v>132</v>
      </c>
      <c r="E8" s="8" t="s">
        <v>428</v>
      </c>
      <c r="F8" s="8">
        <v>13</v>
      </c>
      <c r="G8" s="22">
        <v>298.87</v>
      </c>
      <c r="H8" s="22">
        <v>130</v>
      </c>
    </row>
    <row r="9" spans="1:11" x14ac:dyDescent="0.25">
      <c r="A9" s="75">
        <v>40567</v>
      </c>
      <c r="B9" s="248" t="s">
        <v>319</v>
      </c>
      <c r="C9" s="8" t="s">
        <v>310</v>
      </c>
      <c r="D9" s="8" t="s">
        <v>132</v>
      </c>
      <c r="E9" s="8" t="s">
        <v>322</v>
      </c>
      <c r="F9" s="8">
        <v>56</v>
      </c>
      <c r="G9" s="22">
        <v>1511.4399999999998</v>
      </c>
      <c r="H9" s="22">
        <v>812</v>
      </c>
    </row>
    <row r="10" spans="1:11" x14ac:dyDescent="0.25">
      <c r="A10" s="75">
        <v>40556</v>
      </c>
      <c r="B10" s="248" t="s">
        <v>311</v>
      </c>
      <c r="C10" s="8" t="s">
        <v>307</v>
      </c>
      <c r="D10" s="8" t="s">
        <v>328</v>
      </c>
      <c r="E10" s="8" t="s">
        <v>338</v>
      </c>
      <c r="F10" s="8">
        <v>50</v>
      </c>
      <c r="G10" s="22">
        <v>949.49999999999989</v>
      </c>
      <c r="H10" s="22">
        <v>400</v>
      </c>
    </row>
    <row r="11" spans="1:11" x14ac:dyDescent="0.25">
      <c r="A11" s="75">
        <v>40568</v>
      </c>
      <c r="B11" s="248" t="s">
        <v>311</v>
      </c>
      <c r="C11" s="8" t="s">
        <v>308</v>
      </c>
      <c r="D11" s="8" t="s">
        <v>132</v>
      </c>
      <c r="E11" s="8" t="s">
        <v>329</v>
      </c>
      <c r="F11" s="8">
        <v>26</v>
      </c>
      <c r="G11" s="22">
        <v>493.73999999999995</v>
      </c>
      <c r="H11" s="22">
        <v>208</v>
      </c>
    </row>
    <row r="12" spans="1:11" x14ac:dyDescent="0.25">
      <c r="A12" s="75">
        <v>40553</v>
      </c>
      <c r="B12" s="248" t="s">
        <v>321</v>
      </c>
      <c r="C12" s="8" t="s">
        <v>307</v>
      </c>
      <c r="D12" s="8" t="s">
        <v>136</v>
      </c>
      <c r="E12" s="8" t="s">
        <v>335</v>
      </c>
      <c r="F12" s="8">
        <v>26</v>
      </c>
      <c r="G12" s="22">
        <v>597.74</v>
      </c>
      <c r="H12" s="22">
        <v>260</v>
      </c>
    </row>
    <row r="13" spans="1:11" x14ac:dyDescent="0.25">
      <c r="A13" s="75">
        <v>40572</v>
      </c>
      <c r="B13" s="248" t="s">
        <v>317</v>
      </c>
      <c r="C13" s="8" t="s">
        <v>310</v>
      </c>
      <c r="D13" s="8" t="s">
        <v>328</v>
      </c>
      <c r="E13" s="8" t="s">
        <v>342</v>
      </c>
      <c r="F13" s="8">
        <v>53</v>
      </c>
      <c r="G13" s="22">
        <v>1112.47</v>
      </c>
      <c r="H13" s="22">
        <v>490.25</v>
      </c>
    </row>
    <row r="14" spans="1:11" x14ac:dyDescent="0.25">
      <c r="A14" s="75">
        <v>40560</v>
      </c>
      <c r="B14" s="248" t="s">
        <v>319</v>
      </c>
      <c r="C14" s="8" t="s">
        <v>307</v>
      </c>
      <c r="D14" s="8" t="s">
        <v>136</v>
      </c>
      <c r="E14" s="8" t="s">
        <v>334</v>
      </c>
      <c r="F14" s="8">
        <v>43</v>
      </c>
      <c r="G14" s="22">
        <v>1160.57</v>
      </c>
      <c r="H14" s="22">
        <v>623.5</v>
      </c>
    </row>
    <row r="15" spans="1:11" x14ac:dyDescent="0.25">
      <c r="A15" s="75">
        <v>40546</v>
      </c>
      <c r="B15" s="248" t="s">
        <v>319</v>
      </c>
      <c r="C15" s="8" t="s">
        <v>308</v>
      </c>
      <c r="D15" s="8" t="s">
        <v>328</v>
      </c>
      <c r="E15" s="8" t="s">
        <v>324</v>
      </c>
      <c r="F15" s="8">
        <v>36</v>
      </c>
      <c r="G15" s="22">
        <v>971.64</v>
      </c>
      <c r="H15" s="22">
        <v>522</v>
      </c>
    </row>
    <row r="16" spans="1:11" x14ac:dyDescent="0.25">
      <c r="A16" s="75">
        <v>40567</v>
      </c>
      <c r="B16" s="248" t="s">
        <v>319</v>
      </c>
      <c r="C16" s="8" t="s">
        <v>310</v>
      </c>
      <c r="D16" s="8" t="s">
        <v>312</v>
      </c>
      <c r="E16" s="8" t="s">
        <v>313</v>
      </c>
      <c r="F16" s="8">
        <v>9</v>
      </c>
      <c r="G16" s="22">
        <v>242.91</v>
      </c>
      <c r="H16" s="22">
        <v>130.5</v>
      </c>
    </row>
    <row r="17" spans="1:8" x14ac:dyDescent="0.25">
      <c r="A17" s="75">
        <v>40566</v>
      </c>
      <c r="B17" s="248" t="s">
        <v>315</v>
      </c>
      <c r="C17" s="8" t="s">
        <v>310</v>
      </c>
      <c r="D17" s="8" t="s">
        <v>328</v>
      </c>
      <c r="E17" s="8" t="s">
        <v>323</v>
      </c>
      <c r="F17" s="8">
        <v>60</v>
      </c>
      <c r="G17" s="22">
        <v>1439.3999999999999</v>
      </c>
      <c r="H17" s="22">
        <v>660</v>
      </c>
    </row>
    <row r="18" spans="1:8" x14ac:dyDescent="0.25">
      <c r="A18" s="75">
        <v>40563</v>
      </c>
      <c r="B18" s="248" t="s">
        <v>317</v>
      </c>
      <c r="C18" s="8" t="s">
        <v>307</v>
      </c>
      <c r="D18" s="8" t="s">
        <v>328</v>
      </c>
      <c r="E18" s="8" t="s">
        <v>332</v>
      </c>
      <c r="F18" s="8">
        <v>7</v>
      </c>
      <c r="G18" s="22">
        <v>146.92999999999998</v>
      </c>
      <c r="H18" s="22">
        <v>64.75</v>
      </c>
    </row>
    <row r="19" spans="1:8" x14ac:dyDescent="0.25">
      <c r="A19" s="75">
        <v>40568</v>
      </c>
      <c r="B19" s="248" t="s">
        <v>319</v>
      </c>
      <c r="C19" s="8" t="s">
        <v>307</v>
      </c>
      <c r="D19" s="8" t="s">
        <v>3</v>
      </c>
      <c r="E19" s="8" t="s">
        <v>329</v>
      </c>
      <c r="F19" s="8">
        <v>50</v>
      </c>
      <c r="G19" s="22">
        <v>1349.5</v>
      </c>
      <c r="H19" s="22">
        <v>725</v>
      </c>
    </row>
    <row r="20" spans="1:8" x14ac:dyDescent="0.25">
      <c r="A20" s="75">
        <v>40558</v>
      </c>
      <c r="B20" s="248" t="s">
        <v>315</v>
      </c>
      <c r="C20" s="8" t="s">
        <v>309</v>
      </c>
      <c r="D20" s="8" t="s">
        <v>132</v>
      </c>
      <c r="E20" s="8" t="s">
        <v>334</v>
      </c>
      <c r="F20" s="8">
        <v>16</v>
      </c>
      <c r="G20" s="22">
        <v>383.84</v>
      </c>
      <c r="H20" s="22">
        <v>176</v>
      </c>
    </row>
    <row r="21" spans="1:8" x14ac:dyDescent="0.25">
      <c r="A21" s="75">
        <v>40568</v>
      </c>
      <c r="B21" s="248" t="s">
        <v>321</v>
      </c>
      <c r="C21" s="8" t="s">
        <v>308</v>
      </c>
      <c r="D21" s="8" t="s">
        <v>328</v>
      </c>
      <c r="E21" s="8" t="s">
        <v>320</v>
      </c>
      <c r="F21" s="8">
        <v>28</v>
      </c>
      <c r="G21" s="22">
        <v>643.71999999999991</v>
      </c>
      <c r="H21" s="22">
        <v>280</v>
      </c>
    </row>
    <row r="22" spans="1:8" x14ac:dyDescent="0.25">
      <c r="A22" s="75">
        <v>40549</v>
      </c>
      <c r="B22" s="248" t="s">
        <v>311</v>
      </c>
      <c r="C22" s="8" t="s">
        <v>310</v>
      </c>
      <c r="D22" s="8" t="s">
        <v>132</v>
      </c>
      <c r="E22" s="8" t="s">
        <v>342</v>
      </c>
      <c r="F22" s="8">
        <v>53</v>
      </c>
      <c r="G22" s="22">
        <v>1006.4699999999999</v>
      </c>
      <c r="H22" s="22">
        <v>424</v>
      </c>
    </row>
    <row r="23" spans="1:8" x14ac:dyDescent="0.25">
      <c r="A23" s="75">
        <v>40567</v>
      </c>
      <c r="B23" s="248" t="s">
        <v>319</v>
      </c>
      <c r="C23" s="8" t="s">
        <v>308</v>
      </c>
      <c r="D23" s="8" t="s">
        <v>312</v>
      </c>
      <c r="E23" s="8" t="s">
        <v>337</v>
      </c>
      <c r="F23" s="8">
        <v>61</v>
      </c>
      <c r="G23" s="22">
        <v>1646.3899999999999</v>
      </c>
      <c r="H23" s="22">
        <v>884.5</v>
      </c>
    </row>
    <row r="24" spans="1:8" x14ac:dyDescent="0.25">
      <c r="A24" s="75">
        <v>40566</v>
      </c>
      <c r="B24" s="248" t="s">
        <v>317</v>
      </c>
      <c r="C24" s="8" t="s">
        <v>308</v>
      </c>
      <c r="D24" s="8" t="s">
        <v>136</v>
      </c>
      <c r="E24" s="8" t="s">
        <v>429</v>
      </c>
      <c r="F24" s="8">
        <v>23</v>
      </c>
      <c r="G24" s="22">
        <v>482.77</v>
      </c>
      <c r="H24" s="22">
        <v>212.75</v>
      </c>
    </row>
    <row r="25" spans="1:8" x14ac:dyDescent="0.25">
      <c r="A25" s="75">
        <v>40545</v>
      </c>
      <c r="B25" s="248" t="s">
        <v>311</v>
      </c>
      <c r="C25" s="8" t="s">
        <v>309</v>
      </c>
      <c r="D25" s="8" t="s">
        <v>3</v>
      </c>
      <c r="E25" s="8" t="s">
        <v>322</v>
      </c>
      <c r="F25" s="8">
        <v>16</v>
      </c>
      <c r="G25" s="22">
        <v>303.83999999999997</v>
      </c>
      <c r="H25" s="22">
        <v>128</v>
      </c>
    </row>
    <row r="26" spans="1:8" x14ac:dyDescent="0.25">
      <c r="A26" s="75">
        <v>40557</v>
      </c>
      <c r="B26" s="248" t="s">
        <v>319</v>
      </c>
      <c r="C26" s="8" t="s">
        <v>309</v>
      </c>
      <c r="D26" s="8" t="s">
        <v>7</v>
      </c>
      <c r="E26" s="8" t="s">
        <v>342</v>
      </c>
      <c r="F26" s="8">
        <v>43</v>
      </c>
      <c r="G26" s="22">
        <v>1160.57</v>
      </c>
      <c r="H26" s="22">
        <v>623.5</v>
      </c>
    </row>
    <row r="27" spans="1:8" x14ac:dyDescent="0.25">
      <c r="A27" s="75">
        <v>40569</v>
      </c>
      <c r="B27" s="248" t="s">
        <v>317</v>
      </c>
      <c r="C27" s="8" t="s">
        <v>307</v>
      </c>
      <c r="D27" s="8" t="s">
        <v>312</v>
      </c>
      <c r="E27" s="8" t="s">
        <v>322</v>
      </c>
      <c r="F27" s="8">
        <v>29</v>
      </c>
      <c r="G27" s="22">
        <v>608.70999999999992</v>
      </c>
      <c r="H27" s="22">
        <v>268.25</v>
      </c>
    </row>
    <row r="28" spans="1:8" x14ac:dyDescent="0.25">
      <c r="A28" s="75">
        <v>40556</v>
      </c>
      <c r="B28" s="248" t="s">
        <v>315</v>
      </c>
      <c r="C28" s="8" t="s">
        <v>307</v>
      </c>
      <c r="D28" s="8" t="s">
        <v>3</v>
      </c>
      <c r="E28" s="8" t="s">
        <v>323</v>
      </c>
      <c r="F28" s="8">
        <v>60</v>
      </c>
      <c r="G28" s="22">
        <v>1439.3999999999999</v>
      </c>
      <c r="H28" s="22">
        <v>660</v>
      </c>
    </row>
    <row r="29" spans="1:8" x14ac:dyDescent="0.25">
      <c r="A29" s="75">
        <v>40571</v>
      </c>
      <c r="B29" s="248" t="s">
        <v>315</v>
      </c>
      <c r="C29" s="8" t="s">
        <v>310</v>
      </c>
      <c r="D29" s="8" t="s">
        <v>312</v>
      </c>
      <c r="E29" s="8" t="s">
        <v>318</v>
      </c>
      <c r="F29" s="8">
        <v>19</v>
      </c>
      <c r="G29" s="22">
        <v>455.80999999999995</v>
      </c>
      <c r="H29" s="22">
        <v>209</v>
      </c>
    </row>
    <row r="30" spans="1:8" x14ac:dyDescent="0.25">
      <c r="A30" s="75">
        <v>40557</v>
      </c>
      <c r="B30" s="248" t="s">
        <v>319</v>
      </c>
      <c r="C30" s="8" t="s">
        <v>308</v>
      </c>
      <c r="D30" s="8" t="s">
        <v>328</v>
      </c>
      <c r="E30" s="8" t="s">
        <v>323</v>
      </c>
      <c r="F30" s="8">
        <v>29</v>
      </c>
      <c r="G30" s="22">
        <v>782.70999999999992</v>
      </c>
      <c r="H30" s="22">
        <v>420.5</v>
      </c>
    </row>
    <row r="31" spans="1:8" x14ac:dyDescent="0.25">
      <c r="A31" s="75">
        <v>40568</v>
      </c>
      <c r="B31" s="248" t="s">
        <v>315</v>
      </c>
      <c r="C31" s="8" t="s">
        <v>310</v>
      </c>
      <c r="D31" s="8" t="s">
        <v>328</v>
      </c>
      <c r="E31" s="8" t="s">
        <v>318</v>
      </c>
      <c r="F31" s="8">
        <v>21</v>
      </c>
      <c r="G31" s="22">
        <v>503.78999999999996</v>
      </c>
      <c r="H31" s="22">
        <v>231</v>
      </c>
    </row>
    <row r="32" spans="1:8" x14ac:dyDescent="0.25">
      <c r="A32" s="75">
        <v>40563</v>
      </c>
      <c r="B32" s="248" t="s">
        <v>321</v>
      </c>
      <c r="C32" s="8" t="s">
        <v>310</v>
      </c>
      <c r="D32" s="8" t="s">
        <v>136</v>
      </c>
      <c r="E32" s="8" t="s">
        <v>340</v>
      </c>
      <c r="F32" s="8">
        <v>28</v>
      </c>
      <c r="G32" s="22">
        <v>643.71999999999991</v>
      </c>
      <c r="H32" s="22">
        <v>280</v>
      </c>
    </row>
    <row r="33" spans="1:8" x14ac:dyDescent="0.25">
      <c r="A33" s="75">
        <v>40552</v>
      </c>
      <c r="B33" s="248" t="s">
        <v>311</v>
      </c>
      <c r="C33" s="8" t="s">
        <v>309</v>
      </c>
      <c r="D33" s="8" t="s">
        <v>312</v>
      </c>
      <c r="E33" s="8" t="s">
        <v>325</v>
      </c>
      <c r="F33" s="8">
        <v>45</v>
      </c>
      <c r="G33" s="22">
        <v>854.55</v>
      </c>
      <c r="H33" s="22">
        <v>360</v>
      </c>
    </row>
    <row r="34" spans="1:8" x14ac:dyDescent="0.25">
      <c r="A34" s="75">
        <v>40568</v>
      </c>
      <c r="B34" s="248" t="s">
        <v>319</v>
      </c>
      <c r="C34" s="8" t="s">
        <v>308</v>
      </c>
      <c r="D34" s="8" t="s">
        <v>136</v>
      </c>
      <c r="E34" s="8" t="s">
        <v>429</v>
      </c>
      <c r="F34" s="8">
        <v>11</v>
      </c>
      <c r="G34" s="22">
        <v>296.89</v>
      </c>
      <c r="H34" s="22">
        <v>159.5</v>
      </c>
    </row>
    <row r="35" spans="1:8" x14ac:dyDescent="0.25">
      <c r="A35" s="75">
        <v>40545</v>
      </c>
      <c r="B35" s="248" t="s">
        <v>317</v>
      </c>
      <c r="C35" s="8" t="s">
        <v>310</v>
      </c>
      <c r="D35" s="8" t="s">
        <v>3</v>
      </c>
      <c r="E35" s="8" t="s">
        <v>347</v>
      </c>
      <c r="F35" s="8">
        <v>58</v>
      </c>
      <c r="G35" s="22">
        <v>1217.4199999999998</v>
      </c>
      <c r="H35" s="22">
        <v>536.5</v>
      </c>
    </row>
    <row r="36" spans="1:8" x14ac:dyDescent="0.25">
      <c r="A36" s="75">
        <v>40548</v>
      </c>
      <c r="B36" s="248" t="s">
        <v>321</v>
      </c>
      <c r="C36" s="8" t="s">
        <v>308</v>
      </c>
      <c r="D36" s="8" t="s">
        <v>7</v>
      </c>
      <c r="E36" s="8" t="s">
        <v>337</v>
      </c>
      <c r="F36" s="8">
        <v>57</v>
      </c>
      <c r="G36" s="22">
        <v>1310.4299999999998</v>
      </c>
      <c r="H36" s="22">
        <v>570</v>
      </c>
    </row>
    <row r="37" spans="1:8" x14ac:dyDescent="0.25">
      <c r="A37" s="75">
        <v>40548</v>
      </c>
      <c r="B37" s="248" t="s">
        <v>317</v>
      </c>
      <c r="C37" s="8" t="s">
        <v>310</v>
      </c>
      <c r="D37" s="8" t="s">
        <v>132</v>
      </c>
      <c r="E37" s="8" t="s">
        <v>347</v>
      </c>
      <c r="F37" s="8">
        <v>39</v>
      </c>
      <c r="G37" s="22">
        <v>818.6099999999999</v>
      </c>
      <c r="H37" s="22">
        <v>360.75</v>
      </c>
    </row>
    <row r="38" spans="1:8" x14ac:dyDescent="0.25">
      <c r="A38" s="75">
        <v>40568</v>
      </c>
      <c r="B38" s="248" t="s">
        <v>315</v>
      </c>
      <c r="C38" s="8" t="s">
        <v>308</v>
      </c>
      <c r="D38" s="8" t="s">
        <v>7</v>
      </c>
      <c r="E38" s="8" t="s">
        <v>314</v>
      </c>
      <c r="F38" s="8">
        <v>13</v>
      </c>
      <c r="G38" s="22">
        <v>311.87</v>
      </c>
      <c r="H38" s="22">
        <v>143</v>
      </c>
    </row>
    <row r="39" spans="1:8" x14ac:dyDescent="0.25">
      <c r="A39" s="75">
        <v>40548</v>
      </c>
      <c r="B39" s="248" t="s">
        <v>319</v>
      </c>
      <c r="C39" s="8" t="s">
        <v>308</v>
      </c>
      <c r="D39" s="8" t="s">
        <v>7</v>
      </c>
      <c r="E39" s="8" t="s">
        <v>329</v>
      </c>
      <c r="F39" s="8">
        <v>54</v>
      </c>
      <c r="G39" s="22">
        <v>1457.4599999999998</v>
      </c>
      <c r="H39" s="22">
        <v>783</v>
      </c>
    </row>
    <row r="40" spans="1:8" x14ac:dyDescent="0.25">
      <c r="A40" s="75">
        <v>40552</v>
      </c>
      <c r="B40" s="248" t="s">
        <v>315</v>
      </c>
      <c r="C40" s="8" t="s">
        <v>307</v>
      </c>
      <c r="D40" s="8" t="s">
        <v>328</v>
      </c>
      <c r="E40" s="8" t="s">
        <v>324</v>
      </c>
      <c r="F40" s="8">
        <v>10</v>
      </c>
      <c r="G40" s="22">
        <v>239.89999999999998</v>
      </c>
      <c r="H40" s="22">
        <v>110</v>
      </c>
    </row>
    <row r="41" spans="1:8" x14ac:dyDescent="0.25">
      <c r="A41" s="75">
        <v>40556</v>
      </c>
      <c r="B41" s="248" t="s">
        <v>311</v>
      </c>
      <c r="C41" s="8" t="s">
        <v>310</v>
      </c>
      <c r="D41" s="8" t="s">
        <v>136</v>
      </c>
      <c r="E41" s="8" t="s">
        <v>320</v>
      </c>
      <c r="F41" s="8">
        <v>62</v>
      </c>
      <c r="G41" s="22">
        <v>1177.3799999999999</v>
      </c>
      <c r="H41" s="22">
        <v>496</v>
      </c>
    </row>
    <row r="42" spans="1:8" x14ac:dyDescent="0.25">
      <c r="A42" s="75">
        <v>40561</v>
      </c>
      <c r="B42" s="248" t="s">
        <v>311</v>
      </c>
      <c r="C42" s="8" t="s">
        <v>307</v>
      </c>
      <c r="D42" s="8" t="s">
        <v>136</v>
      </c>
      <c r="E42" s="8" t="s">
        <v>332</v>
      </c>
      <c r="F42" s="8">
        <v>51</v>
      </c>
      <c r="G42" s="22">
        <v>968.4899999999999</v>
      </c>
      <c r="H42" s="22">
        <v>408</v>
      </c>
    </row>
    <row r="43" spans="1:8" x14ac:dyDescent="0.25">
      <c r="A43" s="75">
        <v>40555</v>
      </c>
      <c r="B43" s="248" t="s">
        <v>321</v>
      </c>
      <c r="C43" s="8" t="s">
        <v>308</v>
      </c>
      <c r="D43" s="8" t="s">
        <v>312</v>
      </c>
      <c r="E43" s="8" t="s">
        <v>325</v>
      </c>
      <c r="F43" s="8">
        <v>22</v>
      </c>
      <c r="G43" s="22">
        <v>505.78</v>
      </c>
      <c r="H43" s="22">
        <v>220</v>
      </c>
    </row>
    <row r="44" spans="1:8" x14ac:dyDescent="0.25">
      <c r="A44" s="75">
        <v>40555</v>
      </c>
      <c r="B44" s="248" t="s">
        <v>321</v>
      </c>
      <c r="C44" s="8" t="s">
        <v>310</v>
      </c>
      <c r="D44" s="8" t="s">
        <v>3</v>
      </c>
      <c r="E44" s="8" t="s">
        <v>330</v>
      </c>
      <c r="F44" s="8">
        <v>50</v>
      </c>
      <c r="G44" s="22">
        <v>1149.5</v>
      </c>
      <c r="H44" s="22">
        <v>500</v>
      </c>
    </row>
    <row r="45" spans="1:8" x14ac:dyDescent="0.25">
      <c r="A45" s="75">
        <v>40553</v>
      </c>
      <c r="B45" s="248" t="s">
        <v>315</v>
      </c>
      <c r="C45" s="8" t="s">
        <v>307</v>
      </c>
      <c r="D45" s="8" t="s">
        <v>136</v>
      </c>
      <c r="E45" s="8" t="s">
        <v>322</v>
      </c>
      <c r="F45" s="8">
        <v>9</v>
      </c>
      <c r="G45" s="22">
        <v>215.91</v>
      </c>
      <c r="H45" s="22">
        <v>99</v>
      </c>
    </row>
    <row r="46" spans="1:8" x14ac:dyDescent="0.25">
      <c r="A46" s="75">
        <v>40544</v>
      </c>
      <c r="B46" s="248" t="s">
        <v>321</v>
      </c>
      <c r="C46" s="8" t="s">
        <v>309</v>
      </c>
      <c r="D46" s="8" t="s">
        <v>312</v>
      </c>
      <c r="E46" s="8" t="s">
        <v>329</v>
      </c>
      <c r="F46" s="8">
        <v>24</v>
      </c>
      <c r="G46" s="22">
        <v>551.76</v>
      </c>
      <c r="H46" s="22">
        <v>240</v>
      </c>
    </row>
    <row r="47" spans="1:8" x14ac:dyDescent="0.25">
      <c r="A47" s="75">
        <v>40560</v>
      </c>
      <c r="B47" s="248" t="s">
        <v>319</v>
      </c>
      <c r="C47" s="8" t="s">
        <v>310</v>
      </c>
      <c r="D47" s="8" t="s">
        <v>312</v>
      </c>
      <c r="E47" s="8" t="s">
        <v>331</v>
      </c>
      <c r="F47" s="8">
        <v>42</v>
      </c>
      <c r="G47" s="22">
        <v>1133.58</v>
      </c>
      <c r="H47" s="22">
        <v>609</v>
      </c>
    </row>
    <row r="48" spans="1:8" x14ac:dyDescent="0.25">
      <c r="A48" s="75">
        <v>40545</v>
      </c>
      <c r="B48" s="248" t="s">
        <v>321</v>
      </c>
      <c r="C48" s="8" t="s">
        <v>310</v>
      </c>
      <c r="D48" s="8" t="s">
        <v>132</v>
      </c>
      <c r="E48" s="8" t="s">
        <v>313</v>
      </c>
      <c r="F48" s="8">
        <v>17</v>
      </c>
      <c r="G48" s="22">
        <v>390.83</v>
      </c>
      <c r="H48" s="22">
        <v>170</v>
      </c>
    </row>
    <row r="49" spans="1:8" x14ac:dyDescent="0.25">
      <c r="A49" s="75">
        <v>40572</v>
      </c>
      <c r="B49" s="248" t="s">
        <v>321</v>
      </c>
      <c r="C49" s="8" t="s">
        <v>309</v>
      </c>
      <c r="D49" s="8" t="s">
        <v>132</v>
      </c>
      <c r="E49" s="8" t="s">
        <v>325</v>
      </c>
      <c r="F49" s="8">
        <v>20</v>
      </c>
      <c r="G49" s="22">
        <v>459.79999999999995</v>
      </c>
      <c r="H49" s="22">
        <v>200</v>
      </c>
    </row>
    <row r="50" spans="1:8" x14ac:dyDescent="0.25">
      <c r="A50" s="75">
        <v>40569</v>
      </c>
      <c r="B50" s="248" t="s">
        <v>319</v>
      </c>
      <c r="C50" s="8" t="s">
        <v>310</v>
      </c>
      <c r="D50" s="8" t="s">
        <v>3</v>
      </c>
      <c r="E50" s="8" t="s">
        <v>336</v>
      </c>
      <c r="F50" s="8">
        <v>20</v>
      </c>
      <c r="G50" s="22">
        <v>539.79999999999995</v>
      </c>
      <c r="H50" s="22">
        <v>290</v>
      </c>
    </row>
    <row r="51" spans="1:8" x14ac:dyDescent="0.25">
      <c r="A51" s="75">
        <v>40556</v>
      </c>
      <c r="B51" s="248" t="s">
        <v>311</v>
      </c>
      <c r="C51" s="8" t="s">
        <v>307</v>
      </c>
      <c r="D51" s="8" t="s">
        <v>328</v>
      </c>
      <c r="E51" s="8" t="s">
        <v>326</v>
      </c>
      <c r="F51" s="8">
        <v>11</v>
      </c>
      <c r="G51" s="22">
        <v>208.89</v>
      </c>
      <c r="H51" s="22">
        <v>88</v>
      </c>
    </row>
    <row r="52" spans="1:8" x14ac:dyDescent="0.25">
      <c r="A52" s="75">
        <v>40545</v>
      </c>
      <c r="B52" s="248" t="s">
        <v>319</v>
      </c>
      <c r="C52" s="8" t="s">
        <v>309</v>
      </c>
      <c r="D52" s="8" t="s">
        <v>7</v>
      </c>
      <c r="E52" s="8" t="s">
        <v>322</v>
      </c>
      <c r="F52" s="8">
        <v>22</v>
      </c>
      <c r="G52" s="22">
        <v>593.78</v>
      </c>
      <c r="H52" s="22">
        <v>319</v>
      </c>
    </row>
    <row r="53" spans="1:8" x14ac:dyDescent="0.25">
      <c r="A53" s="75">
        <v>40566</v>
      </c>
      <c r="B53" s="248" t="s">
        <v>321</v>
      </c>
      <c r="C53" s="8" t="s">
        <v>310</v>
      </c>
      <c r="D53" s="8" t="s">
        <v>136</v>
      </c>
      <c r="E53" s="8" t="s">
        <v>333</v>
      </c>
      <c r="F53" s="8">
        <v>19</v>
      </c>
      <c r="G53" s="22">
        <v>436.80999999999995</v>
      </c>
      <c r="H53" s="22">
        <v>190</v>
      </c>
    </row>
    <row r="54" spans="1:8" x14ac:dyDescent="0.25">
      <c r="A54" s="75">
        <v>40564</v>
      </c>
      <c r="B54" s="248" t="s">
        <v>315</v>
      </c>
      <c r="C54" s="8" t="s">
        <v>307</v>
      </c>
      <c r="D54" s="8" t="s">
        <v>328</v>
      </c>
      <c r="E54" s="8" t="s">
        <v>337</v>
      </c>
      <c r="F54" s="8">
        <v>32</v>
      </c>
      <c r="G54" s="22">
        <v>767.68</v>
      </c>
      <c r="H54" s="22">
        <v>352</v>
      </c>
    </row>
    <row r="55" spans="1:8" x14ac:dyDescent="0.25">
      <c r="A55" s="75">
        <v>40551</v>
      </c>
      <c r="B55" s="248" t="s">
        <v>319</v>
      </c>
      <c r="C55" s="8" t="s">
        <v>309</v>
      </c>
      <c r="D55" s="8" t="s">
        <v>132</v>
      </c>
      <c r="E55" s="8" t="s">
        <v>344</v>
      </c>
      <c r="F55" s="8">
        <v>26</v>
      </c>
      <c r="G55" s="22">
        <v>701.74</v>
      </c>
      <c r="H55" s="22">
        <v>377</v>
      </c>
    </row>
    <row r="56" spans="1:8" x14ac:dyDescent="0.25">
      <c r="A56" s="75">
        <v>40562</v>
      </c>
      <c r="B56" s="248" t="s">
        <v>319</v>
      </c>
      <c r="C56" s="8" t="s">
        <v>309</v>
      </c>
      <c r="D56" s="8" t="s">
        <v>312</v>
      </c>
      <c r="E56" s="8" t="s">
        <v>343</v>
      </c>
      <c r="F56" s="8">
        <v>57</v>
      </c>
      <c r="G56" s="22">
        <v>1538.4299999999998</v>
      </c>
      <c r="H56" s="22">
        <v>826.5</v>
      </c>
    </row>
    <row r="57" spans="1:8" x14ac:dyDescent="0.25">
      <c r="A57" s="75">
        <v>40567</v>
      </c>
      <c r="B57" s="248" t="s">
        <v>311</v>
      </c>
      <c r="C57" s="8" t="s">
        <v>307</v>
      </c>
      <c r="D57" s="8" t="s">
        <v>136</v>
      </c>
      <c r="E57" s="8" t="s">
        <v>325</v>
      </c>
      <c r="F57" s="8">
        <v>57</v>
      </c>
      <c r="G57" s="22">
        <v>1082.4299999999998</v>
      </c>
      <c r="H57" s="22">
        <v>456</v>
      </c>
    </row>
    <row r="58" spans="1:8" x14ac:dyDescent="0.25">
      <c r="A58" s="75">
        <v>40555</v>
      </c>
      <c r="B58" s="248" t="s">
        <v>319</v>
      </c>
      <c r="C58" s="8" t="s">
        <v>307</v>
      </c>
      <c r="D58" s="8" t="s">
        <v>7</v>
      </c>
      <c r="E58" s="8" t="s">
        <v>432</v>
      </c>
      <c r="F58" s="8">
        <v>59</v>
      </c>
      <c r="G58" s="22">
        <v>1592.4099999999999</v>
      </c>
      <c r="H58" s="22">
        <v>855.5</v>
      </c>
    </row>
    <row r="59" spans="1:8" x14ac:dyDescent="0.25">
      <c r="A59" s="75">
        <v>40554</v>
      </c>
      <c r="B59" s="248" t="s">
        <v>321</v>
      </c>
      <c r="C59" s="8" t="s">
        <v>310</v>
      </c>
      <c r="D59" s="8" t="s">
        <v>132</v>
      </c>
      <c r="E59" s="8" t="s">
        <v>327</v>
      </c>
      <c r="F59" s="8">
        <v>15</v>
      </c>
      <c r="G59" s="22">
        <v>344.84999999999997</v>
      </c>
      <c r="H59" s="22">
        <v>150</v>
      </c>
    </row>
    <row r="60" spans="1:8" x14ac:dyDescent="0.25">
      <c r="A60" s="75">
        <v>40566</v>
      </c>
      <c r="B60" s="248" t="s">
        <v>319</v>
      </c>
      <c r="C60" s="8" t="s">
        <v>308</v>
      </c>
      <c r="D60" s="8" t="s">
        <v>132</v>
      </c>
      <c r="E60" s="8" t="s">
        <v>341</v>
      </c>
      <c r="F60" s="8">
        <v>50</v>
      </c>
      <c r="G60" s="22">
        <v>1349.5</v>
      </c>
      <c r="H60" s="22">
        <v>725</v>
      </c>
    </row>
    <row r="61" spans="1:8" x14ac:dyDescent="0.25">
      <c r="A61" s="75">
        <v>40566</v>
      </c>
      <c r="B61" s="248" t="s">
        <v>317</v>
      </c>
      <c r="C61" s="8" t="s">
        <v>307</v>
      </c>
      <c r="D61" s="8" t="s">
        <v>328</v>
      </c>
      <c r="E61" s="8" t="s">
        <v>330</v>
      </c>
      <c r="F61" s="8">
        <v>29</v>
      </c>
      <c r="G61" s="22">
        <v>608.70999999999992</v>
      </c>
      <c r="H61" s="22">
        <v>268.25</v>
      </c>
    </row>
    <row r="62" spans="1:8" x14ac:dyDescent="0.25">
      <c r="A62" s="75">
        <v>40573</v>
      </c>
      <c r="B62" s="248" t="s">
        <v>317</v>
      </c>
      <c r="C62" s="8" t="s">
        <v>309</v>
      </c>
      <c r="D62" s="8" t="s">
        <v>132</v>
      </c>
      <c r="E62" s="8" t="s">
        <v>345</v>
      </c>
      <c r="F62" s="8">
        <v>23</v>
      </c>
      <c r="G62" s="22">
        <v>482.77</v>
      </c>
      <c r="H62" s="22">
        <v>212.75</v>
      </c>
    </row>
    <row r="63" spans="1:8" x14ac:dyDescent="0.25">
      <c r="A63" s="75">
        <v>40548</v>
      </c>
      <c r="B63" s="248" t="s">
        <v>321</v>
      </c>
      <c r="C63" s="8" t="s">
        <v>307</v>
      </c>
      <c r="D63" s="8" t="s">
        <v>132</v>
      </c>
      <c r="E63" s="8" t="s">
        <v>346</v>
      </c>
      <c r="F63" s="8">
        <v>10</v>
      </c>
      <c r="G63" s="22">
        <v>229.89999999999998</v>
      </c>
      <c r="H63" s="22">
        <v>100</v>
      </c>
    </row>
    <row r="64" spans="1:8" x14ac:dyDescent="0.25">
      <c r="A64" s="75">
        <v>40572</v>
      </c>
      <c r="B64" s="248" t="s">
        <v>311</v>
      </c>
      <c r="C64" s="8" t="s">
        <v>307</v>
      </c>
      <c r="D64" s="8" t="s">
        <v>3</v>
      </c>
      <c r="E64" s="8" t="s">
        <v>325</v>
      </c>
      <c r="F64" s="8">
        <v>40</v>
      </c>
      <c r="G64" s="22">
        <v>759.59999999999991</v>
      </c>
      <c r="H64" s="22">
        <v>320</v>
      </c>
    </row>
    <row r="65" spans="1:8" x14ac:dyDescent="0.25">
      <c r="A65" s="75">
        <v>40548</v>
      </c>
      <c r="B65" s="248" t="s">
        <v>317</v>
      </c>
      <c r="C65" s="8" t="s">
        <v>310</v>
      </c>
      <c r="D65" s="8" t="s">
        <v>3</v>
      </c>
      <c r="E65" s="8" t="s">
        <v>330</v>
      </c>
      <c r="F65" s="8">
        <v>23</v>
      </c>
      <c r="G65" s="22">
        <v>482.77</v>
      </c>
      <c r="H65" s="22">
        <v>212.75</v>
      </c>
    </row>
    <row r="66" spans="1:8" x14ac:dyDescent="0.25">
      <c r="A66" s="75">
        <v>40568</v>
      </c>
      <c r="B66" s="248" t="s">
        <v>321</v>
      </c>
      <c r="C66" s="8" t="s">
        <v>308</v>
      </c>
      <c r="D66" s="8" t="s">
        <v>136</v>
      </c>
      <c r="E66" s="8" t="s">
        <v>341</v>
      </c>
      <c r="F66" s="8">
        <v>10</v>
      </c>
      <c r="G66" s="22">
        <v>229.89999999999998</v>
      </c>
      <c r="H66" s="22">
        <v>100</v>
      </c>
    </row>
    <row r="67" spans="1:8" x14ac:dyDescent="0.25">
      <c r="A67" s="75">
        <v>40560</v>
      </c>
      <c r="B67" s="248" t="s">
        <v>319</v>
      </c>
      <c r="C67" s="8" t="s">
        <v>309</v>
      </c>
      <c r="D67" s="8" t="s">
        <v>132</v>
      </c>
      <c r="E67" s="8" t="s">
        <v>313</v>
      </c>
      <c r="F67" s="8">
        <v>47</v>
      </c>
      <c r="G67" s="22">
        <v>1268.53</v>
      </c>
      <c r="H67" s="22">
        <v>681.5</v>
      </c>
    </row>
    <row r="68" spans="1:8" x14ac:dyDescent="0.25">
      <c r="A68" s="75">
        <v>40565</v>
      </c>
      <c r="B68" s="248" t="s">
        <v>311</v>
      </c>
      <c r="C68" s="8" t="s">
        <v>309</v>
      </c>
      <c r="D68" s="8" t="s">
        <v>132</v>
      </c>
      <c r="E68" s="8" t="s">
        <v>338</v>
      </c>
      <c r="F68" s="8">
        <v>64</v>
      </c>
      <c r="G68" s="22">
        <v>1215.3599999999999</v>
      </c>
      <c r="H68" s="22">
        <v>512</v>
      </c>
    </row>
    <row r="69" spans="1:8" x14ac:dyDescent="0.25">
      <c r="A69" s="75">
        <v>40573</v>
      </c>
      <c r="B69" s="248" t="s">
        <v>321</v>
      </c>
      <c r="C69" s="8" t="s">
        <v>308</v>
      </c>
      <c r="D69" s="8" t="s">
        <v>136</v>
      </c>
      <c r="E69" s="8" t="s">
        <v>318</v>
      </c>
      <c r="F69" s="8">
        <v>10</v>
      </c>
      <c r="G69" s="22">
        <v>229.89999999999998</v>
      </c>
      <c r="H69" s="22">
        <v>100</v>
      </c>
    </row>
    <row r="70" spans="1:8" x14ac:dyDescent="0.25">
      <c r="A70" s="75">
        <v>40551</v>
      </c>
      <c r="B70" s="248" t="s">
        <v>321</v>
      </c>
      <c r="C70" s="8" t="s">
        <v>310</v>
      </c>
      <c r="D70" s="8" t="s">
        <v>132</v>
      </c>
      <c r="E70" s="8" t="s">
        <v>348</v>
      </c>
      <c r="F70" s="8">
        <v>63</v>
      </c>
      <c r="G70" s="22">
        <v>1448.37</v>
      </c>
      <c r="H70" s="22">
        <v>630</v>
      </c>
    </row>
    <row r="71" spans="1:8" x14ac:dyDescent="0.25">
      <c r="A71" s="75">
        <v>40557</v>
      </c>
      <c r="B71" s="248" t="s">
        <v>321</v>
      </c>
      <c r="C71" s="8" t="s">
        <v>310</v>
      </c>
      <c r="D71" s="8" t="s">
        <v>328</v>
      </c>
      <c r="E71" s="8" t="s">
        <v>316</v>
      </c>
      <c r="F71" s="8">
        <v>52</v>
      </c>
      <c r="G71" s="22">
        <v>1195.48</v>
      </c>
      <c r="H71" s="22">
        <v>520</v>
      </c>
    </row>
    <row r="72" spans="1:8" x14ac:dyDescent="0.25">
      <c r="A72" s="75">
        <v>40552</v>
      </c>
      <c r="B72" s="248" t="s">
        <v>311</v>
      </c>
      <c r="C72" s="8" t="s">
        <v>310</v>
      </c>
      <c r="D72" s="8" t="s">
        <v>132</v>
      </c>
      <c r="E72" s="8" t="s">
        <v>337</v>
      </c>
      <c r="F72" s="8">
        <v>22</v>
      </c>
      <c r="G72" s="22">
        <v>417.78</v>
      </c>
      <c r="H72" s="22">
        <v>176</v>
      </c>
    </row>
    <row r="73" spans="1:8" x14ac:dyDescent="0.25">
      <c r="A73" s="75">
        <v>40565</v>
      </c>
      <c r="B73" s="248" t="s">
        <v>311</v>
      </c>
      <c r="C73" s="8" t="s">
        <v>308</v>
      </c>
      <c r="D73" s="8" t="s">
        <v>132</v>
      </c>
      <c r="E73" s="8" t="s">
        <v>314</v>
      </c>
      <c r="F73" s="8">
        <v>29</v>
      </c>
      <c r="G73" s="22">
        <v>550.70999999999992</v>
      </c>
      <c r="H73" s="22">
        <v>232</v>
      </c>
    </row>
    <row r="74" spans="1:8" x14ac:dyDescent="0.25">
      <c r="A74" s="75">
        <v>40553</v>
      </c>
      <c r="B74" s="248" t="s">
        <v>321</v>
      </c>
      <c r="C74" s="8" t="s">
        <v>308</v>
      </c>
      <c r="D74" s="8" t="s">
        <v>328</v>
      </c>
      <c r="E74" s="8" t="s">
        <v>322</v>
      </c>
      <c r="F74" s="8">
        <v>50</v>
      </c>
      <c r="G74" s="22">
        <v>1149.5</v>
      </c>
      <c r="H74" s="22">
        <v>500</v>
      </c>
    </row>
    <row r="75" spans="1:8" x14ac:dyDescent="0.25">
      <c r="A75" s="75">
        <v>40569</v>
      </c>
      <c r="B75" s="248" t="s">
        <v>317</v>
      </c>
      <c r="C75" s="8" t="s">
        <v>309</v>
      </c>
      <c r="D75" s="8" t="s">
        <v>3</v>
      </c>
      <c r="E75" s="8" t="s">
        <v>324</v>
      </c>
      <c r="F75" s="8">
        <v>50</v>
      </c>
      <c r="G75" s="22">
        <v>1049.5</v>
      </c>
      <c r="H75" s="22">
        <v>462.5</v>
      </c>
    </row>
    <row r="76" spans="1:8" x14ac:dyDescent="0.25">
      <c r="A76" s="75">
        <v>40557</v>
      </c>
      <c r="B76" s="248" t="s">
        <v>315</v>
      </c>
      <c r="C76" s="8" t="s">
        <v>310</v>
      </c>
      <c r="D76" s="8" t="s">
        <v>3</v>
      </c>
      <c r="E76" s="8" t="s">
        <v>336</v>
      </c>
      <c r="F76" s="8">
        <v>48</v>
      </c>
      <c r="G76" s="22">
        <v>1151.52</v>
      </c>
      <c r="H76" s="22">
        <v>528</v>
      </c>
    </row>
    <row r="77" spans="1:8" x14ac:dyDescent="0.25">
      <c r="A77" s="75">
        <v>40556</v>
      </c>
      <c r="B77" s="248" t="s">
        <v>319</v>
      </c>
      <c r="C77" s="8" t="s">
        <v>307</v>
      </c>
      <c r="D77" s="8" t="s">
        <v>136</v>
      </c>
      <c r="E77" s="8" t="s">
        <v>331</v>
      </c>
      <c r="F77" s="8">
        <v>27</v>
      </c>
      <c r="G77" s="22">
        <v>728.7299999999999</v>
      </c>
      <c r="H77" s="22">
        <v>391.5</v>
      </c>
    </row>
    <row r="78" spans="1:8" x14ac:dyDescent="0.25">
      <c r="A78" s="75">
        <v>40555</v>
      </c>
      <c r="B78" s="248" t="s">
        <v>321</v>
      </c>
      <c r="C78" s="8" t="s">
        <v>309</v>
      </c>
      <c r="D78" s="8" t="s">
        <v>132</v>
      </c>
      <c r="E78" s="8" t="s">
        <v>339</v>
      </c>
      <c r="F78" s="8">
        <v>6</v>
      </c>
      <c r="G78" s="22">
        <v>137.94</v>
      </c>
      <c r="H78" s="22">
        <v>60</v>
      </c>
    </row>
    <row r="79" spans="1:8" x14ac:dyDescent="0.25">
      <c r="A79" s="75">
        <v>40571</v>
      </c>
      <c r="B79" s="248" t="s">
        <v>315</v>
      </c>
      <c r="C79" s="8" t="s">
        <v>308</v>
      </c>
      <c r="D79" s="8" t="s">
        <v>136</v>
      </c>
      <c r="E79" s="8" t="s">
        <v>343</v>
      </c>
      <c r="F79" s="8">
        <v>62</v>
      </c>
      <c r="G79" s="22">
        <v>1487.3799999999999</v>
      </c>
      <c r="H79" s="22">
        <v>682</v>
      </c>
    </row>
    <row r="80" spans="1:8" x14ac:dyDescent="0.25">
      <c r="A80" s="75">
        <v>40565</v>
      </c>
      <c r="B80" s="248" t="s">
        <v>315</v>
      </c>
      <c r="C80" s="8" t="s">
        <v>308</v>
      </c>
      <c r="D80" s="8" t="s">
        <v>3</v>
      </c>
      <c r="E80" s="8" t="s">
        <v>342</v>
      </c>
      <c r="F80" s="8">
        <v>10</v>
      </c>
      <c r="G80" s="22">
        <v>239.89999999999998</v>
      </c>
      <c r="H80" s="22">
        <v>110</v>
      </c>
    </row>
    <row r="81" spans="1:8" x14ac:dyDescent="0.25">
      <c r="A81" s="75">
        <v>40547</v>
      </c>
      <c r="B81" s="248" t="s">
        <v>315</v>
      </c>
      <c r="C81" s="8" t="s">
        <v>307</v>
      </c>
      <c r="D81" s="8" t="s">
        <v>328</v>
      </c>
      <c r="E81" s="8" t="s">
        <v>341</v>
      </c>
      <c r="F81" s="8">
        <v>33</v>
      </c>
      <c r="G81" s="22">
        <v>791.67</v>
      </c>
      <c r="H81" s="22">
        <v>363</v>
      </c>
    </row>
    <row r="82" spans="1:8" x14ac:dyDescent="0.25">
      <c r="A82" s="75">
        <v>40569</v>
      </c>
      <c r="B82" s="248" t="s">
        <v>319</v>
      </c>
      <c r="C82" s="8" t="s">
        <v>310</v>
      </c>
      <c r="D82" s="8" t="s">
        <v>3</v>
      </c>
      <c r="E82" s="8" t="s">
        <v>333</v>
      </c>
      <c r="F82" s="8">
        <v>17</v>
      </c>
      <c r="G82" s="22">
        <v>458.83</v>
      </c>
      <c r="H82" s="22">
        <v>246.5</v>
      </c>
    </row>
    <row r="83" spans="1:8" x14ac:dyDescent="0.25">
      <c r="A83" s="75">
        <v>40562</v>
      </c>
      <c r="B83" s="248" t="s">
        <v>321</v>
      </c>
      <c r="C83" s="8" t="s">
        <v>310</v>
      </c>
      <c r="D83" s="8" t="s">
        <v>328</v>
      </c>
      <c r="E83" s="8" t="s">
        <v>345</v>
      </c>
      <c r="F83" s="8">
        <v>10</v>
      </c>
      <c r="G83" s="22">
        <v>229.89999999999998</v>
      </c>
      <c r="H83" s="22">
        <v>100</v>
      </c>
    </row>
    <row r="84" spans="1:8" x14ac:dyDescent="0.25">
      <c r="A84" s="75">
        <v>40544</v>
      </c>
      <c r="B84" s="248" t="s">
        <v>315</v>
      </c>
      <c r="C84" s="8" t="s">
        <v>307</v>
      </c>
      <c r="D84" s="8" t="s">
        <v>132</v>
      </c>
      <c r="E84" s="8" t="s">
        <v>341</v>
      </c>
      <c r="F84" s="8">
        <v>8</v>
      </c>
      <c r="G84" s="22">
        <v>191.92</v>
      </c>
      <c r="H84" s="22">
        <v>88</v>
      </c>
    </row>
    <row r="85" spans="1:8" x14ac:dyDescent="0.25">
      <c r="A85" s="75">
        <v>40549</v>
      </c>
      <c r="B85" s="248" t="s">
        <v>317</v>
      </c>
      <c r="C85" s="8" t="s">
        <v>308</v>
      </c>
      <c r="D85" s="8" t="s">
        <v>136</v>
      </c>
      <c r="E85" s="8" t="s">
        <v>342</v>
      </c>
      <c r="F85" s="8">
        <v>30</v>
      </c>
      <c r="G85" s="22">
        <v>629.69999999999993</v>
      </c>
      <c r="H85" s="22">
        <v>277.5</v>
      </c>
    </row>
    <row r="86" spans="1:8" x14ac:dyDescent="0.25">
      <c r="A86" s="75">
        <v>40551</v>
      </c>
      <c r="B86" s="248" t="s">
        <v>315</v>
      </c>
      <c r="C86" s="8" t="s">
        <v>309</v>
      </c>
      <c r="D86" s="8" t="s">
        <v>3</v>
      </c>
      <c r="E86" s="8" t="s">
        <v>322</v>
      </c>
      <c r="F86" s="8">
        <v>22</v>
      </c>
      <c r="G86" s="22">
        <v>527.78</v>
      </c>
      <c r="H86" s="22">
        <v>242</v>
      </c>
    </row>
    <row r="87" spans="1:8" x14ac:dyDescent="0.25">
      <c r="A87" s="75">
        <v>40571</v>
      </c>
      <c r="B87" s="248" t="s">
        <v>319</v>
      </c>
      <c r="C87" s="8" t="s">
        <v>308</v>
      </c>
      <c r="D87" s="8" t="s">
        <v>132</v>
      </c>
      <c r="E87" s="8" t="s">
        <v>324</v>
      </c>
      <c r="F87" s="8">
        <v>30</v>
      </c>
      <c r="G87" s="22">
        <v>809.69999999999993</v>
      </c>
      <c r="H87" s="22">
        <v>435</v>
      </c>
    </row>
    <row r="88" spans="1:8" x14ac:dyDescent="0.25">
      <c r="A88" s="75">
        <v>40555</v>
      </c>
      <c r="B88" s="248" t="s">
        <v>321</v>
      </c>
      <c r="C88" s="8" t="s">
        <v>308</v>
      </c>
      <c r="D88" s="8" t="s">
        <v>328</v>
      </c>
      <c r="E88" s="8" t="s">
        <v>314</v>
      </c>
      <c r="F88" s="8">
        <v>64</v>
      </c>
      <c r="G88" s="22">
        <v>1471.36</v>
      </c>
      <c r="H88" s="22">
        <v>640</v>
      </c>
    </row>
    <row r="89" spans="1:8" x14ac:dyDescent="0.25">
      <c r="A89" s="75">
        <v>40553</v>
      </c>
      <c r="B89" s="248" t="s">
        <v>319</v>
      </c>
      <c r="C89" s="8" t="s">
        <v>310</v>
      </c>
      <c r="D89" s="8" t="s">
        <v>7</v>
      </c>
      <c r="E89" s="8" t="s">
        <v>343</v>
      </c>
      <c r="F89" s="8">
        <v>43</v>
      </c>
      <c r="G89" s="22">
        <v>1160.57</v>
      </c>
      <c r="H89" s="22">
        <v>623.5</v>
      </c>
    </row>
    <row r="90" spans="1:8" x14ac:dyDescent="0.25">
      <c r="A90" s="75">
        <v>40571</v>
      </c>
      <c r="B90" s="248" t="s">
        <v>321</v>
      </c>
      <c r="C90" s="8" t="s">
        <v>307</v>
      </c>
      <c r="D90" s="8" t="s">
        <v>132</v>
      </c>
      <c r="E90" s="8" t="s">
        <v>322</v>
      </c>
      <c r="F90" s="8">
        <v>45</v>
      </c>
      <c r="G90" s="22">
        <v>1034.55</v>
      </c>
      <c r="H90" s="22">
        <v>450</v>
      </c>
    </row>
    <row r="91" spans="1:8" x14ac:dyDescent="0.25">
      <c r="A91" s="75">
        <v>40565</v>
      </c>
      <c r="B91" s="248" t="s">
        <v>315</v>
      </c>
      <c r="C91" s="8" t="s">
        <v>309</v>
      </c>
      <c r="D91" s="8" t="s">
        <v>136</v>
      </c>
      <c r="E91" s="8" t="s">
        <v>327</v>
      </c>
      <c r="F91" s="8">
        <v>45</v>
      </c>
      <c r="G91" s="22">
        <v>1079.55</v>
      </c>
      <c r="H91" s="22">
        <v>495</v>
      </c>
    </row>
    <row r="92" spans="1:8" x14ac:dyDescent="0.25">
      <c r="A92" s="75">
        <v>40568</v>
      </c>
      <c r="B92" s="248" t="s">
        <v>311</v>
      </c>
      <c r="C92" s="8" t="s">
        <v>308</v>
      </c>
      <c r="D92" s="8" t="s">
        <v>3</v>
      </c>
      <c r="E92" s="8" t="s">
        <v>326</v>
      </c>
      <c r="F92" s="8">
        <v>55</v>
      </c>
      <c r="G92" s="22">
        <v>1044.4499999999998</v>
      </c>
      <c r="H92" s="22">
        <v>440</v>
      </c>
    </row>
    <row r="93" spans="1:8" x14ac:dyDescent="0.25">
      <c r="A93" s="75">
        <v>40561</v>
      </c>
      <c r="B93" s="248" t="s">
        <v>311</v>
      </c>
      <c r="C93" s="8" t="s">
        <v>310</v>
      </c>
      <c r="D93" s="8" t="s">
        <v>132</v>
      </c>
      <c r="E93" s="8" t="s">
        <v>323</v>
      </c>
      <c r="F93" s="8">
        <v>62</v>
      </c>
      <c r="G93" s="22">
        <v>1177.3799999999999</v>
      </c>
      <c r="H93" s="22">
        <v>496</v>
      </c>
    </row>
    <row r="94" spans="1:8" x14ac:dyDescent="0.25">
      <c r="A94" s="75">
        <v>40549</v>
      </c>
      <c r="B94" s="248" t="s">
        <v>315</v>
      </c>
      <c r="C94" s="8" t="s">
        <v>308</v>
      </c>
      <c r="D94" s="8" t="s">
        <v>328</v>
      </c>
      <c r="E94" s="8" t="s">
        <v>324</v>
      </c>
      <c r="F94" s="8">
        <v>11</v>
      </c>
      <c r="G94" s="22">
        <v>263.89</v>
      </c>
      <c r="H94" s="22">
        <v>121</v>
      </c>
    </row>
    <row r="95" spans="1:8" x14ac:dyDescent="0.25">
      <c r="A95" s="75">
        <v>40569</v>
      </c>
      <c r="B95" s="248" t="s">
        <v>319</v>
      </c>
      <c r="C95" s="8" t="s">
        <v>308</v>
      </c>
      <c r="D95" s="8" t="s">
        <v>136</v>
      </c>
      <c r="E95" s="8" t="s">
        <v>325</v>
      </c>
      <c r="F95" s="8">
        <v>17</v>
      </c>
      <c r="G95" s="22">
        <v>458.83</v>
      </c>
      <c r="H95" s="22">
        <v>246.5</v>
      </c>
    </row>
    <row r="96" spans="1:8" x14ac:dyDescent="0.25">
      <c r="A96" s="75">
        <v>40554</v>
      </c>
      <c r="B96" s="248" t="s">
        <v>321</v>
      </c>
      <c r="C96" s="8" t="s">
        <v>309</v>
      </c>
      <c r="D96" s="8" t="s">
        <v>7</v>
      </c>
      <c r="E96" s="8" t="s">
        <v>341</v>
      </c>
      <c r="F96" s="8">
        <v>57</v>
      </c>
      <c r="G96" s="22">
        <v>1310.4299999999998</v>
      </c>
      <c r="H96" s="22">
        <v>570</v>
      </c>
    </row>
    <row r="97" spans="1:8" x14ac:dyDescent="0.25">
      <c r="A97" s="75">
        <v>40563</v>
      </c>
      <c r="B97" s="248" t="s">
        <v>311</v>
      </c>
      <c r="C97" s="8" t="s">
        <v>307</v>
      </c>
      <c r="D97" s="8" t="s">
        <v>312</v>
      </c>
      <c r="E97" s="8" t="s">
        <v>314</v>
      </c>
      <c r="F97" s="8">
        <v>64</v>
      </c>
      <c r="G97" s="22">
        <v>1215.3599999999999</v>
      </c>
      <c r="H97" s="22">
        <v>512</v>
      </c>
    </row>
    <row r="98" spans="1:8" x14ac:dyDescent="0.25">
      <c r="A98" s="75">
        <v>40566</v>
      </c>
      <c r="B98" s="248" t="s">
        <v>319</v>
      </c>
      <c r="C98" s="8" t="s">
        <v>309</v>
      </c>
      <c r="D98" s="8" t="s">
        <v>328</v>
      </c>
      <c r="E98" s="8" t="s">
        <v>347</v>
      </c>
      <c r="F98" s="8">
        <v>31</v>
      </c>
      <c r="G98" s="22">
        <v>836.68999999999994</v>
      </c>
      <c r="H98" s="22">
        <v>449.5</v>
      </c>
    </row>
    <row r="99" spans="1:8" x14ac:dyDescent="0.25">
      <c r="A99" s="75">
        <v>40563</v>
      </c>
      <c r="B99" s="248" t="s">
        <v>317</v>
      </c>
      <c r="C99" s="8" t="s">
        <v>310</v>
      </c>
      <c r="D99" s="8" t="s">
        <v>136</v>
      </c>
      <c r="E99" s="8" t="s">
        <v>337</v>
      </c>
      <c r="F99" s="8">
        <v>21</v>
      </c>
      <c r="G99" s="22">
        <v>440.78999999999996</v>
      </c>
      <c r="H99" s="22">
        <v>194.25</v>
      </c>
    </row>
    <row r="100" spans="1:8" x14ac:dyDescent="0.25">
      <c r="A100" s="75">
        <v>40546</v>
      </c>
      <c r="B100" s="248" t="s">
        <v>319</v>
      </c>
      <c r="C100" s="8" t="s">
        <v>310</v>
      </c>
      <c r="D100" s="8" t="s">
        <v>136</v>
      </c>
      <c r="E100" s="8" t="s">
        <v>332</v>
      </c>
      <c r="F100" s="8">
        <v>32</v>
      </c>
      <c r="G100" s="22">
        <v>863.68</v>
      </c>
      <c r="H100" s="22">
        <v>464</v>
      </c>
    </row>
    <row r="101" spans="1:8" x14ac:dyDescent="0.25">
      <c r="A101" s="75">
        <v>40548</v>
      </c>
      <c r="B101" s="248" t="s">
        <v>315</v>
      </c>
      <c r="C101" s="8" t="s">
        <v>308</v>
      </c>
      <c r="D101" s="8" t="s">
        <v>328</v>
      </c>
      <c r="E101" s="8" t="s">
        <v>325</v>
      </c>
      <c r="F101" s="8">
        <v>47</v>
      </c>
      <c r="G101" s="22">
        <v>1127.53</v>
      </c>
      <c r="H101" s="22">
        <v>517</v>
      </c>
    </row>
    <row r="102" spans="1:8" x14ac:dyDescent="0.25">
      <c r="A102" s="75">
        <v>40554</v>
      </c>
      <c r="B102" s="248" t="s">
        <v>321</v>
      </c>
      <c r="C102" s="8" t="s">
        <v>308</v>
      </c>
      <c r="D102" s="8" t="s">
        <v>328</v>
      </c>
      <c r="E102" s="8" t="s">
        <v>342</v>
      </c>
      <c r="F102" s="8">
        <v>19</v>
      </c>
      <c r="G102" s="22">
        <v>436.80999999999995</v>
      </c>
      <c r="H102" s="22">
        <v>190</v>
      </c>
    </row>
    <row r="103" spans="1:8" x14ac:dyDescent="0.25">
      <c r="A103" s="75">
        <v>40571</v>
      </c>
      <c r="B103" s="248" t="s">
        <v>315</v>
      </c>
      <c r="C103" s="8" t="s">
        <v>310</v>
      </c>
      <c r="D103" s="8" t="s">
        <v>7</v>
      </c>
      <c r="E103" s="8" t="s">
        <v>313</v>
      </c>
      <c r="F103" s="8">
        <v>14</v>
      </c>
      <c r="G103" s="22">
        <v>335.85999999999996</v>
      </c>
      <c r="H103" s="22">
        <v>154</v>
      </c>
    </row>
    <row r="104" spans="1:8" x14ac:dyDescent="0.25">
      <c r="A104" s="75">
        <v>40548</v>
      </c>
      <c r="B104" s="248" t="s">
        <v>311</v>
      </c>
      <c r="C104" s="8" t="s">
        <v>308</v>
      </c>
      <c r="D104" s="8" t="s">
        <v>312</v>
      </c>
      <c r="E104" s="8" t="s">
        <v>343</v>
      </c>
      <c r="F104" s="8">
        <v>14</v>
      </c>
      <c r="G104" s="22">
        <v>265.85999999999996</v>
      </c>
      <c r="H104" s="22">
        <v>112</v>
      </c>
    </row>
    <row r="105" spans="1:8" x14ac:dyDescent="0.25">
      <c r="A105" s="75">
        <v>40558</v>
      </c>
      <c r="B105" s="248" t="s">
        <v>319</v>
      </c>
      <c r="C105" s="8" t="s">
        <v>309</v>
      </c>
      <c r="D105" s="8" t="s">
        <v>136</v>
      </c>
      <c r="E105" s="8" t="s">
        <v>323</v>
      </c>
      <c r="F105" s="8">
        <v>55</v>
      </c>
      <c r="G105" s="22">
        <v>1484.4499999999998</v>
      </c>
      <c r="H105" s="22">
        <v>797.5</v>
      </c>
    </row>
    <row r="106" spans="1:8" x14ac:dyDescent="0.25">
      <c r="A106" s="75">
        <v>40547</v>
      </c>
      <c r="B106" s="248" t="s">
        <v>311</v>
      </c>
      <c r="C106" s="8" t="s">
        <v>308</v>
      </c>
      <c r="D106" s="8" t="s">
        <v>3</v>
      </c>
      <c r="E106" s="8" t="s">
        <v>333</v>
      </c>
      <c r="F106" s="8">
        <v>37</v>
      </c>
      <c r="G106" s="22">
        <v>702.63</v>
      </c>
      <c r="H106" s="22">
        <v>296</v>
      </c>
    </row>
    <row r="107" spans="1:8" x14ac:dyDescent="0.25">
      <c r="G107" s="32"/>
    </row>
  </sheetData>
  <autoFilter ref="A1:H106" xr:uid="{00000000-0009-0000-0000-00006C000000}"/>
  <dataConsolidate topLabels="1">
    <dataRefs count="2">
      <dataRef ref="A1:C6" sheet="Filter" r:id="rId1"/>
      <dataRef ref="A10:C15" sheet="Filter" r:id="rId2"/>
    </dataRefs>
  </dataConsolidate>
  <pageMargins left="0.7" right="0.7" top="0.75" bottom="0.75" header="0.3" footer="0.3"/>
  <pageSetup orientation="portrait" r:id="rId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19">
    <tabColor rgb="FF0000FF"/>
  </sheetPr>
  <dimension ref="A1"/>
  <sheetViews>
    <sheetView workbookViewId="0"/>
  </sheetViews>
  <sheetFormatPr defaultColWidth="9.28515625"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9" max="9" width="9.28515625" customWidth="1"/>
  </cols>
  <sheetData/>
  <dataConsolidate topLabels="1">
    <dataRefs count="2">
      <dataRef ref="A1:C6" sheet="Filter" r:id="rId1"/>
      <dataRef ref="A10:C15" sheet="Filter" r:id="rId2"/>
    </dataRefs>
  </dataConsolidate>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20">
    <tabColor rgb="FF0000FF"/>
  </sheetPr>
  <dimension ref="A1:H48"/>
  <sheetViews>
    <sheetView workbookViewId="0">
      <selection activeCell="B5" sqref="B5"/>
    </sheetView>
  </sheetViews>
  <sheetFormatPr defaultColWidth="9.28515625"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s>
  <sheetData>
    <row r="1" spans="1:8" x14ac:dyDescent="0.25">
      <c r="A1" s="134" t="s">
        <v>0</v>
      </c>
      <c r="B1" s="134" t="s">
        <v>302</v>
      </c>
      <c r="C1" s="134" t="s">
        <v>303</v>
      </c>
      <c r="D1" s="134" t="s">
        <v>1</v>
      </c>
      <c r="E1" s="134" t="s">
        <v>304</v>
      </c>
      <c r="F1" s="134" t="s">
        <v>305</v>
      </c>
      <c r="G1" s="134" t="s">
        <v>37</v>
      </c>
      <c r="H1" s="134" t="s">
        <v>175</v>
      </c>
    </row>
    <row r="2" spans="1:8" x14ac:dyDescent="0.25">
      <c r="A2" s="75">
        <v>40555</v>
      </c>
      <c r="B2" s="8" t="s">
        <v>319</v>
      </c>
      <c r="C2" s="8" t="s">
        <v>307</v>
      </c>
      <c r="D2" s="8" t="s">
        <v>328</v>
      </c>
      <c r="E2" s="8" t="s">
        <v>322</v>
      </c>
      <c r="F2" s="8">
        <v>36</v>
      </c>
      <c r="G2" s="22">
        <v>971.64</v>
      </c>
      <c r="H2" s="22">
        <v>522</v>
      </c>
    </row>
    <row r="3" spans="1:8" x14ac:dyDescent="0.25">
      <c r="A3" s="75">
        <v>40554</v>
      </c>
      <c r="B3" s="8" t="s">
        <v>319</v>
      </c>
      <c r="C3" s="8" t="s">
        <v>307</v>
      </c>
      <c r="D3" s="8" t="s">
        <v>132</v>
      </c>
      <c r="E3" s="8" t="s">
        <v>335</v>
      </c>
      <c r="F3" s="8">
        <v>62</v>
      </c>
      <c r="G3" s="22">
        <v>1673.3799999999999</v>
      </c>
      <c r="H3" s="22">
        <v>899</v>
      </c>
    </row>
    <row r="4" spans="1:8" x14ac:dyDescent="0.25">
      <c r="A4" s="75">
        <v>40549</v>
      </c>
      <c r="B4" s="8" t="s">
        <v>319</v>
      </c>
      <c r="C4" s="8" t="s">
        <v>307</v>
      </c>
      <c r="D4" s="8" t="s">
        <v>312</v>
      </c>
      <c r="E4" s="8" t="s">
        <v>324</v>
      </c>
      <c r="F4" s="8">
        <v>50</v>
      </c>
      <c r="G4" s="22">
        <v>1349.5</v>
      </c>
      <c r="H4" s="22">
        <v>725</v>
      </c>
    </row>
    <row r="5" spans="1:8" x14ac:dyDescent="0.25">
      <c r="A5" s="75">
        <v>40546</v>
      </c>
      <c r="B5" s="78" t="s">
        <v>315</v>
      </c>
      <c r="C5" s="8" t="s">
        <v>310</v>
      </c>
      <c r="D5" s="8" t="s">
        <v>328</v>
      </c>
      <c r="E5" s="8" t="s">
        <v>341</v>
      </c>
      <c r="F5" s="8">
        <v>59</v>
      </c>
      <c r="G5" s="22">
        <v>1415.4099999999999</v>
      </c>
      <c r="H5" s="22">
        <v>649</v>
      </c>
    </row>
    <row r="6" spans="1:8" x14ac:dyDescent="0.25">
      <c r="A6" s="75">
        <v>40559</v>
      </c>
      <c r="B6" s="8" t="s">
        <v>315</v>
      </c>
      <c r="C6" s="8" t="s">
        <v>308</v>
      </c>
      <c r="D6" s="8" t="s">
        <v>312</v>
      </c>
      <c r="E6" s="8" t="s">
        <v>316</v>
      </c>
      <c r="F6" s="8">
        <v>53</v>
      </c>
      <c r="G6" s="22">
        <v>1271.47</v>
      </c>
      <c r="H6" s="22">
        <v>583</v>
      </c>
    </row>
    <row r="7" spans="1:8" x14ac:dyDescent="0.25">
      <c r="A7" s="75">
        <v>40567</v>
      </c>
      <c r="B7" s="8" t="s">
        <v>311</v>
      </c>
      <c r="C7" s="8" t="s">
        <v>309</v>
      </c>
      <c r="D7" s="8" t="s">
        <v>136</v>
      </c>
      <c r="E7" s="8" t="s">
        <v>429</v>
      </c>
      <c r="F7" s="8">
        <v>41</v>
      </c>
      <c r="G7" s="22">
        <v>778.58999999999992</v>
      </c>
      <c r="H7" s="22">
        <v>328</v>
      </c>
    </row>
    <row r="8" spans="1:8" x14ac:dyDescent="0.25">
      <c r="A8" s="75">
        <v>40568</v>
      </c>
      <c r="B8" s="8" t="s">
        <v>315</v>
      </c>
      <c r="C8" s="8" t="s">
        <v>308</v>
      </c>
      <c r="D8" s="8" t="s">
        <v>7</v>
      </c>
      <c r="E8" s="8" t="s">
        <v>314</v>
      </c>
      <c r="F8" s="8">
        <v>13</v>
      </c>
      <c r="G8" s="22">
        <v>311.87</v>
      </c>
      <c r="H8" s="22">
        <v>143</v>
      </c>
    </row>
    <row r="9" spans="1:8" x14ac:dyDescent="0.25">
      <c r="A9" s="75">
        <v>40548</v>
      </c>
      <c r="B9" s="8" t="s">
        <v>319</v>
      </c>
      <c r="C9" s="8" t="s">
        <v>308</v>
      </c>
      <c r="D9" s="8" t="s">
        <v>7</v>
      </c>
      <c r="E9" s="8" t="s">
        <v>329</v>
      </c>
      <c r="F9" s="8">
        <v>54</v>
      </c>
      <c r="G9" s="22">
        <v>1457.4599999999998</v>
      </c>
      <c r="H9" s="22">
        <v>783</v>
      </c>
    </row>
    <row r="10" spans="1:8" x14ac:dyDescent="0.25">
      <c r="A10" s="75">
        <v>40552</v>
      </c>
      <c r="B10" s="8" t="s">
        <v>315</v>
      </c>
      <c r="C10" s="8" t="s">
        <v>307</v>
      </c>
      <c r="D10" s="8" t="s">
        <v>328</v>
      </c>
      <c r="E10" s="8" t="s">
        <v>324</v>
      </c>
      <c r="F10" s="8">
        <v>10</v>
      </c>
      <c r="G10" s="22">
        <v>239.89999999999998</v>
      </c>
      <c r="H10" s="22">
        <v>110</v>
      </c>
    </row>
    <row r="11" spans="1:8" x14ac:dyDescent="0.25">
      <c r="A11" s="75">
        <v>40556</v>
      </c>
      <c r="B11" s="78" t="s">
        <v>311</v>
      </c>
      <c r="C11" s="8" t="s">
        <v>310</v>
      </c>
      <c r="D11" s="8" t="s">
        <v>136</v>
      </c>
      <c r="E11" s="8" t="s">
        <v>320</v>
      </c>
      <c r="F11" s="8">
        <v>62</v>
      </c>
      <c r="G11" s="22">
        <v>1177.3799999999999</v>
      </c>
      <c r="H11" s="22">
        <v>496</v>
      </c>
    </row>
    <row r="12" spans="1:8" x14ac:dyDescent="0.25">
      <c r="A12" s="75">
        <v>40561</v>
      </c>
      <c r="B12" s="8" t="s">
        <v>311</v>
      </c>
      <c r="C12" s="8" t="s">
        <v>307</v>
      </c>
      <c r="D12" s="8" t="s">
        <v>136</v>
      </c>
      <c r="E12" s="8" t="s">
        <v>332</v>
      </c>
      <c r="F12" s="8">
        <v>51</v>
      </c>
      <c r="G12" s="22">
        <v>968.4899999999999</v>
      </c>
      <c r="H12" s="22">
        <v>408</v>
      </c>
    </row>
    <row r="13" spans="1:8" x14ac:dyDescent="0.25">
      <c r="A13" s="75">
        <v>40555</v>
      </c>
      <c r="B13" s="8" t="s">
        <v>321</v>
      </c>
      <c r="C13" s="8" t="s">
        <v>308</v>
      </c>
      <c r="D13" s="8" t="s">
        <v>312</v>
      </c>
      <c r="E13" s="8" t="s">
        <v>325</v>
      </c>
      <c r="F13" s="8">
        <v>22</v>
      </c>
      <c r="G13" s="22">
        <v>505.78</v>
      </c>
      <c r="H13" s="22">
        <v>220</v>
      </c>
    </row>
    <row r="14" spans="1:8" x14ac:dyDescent="0.25">
      <c r="A14" s="75">
        <v>40556</v>
      </c>
      <c r="B14" s="8" t="s">
        <v>311</v>
      </c>
      <c r="C14" s="8" t="s">
        <v>307</v>
      </c>
      <c r="D14" s="8" t="s">
        <v>328</v>
      </c>
      <c r="E14" s="8" t="s">
        <v>326</v>
      </c>
      <c r="F14" s="8">
        <v>11</v>
      </c>
      <c r="G14" s="22">
        <v>208.89</v>
      </c>
      <c r="H14" s="22">
        <v>88</v>
      </c>
    </row>
    <row r="15" spans="1:8" x14ac:dyDescent="0.25">
      <c r="A15" s="75">
        <v>40545</v>
      </c>
      <c r="B15" s="8" t="s">
        <v>319</v>
      </c>
      <c r="C15" s="8" t="s">
        <v>309</v>
      </c>
      <c r="D15" s="8" t="s">
        <v>7</v>
      </c>
      <c r="E15" s="8" t="s">
        <v>322</v>
      </c>
      <c r="F15" s="8">
        <v>22</v>
      </c>
      <c r="G15" s="22">
        <v>593.78</v>
      </c>
      <c r="H15" s="22">
        <v>319</v>
      </c>
    </row>
    <row r="16" spans="1:8" x14ac:dyDescent="0.25">
      <c r="A16" s="75">
        <v>40566</v>
      </c>
      <c r="B16" s="8" t="s">
        <v>321</v>
      </c>
      <c r="C16" s="8" t="s">
        <v>310</v>
      </c>
      <c r="D16" s="8" t="s">
        <v>136</v>
      </c>
      <c r="E16" s="8" t="s">
        <v>333</v>
      </c>
      <c r="F16" s="8">
        <v>19</v>
      </c>
      <c r="G16" s="22">
        <v>436.80999999999995</v>
      </c>
      <c r="H16" s="22">
        <v>190</v>
      </c>
    </row>
    <row r="17" spans="1:8" x14ac:dyDescent="0.25">
      <c r="A17" s="75">
        <v>40564</v>
      </c>
      <c r="B17" s="8" t="s">
        <v>315</v>
      </c>
      <c r="C17" s="8" t="s">
        <v>307</v>
      </c>
      <c r="D17" s="8" t="s">
        <v>328</v>
      </c>
      <c r="E17" s="8" t="s">
        <v>337</v>
      </c>
      <c r="F17" s="8">
        <v>32</v>
      </c>
      <c r="G17" s="22">
        <v>767.68</v>
      </c>
      <c r="H17" s="22">
        <v>352</v>
      </c>
    </row>
    <row r="18" spans="1:8" x14ac:dyDescent="0.25">
      <c r="A18" s="75">
        <v>40551</v>
      </c>
      <c r="B18" s="78" t="s">
        <v>319</v>
      </c>
      <c r="C18" s="8" t="s">
        <v>309</v>
      </c>
      <c r="D18" s="8" t="s">
        <v>132</v>
      </c>
      <c r="E18" s="8" t="s">
        <v>344</v>
      </c>
      <c r="F18" s="8">
        <v>26</v>
      </c>
      <c r="G18" s="22">
        <v>701.74</v>
      </c>
      <c r="H18" s="22">
        <v>377</v>
      </c>
    </row>
    <row r="19" spans="1:8" x14ac:dyDescent="0.25">
      <c r="A19" s="75">
        <v>40562</v>
      </c>
      <c r="B19" s="8" t="s">
        <v>319</v>
      </c>
      <c r="C19" s="8" t="s">
        <v>309</v>
      </c>
      <c r="D19" s="8" t="s">
        <v>312</v>
      </c>
      <c r="E19" s="8" t="s">
        <v>343</v>
      </c>
      <c r="F19" s="8">
        <v>57</v>
      </c>
      <c r="G19" s="22">
        <v>1538.4299999999998</v>
      </c>
      <c r="H19" s="22">
        <v>826.5</v>
      </c>
    </row>
    <row r="20" spans="1:8" x14ac:dyDescent="0.25">
      <c r="A20" s="75">
        <v>40555</v>
      </c>
      <c r="B20" s="8" t="s">
        <v>321</v>
      </c>
      <c r="C20" s="8" t="s">
        <v>309</v>
      </c>
      <c r="D20" s="8" t="s">
        <v>132</v>
      </c>
      <c r="E20" s="8" t="s">
        <v>339</v>
      </c>
      <c r="F20" s="8">
        <v>6</v>
      </c>
      <c r="G20" s="22">
        <v>137.94</v>
      </c>
      <c r="H20" s="22">
        <v>60</v>
      </c>
    </row>
    <row r="21" spans="1:8" x14ac:dyDescent="0.25">
      <c r="A21" s="75">
        <v>40571</v>
      </c>
      <c r="B21" s="78" t="s">
        <v>315</v>
      </c>
      <c r="C21" s="8" t="s">
        <v>308</v>
      </c>
      <c r="D21" s="8" t="s">
        <v>136</v>
      </c>
      <c r="E21" s="8" t="s">
        <v>343</v>
      </c>
      <c r="F21" s="8">
        <v>62</v>
      </c>
      <c r="G21" s="22">
        <v>1487.3799999999999</v>
      </c>
      <c r="H21" s="22">
        <v>682</v>
      </c>
    </row>
    <row r="22" spans="1:8" x14ac:dyDescent="0.25">
      <c r="A22" s="75">
        <v>40565</v>
      </c>
      <c r="B22" s="8" t="s">
        <v>315</v>
      </c>
      <c r="C22" s="8" t="s">
        <v>308</v>
      </c>
      <c r="D22" s="8" t="s">
        <v>3</v>
      </c>
      <c r="E22" s="8" t="s">
        <v>342</v>
      </c>
      <c r="F22" s="8">
        <v>10</v>
      </c>
      <c r="G22" s="22">
        <v>239.89999999999998</v>
      </c>
      <c r="H22" s="22">
        <v>110</v>
      </c>
    </row>
    <row r="23" spans="1:8" x14ac:dyDescent="0.25">
      <c r="A23" s="75">
        <v>40547</v>
      </c>
      <c r="B23" s="8" t="s">
        <v>315</v>
      </c>
      <c r="C23" s="8" t="s">
        <v>307</v>
      </c>
      <c r="D23" s="8" t="s">
        <v>328</v>
      </c>
      <c r="E23" s="8" t="s">
        <v>341</v>
      </c>
      <c r="F23" s="8">
        <v>33</v>
      </c>
      <c r="G23" s="22">
        <v>791.67</v>
      </c>
      <c r="H23" s="22">
        <v>363</v>
      </c>
    </row>
    <row r="24" spans="1:8" x14ac:dyDescent="0.25">
      <c r="A24" s="75">
        <v>40569</v>
      </c>
      <c r="B24" s="8" t="s">
        <v>319</v>
      </c>
      <c r="C24" s="8" t="s">
        <v>310</v>
      </c>
      <c r="D24" s="8" t="s">
        <v>3</v>
      </c>
      <c r="E24" s="8" t="s">
        <v>333</v>
      </c>
      <c r="F24" s="8">
        <v>17</v>
      </c>
      <c r="G24" s="22">
        <v>458.83</v>
      </c>
      <c r="H24" s="22">
        <v>246.5</v>
      </c>
    </row>
    <row r="25" spans="1:8" x14ac:dyDescent="0.25">
      <c r="A25" s="75">
        <v>40562</v>
      </c>
      <c r="B25" s="8" t="s">
        <v>321</v>
      </c>
      <c r="C25" s="8" t="s">
        <v>310</v>
      </c>
      <c r="D25" s="8" t="s">
        <v>328</v>
      </c>
      <c r="E25" s="8" t="s">
        <v>345</v>
      </c>
      <c r="F25" s="8">
        <v>10</v>
      </c>
      <c r="G25" s="22">
        <v>229.89999999999998</v>
      </c>
      <c r="H25" s="22">
        <v>100</v>
      </c>
    </row>
    <row r="26" spans="1:8" x14ac:dyDescent="0.25">
      <c r="A26" s="75">
        <v>40544</v>
      </c>
      <c r="B26" s="8" t="s">
        <v>315</v>
      </c>
      <c r="C26" s="8" t="s">
        <v>307</v>
      </c>
      <c r="D26" s="8" t="s">
        <v>132</v>
      </c>
      <c r="E26" s="8" t="s">
        <v>341</v>
      </c>
      <c r="F26" s="8">
        <v>8</v>
      </c>
      <c r="G26" s="22">
        <v>191.92</v>
      </c>
      <c r="H26" s="22">
        <v>88</v>
      </c>
    </row>
    <row r="27" spans="1:8" x14ac:dyDescent="0.25">
      <c r="A27" s="75">
        <v>40549</v>
      </c>
      <c r="B27" s="8" t="s">
        <v>317</v>
      </c>
      <c r="C27" s="8" t="s">
        <v>308</v>
      </c>
      <c r="D27" s="8" t="s">
        <v>136</v>
      </c>
      <c r="E27" s="8" t="s">
        <v>342</v>
      </c>
      <c r="F27" s="8">
        <v>30</v>
      </c>
      <c r="G27" s="22">
        <v>629.69999999999993</v>
      </c>
      <c r="H27" s="22">
        <v>277.5</v>
      </c>
    </row>
    <row r="28" spans="1:8" x14ac:dyDescent="0.25">
      <c r="A28" s="75">
        <v>40551</v>
      </c>
      <c r="B28" s="8" t="s">
        <v>315</v>
      </c>
      <c r="C28" s="8" t="s">
        <v>309</v>
      </c>
      <c r="D28" s="8" t="s">
        <v>3</v>
      </c>
      <c r="E28" s="8" t="s">
        <v>322</v>
      </c>
      <c r="F28" s="8">
        <v>22</v>
      </c>
      <c r="G28" s="22">
        <v>527.78</v>
      </c>
      <c r="H28" s="22">
        <v>242</v>
      </c>
    </row>
    <row r="29" spans="1:8" x14ac:dyDescent="0.25">
      <c r="A29" s="75">
        <v>40571</v>
      </c>
      <c r="B29" s="8" t="s">
        <v>319</v>
      </c>
      <c r="C29" s="8" t="s">
        <v>308</v>
      </c>
      <c r="D29" s="8" t="s">
        <v>132</v>
      </c>
      <c r="E29" s="8" t="s">
        <v>324</v>
      </c>
      <c r="F29" s="8">
        <v>30</v>
      </c>
      <c r="G29" s="22">
        <v>809.69999999999993</v>
      </c>
      <c r="H29" s="22">
        <v>435</v>
      </c>
    </row>
    <row r="30" spans="1:8" x14ac:dyDescent="0.25">
      <c r="A30" s="75">
        <v>40555</v>
      </c>
      <c r="B30" s="8" t="s">
        <v>321</v>
      </c>
      <c r="C30" s="8" t="s">
        <v>308</v>
      </c>
      <c r="D30" s="8" t="s">
        <v>328</v>
      </c>
      <c r="E30" s="8" t="s">
        <v>314</v>
      </c>
      <c r="F30" s="8">
        <v>64</v>
      </c>
      <c r="G30" s="22">
        <v>1471.36</v>
      </c>
      <c r="H30" s="22">
        <v>640</v>
      </c>
    </row>
    <row r="31" spans="1:8" x14ac:dyDescent="0.25">
      <c r="A31" s="75">
        <v>40553</v>
      </c>
      <c r="B31" s="8" t="s">
        <v>319</v>
      </c>
      <c r="C31" s="8" t="s">
        <v>310</v>
      </c>
      <c r="D31" s="8" t="s">
        <v>7</v>
      </c>
      <c r="E31" s="8" t="s">
        <v>343</v>
      </c>
      <c r="F31" s="8">
        <v>43</v>
      </c>
      <c r="G31" s="22">
        <v>1160.57</v>
      </c>
      <c r="H31" s="22">
        <v>623.5</v>
      </c>
    </row>
    <row r="32" spans="1:8" x14ac:dyDescent="0.25">
      <c r="A32" s="75">
        <v>40571</v>
      </c>
      <c r="B32" s="8" t="s">
        <v>321</v>
      </c>
      <c r="C32" s="8" t="s">
        <v>307</v>
      </c>
      <c r="D32" s="8" t="s">
        <v>132</v>
      </c>
      <c r="E32" s="8" t="s">
        <v>322</v>
      </c>
      <c r="F32" s="8">
        <v>45</v>
      </c>
      <c r="G32" s="22">
        <v>1034.55</v>
      </c>
      <c r="H32" s="22">
        <v>450</v>
      </c>
    </row>
    <row r="33" spans="1:8" x14ac:dyDescent="0.25">
      <c r="A33" s="75">
        <v>40565</v>
      </c>
      <c r="B33" s="8" t="s">
        <v>315</v>
      </c>
      <c r="C33" s="8" t="s">
        <v>309</v>
      </c>
      <c r="D33" s="8" t="s">
        <v>136</v>
      </c>
      <c r="E33" s="8" t="s">
        <v>327</v>
      </c>
      <c r="F33" s="8">
        <v>45</v>
      </c>
      <c r="G33" s="22">
        <v>1079.55</v>
      </c>
      <c r="H33" s="22">
        <v>495</v>
      </c>
    </row>
    <row r="34" spans="1:8" x14ac:dyDescent="0.25">
      <c r="A34" s="75">
        <v>40568</v>
      </c>
      <c r="B34" s="8" t="s">
        <v>311</v>
      </c>
      <c r="C34" s="8" t="s">
        <v>308</v>
      </c>
      <c r="D34" s="8" t="s">
        <v>3</v>
      </c>
      <c r="E34" s="8" t="s">
        <v>326</v>
      </c>
      <c r="F34" s="8">
        <v>55</v>
      </c>
      <c r="G34" s="22">
        <v>1044.4499999999998</v>
      </c>
      <c r="H34" s="22">
        <v>440</v>
      </c>
    </row>
    <row r="35" spans="1:8" x14ac:dyDescent="0.25">
      <c r="A35" s="75">
        <v>40561</v>
      </c>
      <c r="B35" s="9" t="s">
        <v>311</v>
      </c>
      <c r="C35" s="8" t="s">
        <v>310</v>
      </c>
      <c r="D35" s="8" t="s">
        <v>132</v>
      </c>
      <c r="E35" s="8" t="s">
        <v>323</v>
      </c>
      <c r="F35" s="8">
        <v>62</v>
      </c>
      <c r="G35" s="22">
        <v>1177.3799999999999</v>
      </c>
      <c r="H35" s="22">
        <v>496</v>
      </c>
    </row>
    <row r="36" spans="1:8" x14ac:dyDescent="0.25">
      <c r="A36" s="75">
        <v>40549</v>
      </c>
      <c r="B36" s="8" t="s">
        <v>315</v>
      </c>
      <c r="C36" s="8" t="s">
        <v>308</v>
      </c>
      <c r="D36" s="8" t="s">
        <v>328</v>
      </c>
      <c r="E36" s="8" t="s">
        <v>324</v>
      </c>
      <c r="F36" s="8">
        <v>11</v>
      </c>
      <c r="G36" s="22">
        <v>263.89</v>
      </c>
      <c r="H36" s="22">
        <v>121</v>
      </c>
    </row>
    <row r="37" spans="1:8" x14ac:dyDescent="0.25">
      <c r="A37" s="75">
        <v>40569</v>
      </c>
      <c r="B37" s="8" t="s">
        <v>319</v>
      </c>
      <c r="C37" s="8" t="s">
        <v>308</v>
      </c>
      <c r="D37" s="8" t="s">
        <v>136</v>
      </c>
      <c r="E37" s="8" t="s">
        <v>325</v>
      </c>
      <c r="F37" s="8">
        <v>17</v>
      </c>
      <c r="G37" s="22">
        <v>458.83</v>
      </c>
      <c r="H37" s="22">
        <v>246.5</v>
      </c>
    </row>
    <row r="38" spans="1:8" x14ac:dyDescent="0.25">
      <c r="A38" s="75">
        <v>40554</v>
      </c>
      <c r="B38" s="8" t="s">
        <v>321</v>
      </c>
      <c r="C38" s="8" t="s">
        <v>309</v>
      </c>
      <c r="D38" s="8" t="s">
        <v>7</v>
      </c>
      <c r="E38" s="8" t="s">
        <v>341</v>
      </c>
      <c r="F38" s="8">
        <v>57</v>
      </c>
      <c r="G38" s="22">
        <v>1310.4299999999998</v>
      </c>
      <c r="H38" s="22">
        <v>570</v>
      </c>
    </row>
    <row r="39" spans="1:8" x14ac:dyDescent="0.25">
      <c r="A39" s="75">
        <v>40563</v>
      </c>
      <c r="B39" s="8" t="s">
        <v>311</v>
      </c>
      <c r="C39" s="8" t="s">
        <v>307</v>
      </c>
      <c r="D39" s="8" t="s">
        <v>312</v>
      </c>
      <c r="E39" s="8" t="s">
        <v>314</v>
      </c>
      <c r="F39" s="8">
        <v>64</v>
      </c>
      <c r="G39" s="22">
        <v>1215.3599999999999</v>
      </c>
      <c r="H39" s="22">
        <v>512</v>
      </c>
    </row>
    <row r="40" spans="1:8" x14ac:dyDescent="0.25">
      <c r="A40" s="75">
        <v>40566</v>
      </c>
      <c r="B40" s="8" t="s">
        <v>319</v>
      </c>
      <c r="C40" s="8" t="s">
        <v>309</v>
      </c>
      <c r="D40" s="8" t="s">
        <v>328</v>
      </c>
      <c r="E40" s="8" t="s">
        <v>347</v>
      </c>
      <c r="F40" s="8">
        <v>31</v>
      </c>
      <c r="G40" s="22">
        <v>836.68999999999994</v>
      </c>
      <c r="H40" s="22">
        <v>449.5</v>
      </c>
    </row>
    <row r="41" spans="1:8" x14ac:dyDescent="0.25">
      <c r="A41" s="75">
        <v>40563</v>
      </c>
      <c r="B41" s="8" t="s">
        <v>317</v>
      </c>
      <c r="C41" s="8" t="s">
        <v>310</v>
      </c>
      <c r="D41" s="8" t="s">
        <v>136</v>
      </c>
      <c r="E41" s="8" t="s">
        <v>337</v>
      </c>
      <c r="F41" s="8">
        <v>21</v>
      </c>
      <c r="G41" s="22">
        <v>440.78999999999996</v>
      </c>
      <c r="H41" s="22">
        <v>194.25</v>
      </c>
    </row>
    <row r="42" spans="1:8" x14ac:dyDescent="0.25">
      <c r="A42" s="75">
        <v>40546</v>
      </c>
      <c r="B42" s="8" t="s">
        <v>319</v>
      </c>
      <c r="C42" s="8" t="s">
        <v>310</v>
      </c>
      <c r="D42" s="8" t="s">
        <v>136</v>
      </c>
      <c r="E42" s="8" t="s">
        <v>332</v>
      </c>
      <c r="F42" s="8">
        <v>32</v>
      </c>
      <c r="G42" s="22">
        <v>863.68</v>
      </c>
      <c r="H42" s="22">
        <v>464</v>
      </c>
    </row>
    <row r="43" spans="1:8" x14ac:dyDescent="0.25">
      <c r="A43" s="75">
        <v>40548</v>
      </c>
      <c r="B43" s="8" t="s">
        <v>315</v>
      </c>
      <c r="C43" s="8" t="s">
        <v>308</v>
      </c>
      <c r="D43" s="8" t="s">
        <v>328</v>
      </c>
      <c r="E43" s="8" t="s">
        <v>325</v>
      </c>
      <c r="F43" s="8">
        <v>47</v>
      </c>
      <c r="G43" s="22">
        <v>1127.53</v>
      </c>
      <c r="H43" s="22">
        <v>517</v>
      </c>
    </row>
    <row r="44" spans="1:8" x14ac:dyDescent="0.25">
      <c r="A44" s="75">
        <v>40554</v>
      </c>
      <c r="B44" s="8" t="s">
        <v>321</v>
      </c>
      <c r="C44" s="8" t="s">
        <v>308</v>
      </c>
      <c r="D44" s="8" t="s">
        <v>328</v>
      </c>
      <c r="E44" s="8" t="s">
        <v>342</v>
      </c>
      <c r="F44" s="8">
        <v>19</v>
      </c>
      <c r="G44" s="22">
        <v>436.80999999999995</v>
      </c>
      <c r="H44" s="22">
        <v>190</v>
      </c>
    </row>
    <row r="45" spans="1:8" x14ac:dyDescent="0.25">
      <c r="A45" s="75">
        <v>40571</v>
      </c>
      <c r="B45" s="9" t="s">
        <v>315</v>
      </c>
      <c r="C45" s="8" t="s">
        <v>310</v>
      </c>
      <c r="D45" s="8" t="s">
        <v>7</v>
      </c>
      <c r="E45" s="8" t="s">
        <v>313</v>
      </c>
      <c r="F45" s="8">
        <v>14</v>
      </c>
      <c r="G45" s="22">
        <v>335.85999999999996</v>
      </c>
      <c r="H45" s="22">
        <v>154</v>
      </c>
    </row>
    <row r="46" spans="1:8" x14ac:dyDescent="0.25">
      <c r="A46" s="75">
        <v>40548</v>
      </c>
      <c r="B46" s="8" t="s">
        <v>311</v>
      </c>
      <c r="C46" s="8" t="s">
        <v>308</v>
      </c>
      <c r="D46" s="8" t="s">
        <v>312</v>
      </c>
      <c r="E46" s="8" t="s">
        <v>343</v>
      </c>
      <c r="F46" s="8">
        <v>14</v>
      </c>
      <c r="G46" s="22">
        <v>265.85999999999996</v>
      </c>
      <c r="H46" s="22">
        <v>112</v>
      </c>
    </row>
    <row r="47" spans="1:8" x14ac:dyDescent="0.25">
      <c r="A47" s="75">
        <v>40558</v>
      </c>
      <c r="B47" s="8" t="s">
        <v>319</v>
      </c>
      <c r="C47" s="8" t="s">
        <v>309</v>
      </c>
      <c r="D47" s="8" t="s">
        <v>136</v>
      </c>
      <c r="E47" s="8" t="s">
        <v>323</v>
      </c>
      <c r="F47" s="8">
        <v>55</v>
      </c>
      <c r="G47" s="22">
        <v>1484.4499999999998</v>
      </c>
      <c r="H47" s="22">
        <v>797.5</v>
      </c>
    </row>
    <row r="48" spans="1:8" x14ac:dyDescent="0.25">
      <c r="A48" s="75">
        <v>40547</v>
      </c>
      <c r="B48" s="8" t="s">
        <v>311</v>
      </c>
      <c r="C48" s="8" t="s">
        <v>308</v>
      </c>
      <c r="D48" s="8" t="s">
        <v>3</v>
      </c>
      <c r="E48" s="8" t="s">
        <v>333</v>
      </c>
      <c r="F48" s="8">
        <v>37</v>
      </c>
      <c r="G48" s="22">
        <v>702.63</v>
      </c>
      <c r="H48" s="22">
        <v>296</v>
      </c>
    </row>
  </sheetData>
  <autoFilter ref="A1:H48" xr:uid="{00000000-0009-0000-0000-00006E000000}"/>
  <dataConsolidate topLabels="1">
    <dataRefs count="2">
      <dataRef ref="A1:C6" sheet="Filter" r:id="rId1"/>
      <dataRef ref="A10:C15" sheet="Filter" r:id="rId2"/>
    </dataRefs>
  </dataConsolidate>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21">
    <tabColor rgb="FF0000FF"/>
  </sheetPr>
  <dimension ref="A1:F31"/>
  <sheetViews>
    <sheetView workbookViewId="0">
      <selection activeCell="B1" sqref="B1"/>
    </sheetView>
  </sheetViews>
  <sheetFormatPr defaultColWidth="9.28515625" defaultRowHeight="15" x14ac:dyDescent="0.25"/>
  <cols>
    <col min="1" max="1" width="18.7109375" bestFit="1" customWidth="1"/>
    <col min="2" max="2" width="22.28515625" bestFit="1" customWidth="1"/>
    <col min="3" max="3" width="7.7109375" bestFit="1" customWidth="1"/>
    <col min="4" max="4" width="5.5703125" bestFit="1" customWidth="1"/>
    <col min="5" max="5" width="7" bestFit="1" customWidth="1"/>
    <col min="6" max="6" width="19.85546875" bestFit="1" customWidth="1"/>
    <col min="7" max="7" width="9.5703125" bestFit="1" customWidth="1"/>
    <col min="8" max="8" width="5.7109375" bestFit="1" customWidth="1"/>
    <col min="9" max="9" width="9.85546875" bestFit="1" customWidth="1"/>
    <col min="10" max="10" width="8.28515625" bestFit="1" customWidth="1"/>
  </cols>
  <sheetData>
    <row r="1" spans="1:6" x14ac:dyDescent="0.25">
      <c r="A1" s="44" t="s">
        <v>833</v>
      </c>
      <c r="B1" s="44" t="s">
        <v>834</v>
      </c>
      <c r="C1" s="14" t="s">
        <v>835</v>
      </c>
      <c r="D1" s="14" t="s">
        <v>836</v>
      </c>
      <c r="E1" s="14" t="s">
        <v>837</v>
      </c>
      <c r="F1" s="14" t="s">
        <v>572</v>
      </c>
    </row>
    <row r="2" spans="1:6" x14ac:dyDescent="0.25">
      <c r="A2" s="8" t="s">
        <v>881</v>
      </c>
      <c r="B2" s="8" t="s">
        <v>882</v>
      </c>
      <c r="C2" s="8" t="s">
        <v>870</v>
      </c>
      <c r="D2" s="8" t="s">
        <v>838</v>
      </c>
      <c r="E2" s="8">
        <v>981147</v>
      </c>
      <c r="F2" s="8" t="s">
        <v>884</v>
      </c>
    </row>
    <row r="3" spans="1:6" x14ac:dyDescent="0.25">
      <c r="A3" s="8" t="s">
        <v>932</v>
      </c>
      <c r="B3" s="8" t="s">
        <v>933</v>
      </c>
      <c r="C3" s="8" t="s">
        <v>918</v>
      </c>
      <c r="D3" s="8" t="s">
        <v>838</v>
      </c>
      <c r="E3" s="8">
        <v>981317</v>
      </c>
      <c r="F3" s="8" t="s">
        <v>935</v>
      </c>
    </row>
    <row r="4" spans="1:6" x14ac:dyDescent="0.25">
      <c r="A4" s="8" t="s">
        <v>901</v>
      </c>
      <c r="B4" s="8" t="s">
        <v>902</v>
      </c>
      <c r="C4" s="8" t="s">
        <v>870</v>
      </c>
      <c r="D4" s="8" t="s">
        <v>838</v>
      </c>
      <c r="E4" s="8">
        <v>981335</v>
      </c>
      <c r="F4" s="8" t="s">
        <v>904</v>
      </c>
    </row>
    <row r="5" spans="1:6" x14ac:dyDescent="0.25">
      <c r="A5" s="8" t="s">
        <v>921</v>
      </c>
      <c r="B5" s="8" t="s">
        <v>922</v>
      </c>
      <c r="C5" s="8" t="s">
        <v>918</v>
      </c>
      <c r="D5" s="8" t="s">
        <v>838</v>
      </c>
      <c r="E5" s="8">
        <v>981118</v>
      </c>
      <c r="F5" s="8" t="s">
        <v>924</v>
      </c>
    </row>
    <row r="6" spans="1:6" x14ac:dyDescent="0.25">
      <c r="A6" s="8" t="s">
        <v>844</v>
      </c>
      <c r="B6" s="8" t="s">
        <v>1059</v>
      </c>
      <c r="C6" s="8" t="s">
        <v>841</v>
      </c>
      <c r="D6" s="8" t="s">
        <v>838</v>
      </c>
      <c r="E6" s="8">
        <v>981244</v>
      </c>
      <c r="F6" s="8" t="s">
        <v>847</v>
      </c>
    </row>
    <row r="7" spans="1:6" x14ac:dyDescent="0.25">
      <c r="A7" s="8" t="s">
        <v>852</v>
      </c>
      <c r="B7" s="8" t="s">
        <v>853</v>
      </c>
      <c r="C7" s="8" t="s">
        <v>841</v>
      </c>
      <c r="D7" s="8" t="s">
        <v>838</v>
      </c>
      <c r="E7" s="8">
        <v>981162</v>
      </c>
      <c r="F7" s="8" t="s">
        <v>855</v>
      </c>
    </row>
    <row r="8" spans="1:6" x14ac:dyDescent="0.25">
      <c r="A8" s="8" t="s">
        <v>953</v>
      </c>
      <c r="B8" s="8" t="s">
        <v>954</v>
      </c>
      <c r="C8" s="8" t="s">
        <v>918</v>
      </c>
      <c r="D8" s="8" t="s">
        <v>838</v>
      </c>
      <c r="E8" s="8">
        <v>981177</v>
      </c>
      <c r="F8" s="8" t="s">
        <v>956</v>
      </c>
    </row>
    <row r="9" spans="1:6" x14ac:dyDescent="0.25">
      <c r="A9" s="8" t="s">
        <v>897</v>
      </c>
      <c r="B9" s="8" t="s">
        <v>898</v>
      </c>
      <c r="C9" s="8" t="s">
        <v>870</v>
      </c>
      <c r="D9" s="8" t="s">
        <v>838</v>
      </c>
      <c r="E9" s="8">
        <v>981143</v>
      </c>
      <c r="F9" s="8" t="s">
        <v>900</v>
      </c>
    </row>
    <row r="10" spans="1:6" x14ac:dyDescent="0.25">
      <c r="A10" s="8" t="s">
        <v>905</v>
      </c>
      <c r="B10" s="8" t="s">
        <v>906</v>
      </c>
      <c r="C10" s="8" t="s">
        <v>870</v>
      </c>
      <c r="D10" s="8" t="s">
        <v>838</v>
      </c>
      <c r="E10" s="8">
        <v>981280</v>
      </c>
      <c r="F10" s="8" t="s">
        <v>908</v>
      </c>
    </row>
    <row r="11" spans="1:6" x14ac:dyDescent="0.25">
      <c r="A11" s="8" t="s">
        <v>856</v>
      </c>
      <c r="B11" s="8" t="s">
        <v>857</v>
      </c>
      <c r="C11" s="8" t="s">
        <v>841</v>
      </c>
      <c r="D11" s="8" t="s">
        <v>838</v>
      </c>
      <c r="E11" s="8">
        <v>981266</v>
      </c>
      <c r="F11" s="8" t="s">
        <v>859</v>
      </c>
    </row>
    <row r="12" spans="1:6" x14ac:dyDescent="0.25">
      <c r="A12" s="8" t="s">
        <v>839</v>
      </c>
      <c r="B12" s="8" t="s">
        <v>840</v>
      </c>
      <c r="C12" s="8" t="s">
        <v>841</v>
      </c>
      <c r="D12" s="8" t="s">
        <v>838</v>
      </c>
      <c r="E12" s="8">
        <v>981215</v>
      </c>
      <c r="F12" s="8" t="s">
        <v>843</v>
      </c>
    </row>
    <row r="13" spans="1:6" x14ac:dyDescent="0.25">
      <c r="A13" s="8" t="s">
        <v>929</v>
      </c>
      <c r="B13" s="8" t="s">
        <v>930</v>
      </c>
      <c r="C13" s="8" t="s">
        <v>918</v>
      </c>
      <c r="D13" s="8" t="s">
        <v>838</v>
      </c>
      <c r="E13" s="8">
        <v>981152</v>
      </c>
      <c r="F13" s="8" t="s">
        <v>931</v>
      </c>
    </row>
    <row r="14" spans="1:6" x14ac:dyDescent="0.25">
      <c r="A14" s="8" t="s">
        <v>848</v>
      </c>
      <c r="B14" s="8" t="s">
        <v>1060</v>
      </c>
      <c r="C14" s="8" t="s">
        <v>841</v>
      </c>
      <c r="D14" s="8" t="s">
        <v>838</v>
      </c>
      <c r="E14" s="8">
        <v>981225</v>
      </c>
      <c r="F14" s="8" t="s">
        <v>851</v>
      </c>
    </row>
    <row r="15" spans="1:6" x14ac:dyDescent="0.25">
      <c r="A15" s="8" t="s">
        <v>868</v>
      </c>
      <c r="B15" s="8" t="s">
        <v>869</v>
      </c>
      <c r="C15" s="8" t="s">
        <v>870</v>
      </c>
      <c r="D15" s="8" t="s">
        <v>838</v>
      </c>
      <c r="E15" s="8">
        <v>981152</v>
      </c>
      <c r="F15" s="8" t="s">
        <v>872</v>
      </c>
    </row>
    <row r="16" spans="1:6" x14ac:dyDescent="0.25">
      <c r="A16" s="8" t="s">
        <v>877</v>
      </c>
      <c r="B16" s="8" t="s">
        <v>878</v>
      </c>
      <c r="C16" s="8" t="s">
        <v>870</v>
      </c>
      <c r="D16" s="8" t="s">
        <v>838</v>
      </c>
      <c r="E16" s="8">
        <v>981131</v>
      </c>
      <c r="F16" s="8" t="s">
        <v>880</v>
      </c>
    </row>
    <row r="17" spans="1:6" x14ac:dyDescent="0.25">
      <c r="A17" s="8" t="s">
        <v>943</v>
      </c>
      <c r="B17" s="8" t="s">
        <v>944</v>
      </c>
      <c r="C17" s="8" t="s">
        <v>918</v>
      </c>
      <c r="D17" s="8" t="s">
        <v>838</v>
      </c>
      <c r="E17" s="8">
        <v>981171</v>
      </c>
      <c r="F17" s="8" t="s">
        <v>945</v>
      </c>
    </row>
    <row r="18" spans="1:6" x14ac:dyDescent="0.25">
      <c r="A18" s="8" t="s">
        <v>860</v>
      </c>
      <c r="B18" s="8" t="s">
        <v>861</v>
      </c>
      <c r="C18" s="8" t="s">
        <v>841</v>
      </c>
      <c r="D18" s="8" t="s">
        <v>838</v>
      </c>
      <c r="E18" s="8">
        <v>981228</v>
      </c>
      <c r="F18" s="8" t="s">
        <v>863</v>
      </c>
    </row>
    <row r="19" spans="1:6" x14ac:dyDescent="0.25">
      <c r="A19" s="8" t="s">
        <v>909</v>
      </c>
      <c r="B19" s="8" t="s">
        <v>910</v>
      </c>
      <c r="C19" s="8" t="s">
        <v>870</v>
      </c>
      <c r="D19" s="8" t="s">
        <v>838</v>
      </c>
      <c r="E19" s="8">
        <v>981328</v>
      </c>
      <c r="F19" s="8" t="s">
        <v>912</v>
      </c>
    </row>
    <row r="20" spans="1:6" x14ac:dyDescent="0.25">
      <c r="A20" s="8" t="s">
        <v>885</v>
      </c>
      <c r="B20" s="8" t="s">
        <v>886</v>
      </c>
      <c r="C20" s="8" t="s">
        <v>870</v>
      </c>
      <c r="D20" s="8" t="s">
        <v>838</v>
      </c>
      <c r="E20" s="8">
        <v>981185</v>
      </c>
      <c r="F20" s="8" t="s">
        <v>888</v>
      </c>
    </row>
    <row r="21" spans="1:6" x14ac:dyDescent="0.25">
      <c r="A21" s="8" t="s">
        <v>893</v>
      </c>
      <c r="B21" s="8" t="s">
        <v>894</v>
      </c>
      <c r="C21" s="8" t="s">
        <v>870</v>
      </c>
      <c r="D21" s="8" t="s">
        <v>838</v>
      </c>
      <c r="E21" s="8">
        <v>981234</v>
      </c>
      <c r="F21" s="8" t="s">
        <v>896</v>
      </c>
    </row>
    <row r="22" spans="1:6" x14ac:dyDescent="0.25">
      <c r="A22" s="8" t="s">
        <v>950</v>
      </c>
      <c r="B22" s="8" t="s">
        <v>951</v>
      </c>
      <c r="C22" s="8" t="s">
        <v>918</v>
      </c>
      <c r="D22" s="8" t="s">
        <v>838</v>
      </c>
      <c r="E22" s="8">
        <v>981225</v>
      </c>
      <c r="F22" s="8" t="s">
        <v>952</v>
      </c>
    </row>
    <row r="23" spans="1:6" x14ac:dyDescent="0.25">
      <c r="A23" s="8" t="s">
        <v>913</v>
      </c>
      <c r="B23" s="8" t="s">
        <v>914</v>
      </c>
      <c r="C23" s="8" t="s">
        <v>870</v>
      </c>
      <c r="D23" s="8" t="s">
        <v>838</v>
      </c>
      <c r="E23" s="8">
        <v>981266</v>
      </c>
      <c r="F23" s="8" t="s">
        <v>915</v>
      </c>
    </row>
    <row r="24" spans="1:6" x14ac:dyDescent="0.25">
      <c r="A24" s="8" t="s">
        <v>925</v>
      </c>
      <c r="B24" s="8" t="s">
        <v>926</v>
      </c>
      <c r="C24" s="8" t="s">
        <v>918</v>
      </c>
      <c r="D24" s="8" t="s">
        <v>838</v>
      </c>
      <c r="E24" s="8">
        <v>981178</v>
      </c>
      <c r="F24" s="8" t="s">
        <v>928</v>
      </c>
    </row>
    <row r="25" spans="1:6" x14ac:dyDescent="0.25">
      <c r="A25" s="8" t="s">
        <v>873</v>
      </c>
      <c r="B25" s="8" t="s">
        <v>874</v>
      </c>
      <c r="C25" s="8" t="s">
        <v>870</v>
      </c>
      <c r="D25" s="8" t="s">
        <v>838</v>
      </c>
      <c r="E25" s="8">
        <v>981171</v>
      </c>
      <c r="F25" s="8" t="s">
        <v>876</v>
      </c>
    </row>
    <row r="26" spans="1:6" x14ac:dyDescent="0.25">
      <c r="A26" s="8" t="s">
        <v>889</v>
      </c>
      <c r="B26" s="8" t="s">
        <v>890</v>
      </c>
      <c r="C26" s="8" t="s">
        <v>870</v>
      </c>
      <c r="D26" s="8" t="s">
        <v>838</v>
      </c>
      <c r="E26" s="8">
        <v>981259</v>
      </c>
      <c r="F26" s="8" t="s">
        <v>892</v>
      </c>
    </row>
    <row r="27" spans="1:6" x14ac:dyDescent="0.25">
      <c r="A27" s="8" t="s">
        <v>936</v>
      </c>
      <c r="B27" s="8" t="s">
        <v>937</v>
      </c>
      <c r="C27" s="8" t="s">
        <v>918</v>
      </c>
      <c r="D27" s="8" t="s">
        <v>838</v>
      </c>
      <c r="E27" s="8">
        <v>981185</v>
      </c>
      <c r="F27" s="8" t="s">
        <v>938</v>
      </c>
    </row>
    <row r="28" spans="1:6" x14ac:dyDescent="0.25">
      <c r="A28" s="8" t="s">
        <v>939</v>
      </c>
      <c r="B28" s="8" t="s">
        <v>940</v>
      </c>
      <c r="C28" s="8" t="s">
        <v>918</v>
      </c>
      <c r="D28" s="8" t="s">
        <v>838</v>
      </c>
      <c r="E28" s="8">
        <v>981341</v>
      </c>
      <c r="F28" s="8" t="s">
        <v>942</v>
      </c>
    </row>
    <row r="29" spans="1:6" x14ac:dyDescent="0.25">
      <c r="A29" s="8" t="s">
        <v>946</v>
      </c>
      <c r="B29" s="8" t="s">
        <v>947</v>
      </c>
      <c r="C29" s="8" t="s">
        <v>918</v>
      </c>
      <c r="D29" s="8" t="s">
        <v>838</v>
      </c>
      <c r="E29" s="8">
        <v>981263</v>
      </c>
      <c r="F29" s="8" t="s">
        <v>949</v>
      </c>
    </row>
    <row r="30" spans="1:6" x14ac:dyDescent="0.25">
      <c r="A30" s="8" t="s">
        <v>864</v>
      </c>
      <c r="B30" s="8" t="s">
        <v>865</v>
      </c>
      <c r="C30" s="8" t="s">
        <v>841</v>
      </c>
      <c r="D30" s="8" t="s">
        <v>838</v>
      </c>
      <c r="E30" s="8">
        <v>981232</v>
      </c>
      <c r="F30" s="8" t="s">
        <v>867</v>
      </c>
    </row>
    <row r="31" spans="1:6" x14ac:dyDescent="0.25">
      <c r="A31" s="8" t="s">
        <v>916</v>
      </c>
      <c r="B31" s="8" t="s">
        <v>917</v>
      </c>
      <c r="C31" s="8" t="s">
        <v>918</v>
      </c>
      <c r="D31" s="8" t="s">
        <v>838</v>
      </c>
      <c r="E31" s="8">
        <v>981112</v>
      </c>
      <c r="F31" s="8" t="s">
        <v>920</v>
      </c>
    </row>
  </sheetData>
  <autoFilter ref="A1:F31" xr:uid="{00000000-0009-0000-0000-00006F000000}"/>
  <dataConsolidate topLabels="1">
    <dataRefs count="2">
      <dataRef ref="A1:C6" sheet="Filter" r:id="rId1"/>
      <dataRef ref="A10:C15" sheet="Filter" r:id="rId2"/>
    </dataRefs>
  </dataConsolidate>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22">
    <tabColor rgb="FF0000FF"/>
  </sheetPr>
  <dimension ref="A1:C106"/>
  <sheetViews>
    <sheetView workbookViewId="0">
      <selection activeCell="B16" sqref="A1:C106"/>
    </sheetView>
  </sheetViews>
  <sheetFormatPr defaultColWidth="9.28515625" defaultRowHeight="15" x14ac:dyDescent="0.25"/>
  <cols>
    <col min="1" max="1" width="13.28515625" customWidth="1"/>
    <col min="2" max="2" width="9" bestFit="1" customWidth="1"/>
    <col min="3" max="3" width="9.85546875" bestFit="1" customWidth="1"/>
  </cols>
  <sheetData>
    <row r="1" spans="1:3" x14ac:dyDescent="0.25">
      <c r="A1" s="134" t="s">
        <v>0</v>
      </c>
      <c r="B1" s="134" t="s">
        <v>1</v>
      </c>
      <c r="C1" s="134" t="s">
        <v>1061</v>
      </c>
    </row>
    <row r="2" spans="1:3" x14ac:dyDescent="0.25">
      <c r="A2" s="75">
        <v>40172</v>
      </c>
      <c r="B2" s="8" t="s">
        <v>328</v>
      </c>
      <c r="C2" s="22" t="s">
        <v>1062</v>
      </c>
    </row>
    <row r="3" spans="1:3" x14ac:dyDescent="0.25">
      <c r="A3" s="75">
        <v>40162</v>
      </c>
      <c r="B3" s="8" t="s">
        <v>132</v>
      </c>
      <c r="C3" s="22" t="s">
        <v>1063</v>
      </c>
    </row>
    <row r="4" spans="1:3" x14ac:dyDescent="0.25">
      <c r="A4" s="75">
        <v>40158</v>
      </c>
      <c r="B4" s="8" t="s">
        <v>312</v>
      </c>
      <c r="C4" s="22" t="s">
        <v>1064</v>
      </c>
    </row>
    <row r="5" spans="1:3" x14ac:dyDescent="0.25">
      <c r="A5" s="75">
        <v>40148</v>
      </c>
      <c r="B5" s="8" t="s">
        <v>328</v>
      </c>
      <c r="C5" s="22" t="s">
        <v>1065</v>
      </c>
    </row>
    <row r="6" spans="1:3" x14ac:dyDescent="0.25">
      <c r="A6" s="75">
        <v>40158</v>
      </c>
      <c r="B6" s="8" t="s">
        <v>312</v>
      </c>
      <c r="C6" s="22" t="s">
        <v>1062</v>
      </c>
    </row>
    <row r="7" spans="1:3" x14ac:dyDescent="0.25">
      <c r="A7" s="75">
        <v>40221</v>
      </c>
      <c r="B7" s="8" t="s">
        <v>136</v>
      </c>
      <c r="C7" s="22" t="s">
        <v>1066</v>
      </c>
    </row>
    <row r="8" spans="1:3" x14ac:dyDescent="0.25">
      <c r="A8" s="75">
        <v>40154</v>
      </c>
      <c r="B8" s="8" t="s">
        <v>132</v>
      </c>
      <c r="C8" s="22" t="s">
        <v>1062</v>
      </c>
    </row>
    <row r="9" spans="1:3" x14ac:dyDescent="0.25">
      <c r="A9" s="75">
        <v>40140</v>
      </c>
      <c r="B9" s="8" t="s">
        <v>132</v>
      </c>
      <c r="C9" s="22" t="s">
        <v>1067</v>
      </c>
    </row>
    <row r="10" spans="1:3" x14ac:dyDescent="0.25">
      <c r="A10" s="75">
        <v>40140</v>
      </c>
      <c r="B10" s="8" t="s">
        <v>328</v>
      </c>
      <c r="C10" s="22" t="s">
        <v>1068</v>
      </c>
    </row>
    <row r="11" spans="1:3" x14ac:dyDescent="0.25">
      <c r="A11" s="75">
        <v>40201</v>
      </c>
      <c r="B11" s="8" t="s">
        <v>132</v>
      </c>
      <c r="C11" s="22" t="s">
        <v>1069</v>
      </c>
    </row>
    <row r="12" spans="1:3" x14ac:dyDescent="0.25">
      <c r="A12" s="75">
        <v>40199</v>
      </c>
      <c r="B12" s="8" t="s">
        <v>136</v>
      </c>
      <c r="C12" s="22" t="s">
        <v>1063</v>
      </c>
    </row>
    <row r="13" spans="1:3" x14ac:dyDescent="0.25">
      <c r="A13" s="75">
        <v>40167</v>
      </c>
      <c r="B13" s="8" t="s">
        <v>328</v>
      </c>
      <c r="C13" s="22" t="s">
        <v>1066</v>
      </c>
    </row>
    <row r="14" spans="1:3" x14ac:dyDescent="0.25">
      <c r="A14" s="75">
        <v>40154</v>
      </c>
      <c r="B14" s="8" t="s">
        <v>136</v>
      </c>
      <c r="C14" s="22" t="s">
        <v>1070</v>
      </c>
    </row>
    <row r="15" spans="1:3" x14ac:dyDescent="0.25">
      <c r="A15" s="75">
        <v>40220</v>
      </c>
      <c r="B15" s="8" t="s">
        <v>328</v>
      </c>
      <c r="C15" s="22" t="s">
        <v>1071</v>
      </c>
    </row>
    <row r="16" spans="1:3" x14ac:dyDescent="0.25">
      <c r="A16" s="75">
        <v>40191</v>
      </c>
      <c r="B16" s="8" t="s">
        <v>312</v>
      </c>
      <c r="C16" s="22" t="s">
        <v>1072</v>
      </c>
    </row>
    <row r="17" spans="1:3" x14ac:dyDescent="0.25">
      <c r="A17" s="75">
        <v>40206</v>
      </c>
      <c r="B17" s="8" t="s">
        <v>328</v>
      </c>
      <c r="C17" s="22" t="s">
        <v>1070</v>
      </c>
    </row>
    <row r="18" spans="1:3" x14ac:dyDescent="0.25">
      <c r="A18" s="75">
        <v>40203</v>
      </c>
      <c r="B18" s="8" t="s">
        <v>328</v>
      </c>
      <c r="C18" s="22" t="s">
        <v>1073</v>
      </c>
    </row>
    <row r="19" spans="1:3" x14ac:dyDescent="0.25">
      <c r="A19" s="75">
        <v>40219</v>
      </c>
      <c r="B19" s="8" t="s">
        <v>3</v>
      </c>
      <c r="C19" s="22" t="s">
        <v>1074</v>
      </c>
    </row>
    <row r="20" spans="1:3" x14ac:dyDescent="0.25">
      <c r="A20" s="75">
        <v>40173</v>
      </c>
      <c r="B20" s="8" t="s">
        <v>132</v>
      </c>
      <c r="C20" s="22" t="s">
        <v>1070</v>
      </c>
    </row>
    <row r="21" spans="1:3" x14ac:dyDescent="0.25">
      <c r="A21" s="75">
        <v>40161</v>
      </c>
      <c r="B21" s="8" t="s">
        <v>328</v>
      </c>
      <c r="C21" s="22" t="s">
        <v>1063</v>
      </c>
    </row>
    <row r="22" spans="1:3" x14ac:dyDescent="0.25">
      <c r="A22" s="75">
        <v>40221</v>
      </c>
      <c r="B22" s="8" t="s">
        <v>132</v>
      </c>
      <c r="C22" s="22" t="s">
        <v>1075</v>
      </c>
    </row>
    <row r="23" spans="1:3" x14ac:dyDescent="0.25">
      <c r="A23" s="75">
        <v>40197</v>
      </c>
      <c r="B23" s="8" t="s">
        <v>312</v>
      </c>
      <c r="C23" s="22" t="s">
        <v>1062</v>
      </c>
    </row>
    <row r="24" spans="1:3" x14ac:dyDescent="0.25">
      <c r="A24" s="75">
        <v>40225</v>
      </c>
      <c r="B24" s="8" t="s">
        <v>136</v>
      </c>
      <c r="C24" s="22" t="s">
        <v>1066</v>
      </c>
    </row>
    <row r="25" spans="1:3" x14ac:dyDescent="0.25">
      <c r="A25" s="75">
        <v>40185</v>
      </c>
      <c r="B25" s="8" t="s">
        <v>3</v>
      </c>
      <c r="C25" s="22" t="s">
        <v>1065</v>
      </c>
    </row>
    <row r="26" spans="1:3" x14ac:dyDescent="0.25">
      <c r="A26" s="75">
        <v>40194</v>
      </c>
      <c r="B26" s="8" t="s">
        <v>7</v>
      </c>
      <c r="C26" s="22" t="s">
        <v>1076</v>
      </c>
    </row>
    <row r="27" spans="1:3" x14ac:dyDescent="0.25">
      <c r="A27" s="75">
        <v>40224</v>
      </c>
      <c r="B27" s="8" t="s">
        <v>312</v>
      </c>
      <c r="C27" s="22" t="s">
        <v>1065</v>
      </c>
    </row>
    <row r="28" spans="1:3" x14ac:dyDescent="0.25">
      <c r="A28" s="75">
        <v>40160</v>
      </c>
      <c r="B28" s="8" t="s">
        <v>3</v>
      </c>
      <c r="C28" s="22" t="s">
        <v>1071</v>
      </c>
    </row>
    <row r="29" spans="1:3" x14ac:dyDescent="0.25">
      <c r="A29" s="75">
        <v>40182</v>
      </c>
      <c r="B29" s="8" t="s">
        <v>312</v>
      </c>
      <c r="C29" s="22" t="s">
        <v>1067</v>
      </c>
    </row>
    <row r="30" spans="1:3" x14ac:dyDescent="0.25">
      <c r="A30" s="75">
        <v>40161</v>
      </c>
      <c r="B30" s="8" t="s">
        <v>328</v>
      </c>
      <c r="C30" s="22" t="s">
        <v>1066</v>
      </c>
    </row>
    <row r="31" spans="1:3" x14ac:dyDescent="0.25">
      <c r="A31" s="75">
        <v>40210</v>
      </c>
      <c r="B31" s="8" t="s">
        <v>328</v>
      </c>
      <c r="C31" s="22" t="s">
        <v>1077</v>
      </c>
    </row>
    <row r="32" spans="1:3" x14ac:dyDescent="0.25">
      <c r="A32" s="75">
        <v>40142</v>
      </c>
      <c r="B32" s="8" t="s">
        <v>136</v>
      </c>
      <c r="C32" s="22" t="s">
        <v>1077</v>
      </c>
    </row>
    <row r="33" spans="1:3" x14ac:dyDescent="0.25">
      <c r="A33" s="75">
        <v>40216</v>
      </c>
      <c r="B33" s="8" t="s">
        <v>312</v>
      </c>
      <c r="C33" s="22" t="s">
        <v>1078</v>
      </c>
    </row>
    <row r="34" spans="1:3" x14ac:dyDescent="0.25">
      <c r="A34" s="75">
        <v>40169</v>
      </c>
      <c r="B34" s="8" t="s">
        <v>136</v>
      </c>
      <c r="C34" s="22" t="s">
        <v>1077</v>
      </c>
    </row>
    <row r="35" spans="1:3" x14ac:dyDescent="0.25">
      <c r="A35" s="75">
        <v>40154</v>
      </c>
      <c r="B35" s="8" t="s">
        <v>3</v>
      </c>
      <c r="C35" s="22" t="s">
        <v>1079</v>
      </c>
    </row>
    <row r="36" spans="1:3" x14ac:dyDescent="0.25">
      <c r="A36" s="75">
        <v>40159</v>
      </c>
      <c r="B36" s="8" t="s">
        <v>7</v>
      </c>
      <c r="C36" s="22" t="s">
        <v>1078</v>
      </c>
    </row>
    <row r="37" spans="1:3" x14ac:dyDescent="0.25">
      <c r="A37" s="75">
        <v>40177</v>
      </c>
      <c r="B37" s="8" t="s">
        <v>132</v>
      </c>
      <c r="C37" s="22" t="s">
        <v>1080</v>
      </c>
    </row>
    <row r="38" spans="1:3" x14ac:dyDescent="0.25">
      <c r="A38" s="75">
        <v>40174</v>
      </c>
      <c r="B38" s="8" t="s">
        <v>7</v>
      </c>
      <c r="C38" s="22" t="s">
        <v>1081</v>
      </c>
    </row>
    <row r="39" spans="1:3" x14ac:dyDescent="0.25">
      <c r="A39" s="75">
        <v>40176</v>
      </c>
      <c r="B39" s="8" t="s">
        <v>7</v>
      </c>
      <c r="C39" s="22" t="s">
        <v>1082</v>
      </c>
    </row>
    <row r="40" spans="1:3" x14ac:dyDescent="0.25">
      <c r="A40" s="75">
        <v>40183</v>
      </c>
      <c r="B40" s="8" t="s">
        <v>328</v>
      </c>
      <c r="C40" s="22" t="s">
        <v>1074</v>
      </c>
    </row>
    <row r="41" spans="1:3" x14ac:dyDescent="0.25">
      <c r="A41" s="75">
        <v>40162</v>
      </c>
      <c r="B41" s="8" t="s">
        <v>136</v>
      </c>
      <c r="C41" s="22" t="s">
        <v>1074</v>
      </c>
    </row>
    <row r="42" spans="1:3" x14ac:dyDescent="0.25">
      <c r="A42" s="75">
        <v>40148</v>
      </c>
      <c r="B42" s="8" t="s">
        <v>136</v>
      </c>
      <c r="C42" s="22" t="s">
        <v>1073</v>
      </c>
    </row>
    <row r="43" spans="1:3" x14ac:dyDescent="0.25">
      <c r="A43" s="75">
        <v>40216</v>
      </c>
      <c r="B43" s="8" t="s">
        <v>312</v>
      </c>
      <c r="C43" s="22" t="s">
        <v>1072</v>
      </c>
    </row>
    <row r="44" spans="1:3" x14ac:dyDescent="0.25">
      <c r="A44" s="75">
        <v>40143</v>
      </c>
      <c r="B44" s="8" t="s">
        <v>3</v>
      </c>
      <c r="C44" s="22" t="s">
        <v>1070</v>
      </c>
    </row>
    <row r="45" spans="1:3" x14ac:dyDescent="0.25">
      <c r="A45" s="75">
        <v>40182</v>
      </c>
      <c r="B45" s="8" t="s">
        <v>136</v>
      </c>
      <c r="C45" s="22" t="s">
        <v>1080</v>
      </c>
    </row>
    <row r="46" spans="1:3" x14ac:dyDescent="0.25">
      <c r="A46" s="75">
        <v>40207</v>
      </c>
      <c r="B46" s="8" t="s">
        <v>312</v>
      </c>
      <c r="C46" s="22" t="s">
        <v>1070</v>
      </c>
    </row>
    <row r="47" spans="1:3" x14ac:dyDescent="0.25">
      <c r="A47" s="75">
        <v>40197</v>
      </c>
      <c r="B47" s="8" t="s">
        <v>312</v>
      </c>
      <c r="C47" s="22" t="s">
        <v>1066</v>
      </c>
    </row>
    <row r="48" spans="1:3" x14ac:dyDescent="0.25">
      <c r="A48" s="75">
        <v>40223</v>
      </c>
      <c r="B48" s="8" t="s">
        <v>132</v>
      </c>
      <c r="C48" s="22" t="s">
        <v>1070</v>
      </c>
    </row>
    <row r="49" spans="1:3" x14ac:dyDescent="0.25">
      <c r="A49" s="75">
        <v>40150</v>
      </c>
      <c r="B49" s="8" t="s">
        <v>132</v>
      </c>
      <c r="C49" s="22" t="s">
        <v>1076</v>
      </c>
    </row>
    <row r="50" spans="1:3" x14ac:dyDescent="0.25">
      <c r="A50" s="75">
        <v>40180</v>
      </c>
      <c r="B50" s="8" t="s">
        <v>3</v>
      </c>
      <c r="C50" s="22" t="s">
        <v>1083</v>
      </c>
    </row>
    <row r="51" spans="1:3" x14ac:dyDescent="0.25">
      <c r="A51" s="75">
        <v>40176</v>
      </c>
      <c r="B51" s="8" t="s">
        <v>328</v>
      </c>
      <c r="C51" s="22" t="s">
        <v>1075</v>
      </c>
    </row>
    <row r="52" spans="1:3" x14ac:dyDescent="0.25">
      <c r="A52" s="75">
        <v>40143</v>
      </c>
      <c r="B52" s="8" t="s">
        <v>7</v>
      </c>
      <c r="C52" s="22" t="s">
        <v>1072</v>
      </c>
    </row>
    <row r="53" spans="1:3" x14ac:dyDescent="0.25">
      <c r="A53" s="75">
        <v>40171</v>
      </c>
      <c r="B53" s="8" t="s">
        <v>136</v>
      </c>
      <c r="C53" s="22" t="s">
        <v>1082</v>
      </c>
    </row>
    <row r="54" spans="1:3" x14ac:dyDescent="0.25">
      <c r="A54" s="75">
        <v>40157</v>
      </c>
      <c r="B54" s="8" t="s">
        <v>328</v>
      </c>
      <c r="C54" s="22" t="s">
        <v>1077</v>
      </c>
    </row>
    <row r="55" spans="1:3" x14ac:dyDescent="0.25">
      <c r="A55" s="75">
        <v>40178</v>
      </c>
      <c r="B55" s="8" t="s">
        <v>132</v>
      </c>
      <c r="C55" s="22" t="s">
        <v>1073</v>
      </c>
    </row>
    <row r="56" spans="1:3" x14ac:dyDescent="0.25">
      <c r="A56" s="75">
        <v>40163</v>
      </c>
      <c r="B56" s="8" t="s">
        <v>312</v>
      </c>
      <c r="C56" s="22" t="s">
        <v>1062</v>
      </c>
    </row>
    <row r="57" spans="1:3" x14ac:dyDescent="0.25">
      <c r="A57" s="75">
        <v>40181</v>
      </c>
      <c r="B57" s="8" t="s">
        <v>136</v>
      </c>
      <c r="C57" s="22" t="s">
        <v>1071</v>
      </c>
    </row>
    <row r="58" spans="1:3" x14ac:dyDescent="0.25">
      <c r="A58" s="75">
        <v>40173</v>
      </c>
      <c r="B58" s="8" t="s">
        <v>7</v>
      </c>
      <c r="C58" s="22" t="s">
        <v>1075</v>
      </c>
    </row>
    <row r="59" spans="1:3" x14ac:dyDescent="0.25">
      <c r="A59" s="75">
        <v>40183</v>
      </c>
      <c r="B59" s="8" t="s">
        <v>132</v>
      </c>
      <c r="C59" s="22" t="s">
        <v>1070</v>
      </c>
    </row>
    <row r="60" spans="1:3" x14ac:dyDescent="0.25">
      <c r="A60" s="75">
        <v>40166</v>
      </c>
      <c r="B60" s="8" t="s">
        <v>132</v>
      </c>
      <c r="C60" s="22" t="s">
        <v>1066</v>
      </c>
    </row>
    <row r="61" spans="1:3" x14ac:dyDescent="0.25">
      <c r="A61" s="75">
        <v>40137</v>
      </c>
      <c r="B61" s="8" t="s">
        <v>328</v>
      </c>
      <c r="C61" s="22" t="s">
        <v>1066</v>
      </c>
    </row>
    <row r="62" spans="1:3" x14ac:dyDescent="0.25">
      <c r="A62" s="75">
        <v>40181</v>
      </c>
      <c r="B62" s="8" t="s">
        <v>132</v>
      </c>
      <c r="C62" s="22" t="s">
        <v>1072</v>
      </c>
    </row>
    <row r="63" spans="1:3" x14ac:dyDescent="0.25">
      <c r="A63" s="75">
        <v>40161</v>
      </c>
      <c r="B63" s="8" t="s">
        <v>132</v>
      </c>
      <c r="C63" s="22" t="s">
        <v>1075</v>
      </c>
    </row>
    <row r="64" spans="1:3" x14ac:dyDescent="0.25">
      <c r="A64" s="75">
        <v>40179</v>
      </c>
      <c r="B64" s="8" t="s">
        <v>3</v>
      </c>
      <c r="C64" s="22" t="s">
        <v>1072</v>
      </c>
    </row>
    <row r="65" spans="1:3" x14ac:dyDescent="0.25">
      <c r="A65" s="75">
        <v>40144</v>
      </c>
      <c r="B65" s="8" t="s">
        <v>3</v>
      </c>
      <c r="C65" s="22" t="s">
        <v>1083</v>
      </c>
    </row>
    <row r="66" spans="1:3" x14ac:dyDescent="0.25">
      <c r="A66" s="75">
        <v>40179</v>
      </c>
      <c r="B66" s="8" t="s">
        <v>136</v>
      </c>
      <c r="C66" s="22" t="s">
        <v>1067</v>
      </c>
    </row>
    <row r="67" spans="1:3" x14ac:dyDescent="0.25">
      <c r="A67" s="75">
        <v>40150</v>
      </c>
      <c r="B67" s="8" t="s">
        <v>132</v>
      </c>
      <c r="C67" s="22" t="s">
        <v>1073</v>
      </c>
    </row>
    <row r="68" spans="1:3" x14ac:dyDescent="0.25">
      <c r="A68" s="75">
        <v>40142</v>
      </c>
      <c r="B68" s="8" t="s">
        <v>132</v>
      </c>
      <c r="C68" s="22" t="s">
        <v>1068</v>
      </c>
    </row>
    <row r="69" spans="1:3" x14ac:dyDescent="0.25">
      <c r="A69" s="75">
        <v>40185</v>
      </c>
      <c r="B69" s="8" t="s">
        <v>136</v>
      </c>
      <c r="C69" s="22" t="s">
        <v>1063</v>
      </c>
    </row>
    <row r="70" spans="1:3" x14ac:dyDescent="0.25">
      <c r="A70" s="75">
        <v>40211</v>
      </c>
      <c r="B70" s="8" t="s">
        <v>132</v>
      </c>
      <c r="C70" s="22" t="s">
        <v>1068</v>
      </c>
    </row>
    <row r="71" spans="1:3" x14ac:dyDescent="0.25">
      <c r="A71" s="75">
        <v>40217</v>
      </c>
      <c r="B71" s="8" t="s">
        <v>328</v>
      </c>
      <c r="C71" s="22" t="s">
        <v>1070</v>
      </c>
    </row>
    <row r="72" spans="1:3" x14ac:dyDescent="0.25">
      <c r="A72" s="75">
        <v>40191</v>
      </c>
      <c r="B72" s="8" t="s">
        <v>132</v>
      </c>
      <c r="C72" s="22" t="s">
        <v>1068</v>
      </c>
    </row>
    <row r="73" spans="1:3" x14ac:dyDescent="0.25">
      <c r="A73" s="75">
        <v>40137</v>
      </c>
      <c r="B73" s="8" t="s">
        <v>132</v>
      </c>
      <c r="C73" s="22" t="s">
        <v>1077</v>
      </c>
    </row>
    <row r="74" spans="1:3" x14ac:dyDescent="0.25">
      <c r="A74" s="75">
        <v>40170</v>
      </c>
      <c r="B74" s="8" t="s">
        <v>328</v>
      </c>
      <c r="C74" s="22" t="s">
        <v>1070</v>
      </c>
    </row>
    <row r="75" spans="1:3" x14ac:dyDescent="0.25">
      <c r="A75" s="75">
        <v>40143</v>
      </c>
      <c r="B75" s="8" t="s">
        <v>3</v>
      </c>
      <c r="C75" s="22" t="s">
        <v>1081</v>
      </c>
    </row>
    <row r="76" spans="1:3" x14ac:dyDescent="0.25">
      <c r="A76" s="75">
        <v>40148</v>
      </c>
      <c r="B76" s="8" t="s">
        <v>3</v>
      </c>
      <c r="C76" s="22" t="s">
        <v>1067</v>
      </c>
    </row>
    <row r="77" spans="1:3" x14ac:dyDescent="0.25">
      <c r="A77" s="75">
        <v>40146</v>
      </c>
      <c r="B77" s="8" t="s">
        <v>136</v>
      </c>
      <c r="C77" s="22" t="s">
        <v>1080</v>
      </c>
    </row>
    <row r="78" spans="1:3" x14ac:dyDescent="0.25">
      <c r="A78" s="75">
        <v>40191</v>
      </c>
      <c r="B78" s="8" t="s">
        <v>132</v>
      </c>
      <c r="C78" s="22" t="s">
        <v>1070</v>
      </c>
    </row>
    <row r="79" spans="1:3" x14ac:dyDescent="0.25">
      <c r="A79" s="75">
        <v>40187</v>
      </c>
      <c r="B79" s="8" t="s">
        <v>136</v>
      </c>
      <c r="C79" s="22" t="s">
        <v>1076</v>
      </c>
    </row>
    <row r="80" spans="1:3" x14ac:dyDescent="0.25">
      <c r="A80" s="75">
        <v>40208</v>
      </c>
      <c r="B80" s="8" t="s">
        <v>3</v>
      </c>
      <c r="C80" s="22" t="s">
        <v>1067</v>
      </c>
    </row>
    <row r="81" spans="1:3" x14ac:dyDescent="0.25">
      <c r="A81" s="75">
        <v>40213</v>
      </c>
      <c r="B81" s="8" t="s">
        <v>328</v>
      </c>
      <c r="C81" s="22" t="s">
        <v>1062</v>
      </c>
    </row>
    <row r="82" spans="1:3" x14ac:dyDescent="0.25">
      <c r="A82" s="75">
        <v>40180</v>
      </c>
      <c r="B82" s="8" t="s">
        <v>3</v>
      </c>
      <c r="C82" s="22" t="s">
        <v>1065</v>
      </c>
    </row>
    <row r="83" spans="1:3" x14ac:dyDescent="0.25">
      <c r="A83" s="75">
        <v>40194</v>
      </c>
      <c r="B83" s="8" t="s">
        <v>328</v>
      </c>
      <c r="C83" s="22" t="s">
        <v>1063</v>
      </c>
    </row>
    <row r="84" spans="1:3" x14ac:dyDescent="0.25">
      <c r="A84" s="75">
        <v>40175</v>
      </c>
      <c r="B84" s="8" t="s">
        <v>132</v>
      </c>
      <c r="C84" s="22" t="s">
        <v>1071</v>
      </c>
    </row>
    <row r="85" spans="1:3" x14ac:dyDescent="0.25">
      <c r="A85" s="75">
        <v>40173</v>
      </c>
      <c r="B85" s="8" t="s">
        <v>136</v>
      </c>
      <c r="C85" s="22" t="s">
        <v>1069</v>
      </c>
    </row>
    <row r="86" spans="1:3" x14ac:dyDescent="0.25">
      <c r="A86" s="75">
        <v>40145</v>
      </c>
      <c r="B86" s="8" t="s">
        <v>3</v>
      </c>
      <c r="C86" s="22" t="s">
        <v>1083</v>
      </c>
    </row>
    <row r="87" spans="1:3" x14ac:dyDescent="0.25">
      <c r="A87" s="75">
        <v>40211</v>
      </c>
      <c r="B87" s="8" t="s">
        <v>132</v>
      </c>
      <c r="C87" s="22" t="s">
        <v>1078</v>
      </c>
    </row>
    <row r="88" spans="1:3" x14ac:dyDescent="0.25">
      <c r="A88" s="75">
        <v>40174</v>
      </c>
      <c r="B88" s="8" t="s">
        <v>328</v>
      </c>
      <c r="C88" s="22" t="s">
        <v>1063</v>
      </c>
    </row>
    <row r="89" spans="1:3" x14ac:dyDescent="0.25">
      <c r="A89" s="75">
        <v>40210</v>
      </c>
      <c r="B89" s="8" t="s">
        <v>7</v>
      </c>
      <c r="C89" s="22" t="s">
        <v>1072</v>
      </c>
    </row>
    <row r="90" spans="1:3" x14ac:dyDescent="0.25">
      <c r="A90" s="75">
        <v>40172</v>
      </c>
      <c r="B90" s="8" t="s">
        <v>132</v>
      </c>
      <c r="C90" s="22" t="s">
        <v>1074</v>
      </c>
    </row>
    <row r="91" spans="1:3" x14ac:dyDescent="0.25">
      <c r="A91" s="75">
        <v>40195</v>
      </c>
      <c r="B91" s="8" t="s">
        <v>136</v>
      </c>
      <c r="C91" s="22" t="s">
        <v>1078</v>
      </c>
    </row>
    <row r="92" spans="1:3" x14ac:dyDescent="0.25">
      <c r="A92" s="75">
        <v>40193</v>
      </c>
      <c r="B92" s="8" t="s">
        <v>3</v>
      </c>
      <c r="C92" s="22" t="s">
        <v>1070</v>
      </c>
    </row>
    <row r="93" spans="1:3" x14ac:dyDescent="0.25">
      <c r="A93" s="75">
        <v>40188</v>
      </c>
      <c r="B93" s="8" t="s">
        <v>132</v>
      </c>
      <c r="C93" s="22" t="s">
        <v>1072</v>
      </c>
    </row>
    <row r="94" spans="1:3" x14ac:dyDescent="0.25">
      <c r="A94" s="75">
        <v>40183</v>
      </c>
      <c r="B94" s="8" t="s">
        <v>328</v>
      </c>
      <c r="C94" s="22" t="s">
        <v>1068</v>
      </c>
    </row>
    <row r="95" spans="1:3" x14ac:dyDescent="0.25">
      <c r="A95" s="75">
        <v>40198</v>
      </c>
      <c r="B95" s="8" t="s">
        <v>136</v>
      </c>
      <c r="C95" s="22" t="s">
        <v>1072</v>
      </c>
    </row>
    <row r="96" spans="1:3" x14ac:dyDescent="0.25">
      <c r="A96" s="75">
        <v>40155</v>
      </c>
      <c r="B96" s="8" t="s">
        <v>7</v>
      </c>
      <c r="C96" s="22" t="s">
        <v>1068</v>
      </c>
    </row>
    <row r="97" spans="1:3" x14ac:dyDescent="0.25">
      <c r="A97" s="75">
        <v>40194</v>
      </c>
      <c r="B97" s="8" t="s">
        <v>312</v>
      </c>
      <c r="C97" s="22" t="s">
        <v>1082</v>
      </c>
    </row>
    <row r="98" spans="1:3" x14ac:dyDescent="0.25">
      <c r="A98" s="75">
        <v>40166</v>
      </c>
      <c r="B98" s="8" t="s">
        <v>328</v>
      </c>
      <c r="C98" s="22" t="s">
        <v>1067</v>
      </c>
    </row>
    <row r="99" spans="1:3" x14ac:dyDescent="0.25">
      <c r="A99" s="75">
        <v>40164</v>
      </c>
      <c r="B99" s="8" t="s">
        <v>136</v>
      </c>
      <c r="C99" s="22" t="s">
        <v>1079</v>
      </c>
    </row>
    <row r="100" spans="1:3" x14ac:dyDescent="0.25">
      <c r="A100" s="75">
        <v>40197</v>
      </c>
      <c r="B100" s="8" t="s">
        <v>136</v>
      </c>
      <c r="C100" s="22" t="s">
        <v>1073</v>
      </c>
    </row>
    <row r="101" spans="1:3" x14ac:dyDescent="0.25">
      <c r="A101" s="75">
        <v>40138</v>
      </c>
      <c r="B101" s="8" t="s">
        <v>328</v>
      </c>
      <c r="C101" s="22" t="s">
        <v>1079</v>
      </c>
    </row>
    <row r="102" spans="1:3" x14ac:dyDescent="0.25">
      <c r="A102" s="75">
        <v>40227</v>
      </c>
      <c r="B102" s="8" t="s">
        <v>328</v>
      </c>
      <c r="C102" s="22" t="s">
        <v>1081</v>
      </c>
    </row>
    <row r="103" spans="1:3" x14ac:dyDescent="0.25">
      <c r="A103" s="75">
        <v>40156</v>
      </c>
      <c r="B103" s="8" t="s">
        <v>7</v>
      </c>
      <c r="C103" s="22" t="s">
        <v>1074</v>
      </c>
    </row>
    <row r="104" spans="1:3" x14ac:dyDescent="0.25">
      <c r="A104" s="75">
        <v>40182</v>
      </c>
      <c r="B104" s="8" t="s">
        <v>312</v>
      </c>
      <c r="C104" s="22" t="s">
        <v>1075</v>
      </c>
    </row>
    <row r="105" spans="1:3" x14ac:dyDescent="0.25">
      <c r="A105" s="75">
        <v>40176</v>
      </c>
      <c r="B105" s="8" t="s">
        <v>136</v>
      </c>
      <c r="C105" s="22" t="s">
        <v>1077</v>
      </c>
    </row>
    <row r="106" spans="1:3" x14ac:dyDescent="0.25">
      <c r="A106" s="75">
        <v>40176</v>
      </c>
      <c r="B106" s="8" t="s">
        <v>3</v>
      </c>
      <c r="C106" s="22" t="s">
        <v>1083</v>
      </c>
    </row>
  </sheetData>
  <autoFilter ref="A1:B106" xr:uid="{00000000-0009-0000-0000-000070000000}"/>
  <dataConsolidate topLabels="1">
    <dataRefs count="2">
      <dataRef ref="A1:C6" sheet="Filter" r:id="rId1"/>
      <dataRef ref="A10:C15" sheet="Filter" r:id="rId2"/>
    </dataRefs>
  </dataConsolid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123">
    <tabColor rgb="FF0000FF"/>
  </sheetPr>
  <dimension ref="A1:C106"/>
  <sheetViews>
    <sheetView workbookViewId="0">
      <selection activeCell="C4" sqref="C4"/>
    </sheetView>
  </sheetViews>
  <sheetFormatPr defaultColWidth="9.28515625" defaultRowHeight="15" x14ac:dyDescent="0.25"/>
  <cols>
    <col min="1" max="1" width="13.28515625" customWidth="1"/>
    <col min="2" max="2" width="11.140625" customWidth="1"/>
    <col min="3" max="3" width="10.85546875" bestFit="1" customWidth="1"/>
  </cols>
  <sheetData>
    <row r="1" spans="1:3" x14ac:dyDescent="0.25">
      <c r="A1" s="14" t="s">
        <v>0</v>
      </c>
      <c r="B1" s="14" t="s">
        <v>1</v>
      </c>
      <c r="C1" s="14" t="s">
        <v>1084</v>
      </c>
    </row>
    <row r="2" spans="1:3" x14ac:dyDescent="0.25">
      <c r="A2" s="7">
        <v>40172</v>
      </c>
      <c r="B2" s="8" t="s">
        <v>328</v>
      </c>
      <c r="C2" s="22">
        <v>94.69</v>
      </c>
    </row>
    <row r="3" spans="1:3" x14ac:dyDescent="0.25">
      <c r="A3" s="7">
        <v>40162</v>
      </c>
      <c r="B3" s="8" t="s">
        <v>132</v>
      </c>
      <c r="C3" s="22">
        <v>130.19999999999999</v>
      </c>
    </row>
    <row r="4" spans="1:3" x14ac:dyDescent="0.25">
      <c r="A4" s="7">
        <v>40158</v>
      </c>
      <c r="B4" s="8" t="s">
        <v>312</v>
      </c>
      <c r="C4" s="22">
        <v>149.94999999999999</v>
      </c>
    </row>
    <row r="5" spans="1:3" x14ac:dyDescent="0.25">
      <c r="A5" s="7">
        <v>40148</v>
      </c>
      <c r="B5" s="8" t="s">
        <v>328</v>
      </c>
      <c r="C5" s="22">
        <v>94.11</v>
      </c>
    </row>
    <row r="6" spans="1:3" x14ac:dyDescent="0.25">
      <c r="A6" s="7">
        <v>40158</v>
      </c>
      <c r="B6" s="8" t="s">
        <v>312</v>
      </c>
      <c r="C6" s="22">
        <v>136.13999999999999</v>
      </c>
    </row>
    <row r="7" spans="1:3" x14ac:dyDescent="0.25">
      <c r="A7" s="7">
        <v>40221</v>
      </c>
      <c r="B7" s="8" t="s">
        <v>136</v>
      </c>
      <c r="C7" s="22">
        <v>133.16999999999999</v>
      </c>
    </row>
    <row r="8" spans="1:3" x14ac:dyDescent="0.25">
      <c r="A8" s="7">
        <v>40154</v>
      </c>
      <c r="B8" s="8" t="s">
        <v>132</v>
      </c>
      <c r="C8" s="22">
        <v>80.81</v>
      </c>
    </row>
    <row r="9" spans="1:3" x14ac:dyDescent="0.25">
      <c r="A9" s="7">
        <v>40140</v>
      </c>
      <c r="B9" s="8" t="s">
        <v>132</v>
      </c>
      <c r="C9" s="22">
        <v>125.38</v>
      </c>
    </row>
    <row r="10" spans="1:3" x14ac:dyDescent="0.25">
      <c r="A10" s="7">
        <v>40140</v>
      </c>
      <c r="B10" s="8" t="s">
        <v>328</v>
      </c>
      <c r="C10" s="22">
        <v>78.95</v>
      </c>
    </row>
    <row r="11" spans="1:3" x14ac:dyDescent="0.25">
      <c r="A11" s="7">
        <v>40201</v>
      </c>
      <c r="B11" s="8" t="s">
        <v>132</v>
      </c>
      <c r="C11" s="22">
        <v>113.86</v>
      </c>
    </row>
    <row r="12" spans="1:3" x14ac:dyDescent="0.25">
      <c r="A12" s="7">
        <v>40199</v>
      </c>
      <c r="B12" s="8" t="s">
        <v>136</v>
      </c>
      <c r="C12" s="22">
        <v>139.38</v>
      </c>
    </row>
    <row r="13" spans="1:3" x14ac:dyDescent="0.25">
      <c r="A13" s="7">
        <v>40167</v>
      </c>
      <c r="B13" s="8" t="s">
        <v>328</v>
      </c>
      <c r="C13" s="22">
        <v>98.71</v>
      </c>
    </row>
    <row r="14" spans="1:3" x14ac:dyDescent="0.25">
      <c r="A14" s="7">
        <v>40154</v>
      </c>
      <c r="B14" s="8" t="s">
        <v>136</v>
      </c>
      <c r="C14" s="22">
        <v>76.650000000000006</v>
      </c>
    </row>
    <row r="15" spans="1:3" x14ac:dyDescent="0.25">
      <c r="A15" s="7">
        <v>40220</v>
      </c>
      <c r="B15" s="8" t="s">
        <v>328</v>
      </c>
      <c r="C15" s="22">
        <v>126.62</v>
      </c>
    </row>
    <row r="16" spans="1:3" x14ac:dyDescent="0.25">
      <c r="A16" s="7">
        <v>40191</v>
      </c>
      <c r="B16" s="8" t="s">
        <v>312</v>
      </c>
      <c r="C16" s="22">
        <v>107.9</v>
      </c>
    </row>
    <row r="17" spans="1:3" x14ac:dyDescent="0.25">
      <c r="A17" s="7">
        <v>40206</v>
      </c>
      <c r="B17" s="8" t="s">
        <v>328</v>
      </c>
      <c r="C17" s="22">
        <v>130.54</v>
      </c>
    </row>
    <row r="18" spans="1:3" x14ac:dyDescent="0.25">
      <c r="A18" s="7">
        <v>40203</v>
      </c>
      <c r="B18" s="8" t="s">
        <v>328</v>
      </c>
      <c r="C18" s="22">
        <v>140.71</v>
      </c>
    </row>
    <row r="19" spans="1:3" x14ac:dyDescent="0.25">
      <c r="A19" s="7">
        <v>40219</v>
      </c>
      <c r="B19" s="8" t="s">
        <v>3</v>
      </c>
      <c r="C19" s="22">
        <v>108.72</v>
      </c>
    </row>
    <row r="20" spans="1:3" x14ac:dyDescent="0.25">
      <c r="A20" s="7">
        <v>40173</v>
      </c>
      <c r="B20" s="8" t="s">
        <v>132</v>
      </c>
      <c r="C20" s="22">
        <v>135.18</v>
      </c>
    </row>
    <row r="21" spans="1:3" x14ac:dyDescent="0.25">
      <c r="A21" s="7">
        <v>40161</v>
      </c>
      <c r="B21" s="8" t="s">
        <v>328</v>
      </c>
      <c r="C21" s="22">
        <v>142.55000000000001</v>
      </c>
    </row>
    <row r="22" spans="1:3" x14ac:dyDescent="0.25">
      <c r="A22" s="7">
        <v>40221</v>
      </c>
      <c r="B22" s="8" t="s">
        <v>132</v>
      </c>
      <c r="C22" s="22">
        <v>140.54</v>
      </c>
    </row>
    <row r="23" spans="1:3" x14ac:dyDescent="0.25">
      <c r="A23" s="7">
        <v>40197</v>
      </c>
      <c r="B23" s="8" t="s">
        <v>312</v>
      </c>
      <c r="C23" s="22">
        <v>75.040000000000006</v>
      </c>
    </row>
    <row r="24" spans="1:3" x14ac:dyDescent="0.25">
      <c r="A24" s="7">
        <v>40225</v>
      </c>
      <c r="B24" s="8" t="s">
        <v>136</v>
      </c>
      <c r="C24" s="22">
        <v>93.15</v>
      </c>
    </row>
    <row r="25" spans="1:3" x14ac:dyDescent="0.25">
      <c r="A25" s="7">
        <v>40185</v>
      </c>
      <c r="B25" s="8" t="s">
        <v>3</v>
      </c>
      <c r="C25" s="22">
        <v>132.51</v>
      </c>
    </row>
    <row r="26" spans="1:3" x14ac:dyDescent="0.25">
      <c r="A26" s="7">
        <v>40194</v>
      </c>
      <c r="B26" s="8" t="s">
        <v>7</v>
      </c>
      <c r="C26" s="22">
        <v>85.14</v>
      </c>
    </row>
    <row r="27" spans="1:3" x14ac:dyDescent="0.25">
      <c r="A27" s="7">
        <v>40224</v>
      </c>
      <c r="B27" s="8" t="s">
        <v>312</v>
      </c>
      <c r="C27" s="22">
        <v>108.85</v>
      </c>
    </row>
    <row r="28" spans="1:3" x14ac:dyDescent="0.25">
      <c r="A28" s="7">
        <v>40160</v>
      </c>
      <c r="B28" s="8" t="s">
        <v>3</v>
      </c>
      <c r="C28" s="22">
        <v>139.91999999999999</v>
      </c>
    </row>
    <row r="29" spans="1:3" x14ac:dyDescent="0.25">
      <c r="A29" s="7">
        <v>40182</v>
      </c>
      <c r="B29" s="8" t="s">
        <v>312</v>
      </c>
      <c r="C29" s="22">
        <v>104.35</v>
      </c>
    </row>
    <row r="30" spans="1:3" x14ac:dyDescent="0.25">
      <c r="A30" s="7">
        <v>40161</v>
      </c>
      <c r="B30" s="8" t="s">
        <v>328</v>
      </c>
      <c r="C30" s="22">
        <v>88.51</v>
      </c>
    </row>
    <row r="31" spans="1:3" x14ac:dyDescent="0.25">
      <c r="A31" s="7">
        <v>40210</v>
      </c>
      <c r="B31" s="8" t="s">
        <v>328</v>
      </c>
      <c r="C31" s="22">
        <v>136.76</v>
      </c>
    </row>
    <row r="32" spans="1:3" x14ac:dyDescent="0.25">
      <c r="A32" s="7">
        <v>40142</v>
      </c>
      <c r="B32" s="8" t="s">
        <v>136</v>
      </c>
      <c r="C32" s="22">
        <v>109.57</v>
      </c>
    </row>
    <row r="33" spans="1:3" x14ac:dyDescent="0.25">
      <c r="A33" s="7">
        <v>40216</v>
      </c>
      <c r="B33" s="8" t="s">
        <v>312</v>
      </c>
      <c r="C33" s="22">
        <v>125.81</v>
      </c>
    </row>
    <row r="34" spans="1:3" x14ac:dyDescent="0.25">
      <c r="A34" s="7">
        <v>40169</v>
      </c>
      <c r="B34" s="8" t="s">
        <v>136</v>
      </c>
      <c r="C34" s="22">
        <v>150.09</v>
      </c>
    </row>
    <row r="35" spans="1:3" x14ac:dyDescent="0.25">
      <c r="A35" s="7">
        <v>40154</v>
      </c>
      <c r="B35" s="8" t="s">
        <v>3</v>
      </c>
      <c r="C35" s="22">
        <v>147.53</v>
      </c>
    </row>
    <row r="36" spans="1:3" x14ac:dyDescent="0.25">
      <c r="A36" s="7">
        <v>40159</v>
      </c>
      <c r="B36" s="8" t="s">
        <v>7</v>
      </c>
      <c r="C36" s="22">
        <v>102.17</v>
      </c>
    </row>
    <row r="37" spans="1:3" x14ac:dyDescent="0.25">
      <c r="A37" s="7">
        <v>40177</v>
      </c>
      <c r="B37" s="8" t="s">
        <v>132</v>
      </c>
      <c r="C37" s="22">
        <v>114.4</v>
      </c>
    </row>
    <row r="38" spans="1:3" x14ac:dyDescent="0.25">
      <c r="A38" s="7">
        <v>40174</v>
      </c>
      <c r="B38" s="8" t="s">
        <v>7</v>
      </c>
      <c r="C38" s="22">
        <v>129.65</v>
      </c>
    </row>
    <row r="39" spans="1:3" x14ac:dyDescent="0.25">
      <c r="A39" s="7">
        <v>40176</v>
      </c>
      <c r="B39" s="8" t="s">
        <v>7</v>
      </c>
      <c r="C39" s="22">
        <v>128.94999999999999</v>
      </c>
    </row>
    <row r="40" spans="1:3" x14ac:dyDescent="0.25">
      <c r="A40" s="7">
        <v>40183</v>
      </c>
      <c r="B40" s="8" t="s">
        <v>328</v>
      </c>
      <c r="C40" s="22">
        <v>121.33</v>
      </c>
    </row>
    <row r="41" spans="1:3" x14ac:dyDescent="0.25">
      <c r="A41" s="7">
        <v>40162</v>
      </c>
      <c r="B41" s="8" t="s">
        <v>136</v>
      </c>
      <c r="C41" s="22">
        <v>102.64</v>
      </c>
    </row>
    <row r="42" spans="1:3" x14ac:dyDescent="0.25">
      <c r="A42" s="7">
        <v>40148</v>
      </c>
      <c r="B42" s="8" t="s">
        <v>136</v>
      </c>
      <c r="C42" s="22">
        <v>132.12</v>
      </c>
    </row>
    <row r="43" spans="1:3" x14ac:dyDescent="0.25">
      <c r="A43" s="7">
        <v>40216</v>
      </c>
      <c r="B43" s="8" t="s">
        <v>312</v>
      </c>
      <c r="C43" s="22">
        <v>100.83</v>
      </c>
    </row>
    <row r="44" spans="1:3" x14ac:dyDescent="0.25">
      <c r="A44" s="7">
        <v>40143</v>
      </c>
      <c r="B44" s="8" t="s">
        <v>3</v>
      </c>
      <c r="C44" s="22">
        <v>79.42</v>
      </c>
    </row>
    <row r="45" spans="1:3" x14ac:dyDescent="0.25">
      <c r="A45" s="7">
        <v>40182</v>
      </c>
      <c r="B45" s="8" t="s">
        <v>136</v>
      </c>
      <c r="C45" s="22">
        <v>100.09</v>
      </c>
    </row>
    <row r="46" spans="1:3" x14ac:dyDescent="0.25">
      <c r="A46" s="7">
        <v>40207</v>
      </c>
      <c r="B46" s="8" t="s">
        <v>312</v>
      </c>
      <c r="C46" s="22">
        <v>83.37</v>
      </c>
    </row>
    <row r="47" spans="1:3" x14ac:dyDescent="0.25">
      <c r="A47" s="7">
        <v>40197</v>
      </c>
      <c r="B47" s="8" t="s">
        <v>312</v>
      </c>
      <c r="C47" s="22">
        <v>89.11</v>
      </c>
    </row>
    <row r="48" spans="1:3" x14ac:dyDescent="0.25">
      <c r="A48" s="7">
        <v>40223</v>
      </c>
      <c r="B48" s="8" t="s">
        <v>132</v>
      </c>
      <c r="C48" s="22">
        <v>126.97</v>
      </c>
    </row>
    <row r="49" spans="1:3" x14ac:dyDescent="0.25">
      <c r="A49" s="7">
        <v>40150</v>
      </c>
      <c r="B49" s="8" t="s">
        <v>132</v>
      </c>
      <c r="C49" s="22">
        <v>154.31</v>
      </c>
    </row>
    <row r="50" spans="1:3" x14ac:dyDescent="0.25">
      <c r="A50" s="7">
        <v>40180</v>
      </c>
      <c r="B50" s="8" t="s">
        <v>3</v>
      </c>
      <c r="C50" s="22">
        <v>76.59</v>
      </c>
    </row>
    <row r="51" spans="1:3" x14ac:dyDescent="0.25">
      <c r="A51" s="7">
        <v>40176</v>
      </c>
      <c r="B51" s="8" t="s">
        <v>328</v>
      </c>
      <c r="C51" s="22">
        <v>106.94</v>
      </c>
    </row>
    <row r="52" spans="1:3" x14ac:dyDescent="0.25">
      <c r="A52" s="7">
        <v>40143</v>
      </c>
      <c r="B52" s="8" t="s">
        <v>7</v>
      </c>
      <c r="C52" s="22">
        <v>129.86000000000001</v>
      </c>
    </row>
    <row r="53" spans="1:3" x14ac:dyDescent="0.25">
      <c r="A53" s="7">
        <v>40171</v>
      </c>
      <c r="B53" s="8" t="s">
        <v>136</v>
      </c>
      <c r="C53" s="22">
        <v>100.76</v>
      </c>
    </row>
    <row r="54" spans="1:3" x14ac:dyDescent="0.25">
      <c r="A54" s="7">
        <v>40157</v>
      </c>
      <c r="B54" s="8" t="s">
        <v>328</v>
      </c>
      <c r="C54" s="22">
        <v>124.59</v>
      </c>
    </row>
    <row r="55" spans="1:3" x14ac:dyDescent="0.25">
      <c r="A55" s="7">
        <v>40178</v>
      </c>
      <c r="B55" s="8" t="s">
        <v>132</v>
      </c>
      <c r="C55" s="22">
        <v>150.31</v>
      </c>
    </row>
    <row r="56" spans="1:3" x14ac:dyDescent="0.25">
      <c r="A56" s="7">
        <v>40163</v>
      </c>
      <c r="B56" s="8" t="s">
        <v>312</v>
      </c>
      <c r="C56" s="22">
        <v>119.78</v>
      </c>
    </row>
    <row r="57" spans="1:3" x14ac:dyDescent="0.25">
      <c r="A57" s="7">
        <v>40181</v>
      </c>
      <c r="B57" s="8" t="s">
        <v>136</v>
      </c>
      <c r="C57" s="22">
        <v>93.37</v>
      </c>
    </row>
    <row r="58" spans="1:3" x14ac:dyDescent="0.25">
      <c r="A58" s="7">
        <v>40173</v>
      </c>
      <c r="B58" s="8" t="s">
        <v>7</v>
      </c>
      <c r="C58" s="22">
        <v>87.06</v>
      </c>
    </row>
    <row r="59" spans="1:3" x14ac:dyDescent="0.25">
      <c r="A59" s="7">
        <v>40183</v>
      </c>
      <c r="B59" s="8" t="s">
        <v>132</v>
      </c>
      <c r="C59" s="22">
        <v>147.49</v>
      </c>
    </row>
    <row r="60" spans="1:3" x14ac:dyDescent="0.25">
      <c r="A60" s="7">
        <v>40166</v>
      </c>
      <c r="B60" s="8" t="s">
        <v>132</v>
      </c>
      <c r="C60" s="22">
        <v>136.94</v>
      </c>
    </row>
    <row r="61" spans="1:3" x14ac:dyDescent="0.25">
      <c r="A61" s="7">
        <v>40137</v>
      </c>
      <c r="B61" s="8" t="s">
        <v>328</v>
      </c>
      <c r="C61" s="22">
        <v>93.33</v>
      </c>
    </row>
    <row r="62" spans="1:3" x14ac:dyDescent="0.25">
      <c r="A62" s="7">
        <v>40181</v>
      </c>
      <c r="B62" s="8" t="s">
        <v>132</v>
      </c>
      <c r="C62" s="22">
        <v>128.97</v>
      </c>
    </row>
    <row r="63" spans="1:3" x14ac:dyDescent="0.25">
      <c r="A63" s="7">
        <v>40161</v>
      </c>
      <c r="B63" s="8" t="s">
        <v>132</v>
      </c>
      <c r="C63" s="22">
        <v>114.93</v>
      </c>
    </row>
    <row r="64" spans="1:3" x14ac:dyDescent="0.25">
      <c r="A64" s="7">
        <v>40179</v>
      </c>
      <c r="B64" s="8" t="s">
        <v>3</v>
      </c>
      <c r="C64" s="22">
        <v>104.57</v>
      </c>
    </row>
    <row r="65" spans="1:3" x14ac:dyDescent="0.25">
      <c r="A65" s="7">
        <v>40144</v>
      </c>
      <c r="B65" s="8" t="s">
        <v>3</v>
      </c>
      <c r="C65" s="22">
        <v>119.53</v>
      </c>
    </row>
    <row r="66" spans="1:3" x14ac:dyDescent="0.25">
      <c r="A66" s="7">
        <v>40179</v>
      </c>
      <c r="B66" s="8" t="s">
        <v>136</v>
      </c>
      <c r="C66" s="22">
        <v>127.99</v>
      </c>
    </row>
    <row r="67" spans="1:3" x14ac:dyDescent="0.25">
      <c r="A67" s="7">
        <v>40150</v>
      </c>
      <c r="B67" s="8" t="s">
        <v>132</v>
      </c>
      <c r="C67" s="22">
        <v>88.69</v>
      </c>
    </row>
    <row r="68" spans="1:3" x14ac:dyDescent="0.25">
      <c r="A68" s="7">
        <v>40142</v>
      </c>
      <c r="B68" s="8" t="s">
        <v>132</v>
      </c>
      <c r="C68" s="22">
        <v>115.67</v>
      </c>
    </row>
    <row r="69" spans="1:3" x14ac:dyDescent="0.25">
      <c r="A69" s="7">
        <v>40185</v>
      </c>
      <c r="B69" s="8" t="s">
        <v>136</v>
      </c>
      <c r="C69" s="22">
        <v>114.54</v>
      </c>
    </row>
    <row r="70" spans="1:3" x14ac:dyDescent="0.25">
      <c r="A70" s="7">
        <v>40211</v>
      </c>
      <c r="B70" s="8" t="s">
        <v>132</v>
      </c>
      <c r="C70" s="22">
        <v>128.15</v>
      </c>
    </row>
    <row r="71" spans="1:3" x14ac:dyDescent="0.25">
      <c r="A71" s="7">
        <v>40217</v>
      </c>
      <c r="B71" s="8" t="s">
        <v>328</v>
      </c>
      <c r="C71" s="22">
        <v>126.33</v>
      </c>
    </row>
    <row r="72" spans="1:3" x14ac:dyDescent="0.25">
      <c r="A72" s="7">
        <v>40191</v>
      </c>
      <c r="B72" s="8" t="s">
        <v>132</v>
      </c>
      <c r="C72" s="22">
        <v>112.03</v>
      </c>
    </row>
    <row r="73" spans="1:3" x14ac:dyDescent="0.25">
      <c r="A73" s="7">
        <v>40137</v>
      </c>
      <c r="B73" s="8" t="s">
        <v>132</v>
      </c>
      <c r="C73" s="22">
        <v>145.33000000000001</v>
      </c>
    </row>
    <row r="74" spans="1:3" x14ac:dyDescent="0.25">
      <c r="A74" s="7">
        <v>40170</v>
      </c>
      <c r="B74" s="8" t="s">
        <v>328</v>
      </c>
      <c r="C74" s="22">
        <v>109.7</v>
      </c>
    </row>
    <row r="75" spans="1:3" x14ac:dyDescent="0.25">
      <c r="A75" s="7">
        <v>40143</v>
      </c>
      <c r="B75" s="8" t="s">
        <v>3</v>
      </c>
      <c r="C75" s="22">
        <v>139.13</v>
      </c>
    </row>
    <row r="76" spans="1:3" x14ac:dyDescent="0.25">
      <c r="A76" s="7">
        <v>40148</v>
      </c>
      <c r="B76" s="8" t="s">
        <v>3</v>
      </c>
      <c r="C76" s="22">
        <v>112.5</v>
      </c>
    </row>
    <row r="77" spans="1:3" x14ac:dyDescent="0.25">
      <c r="A77" s="7">
        <v>40146</v>
      </c>
      <c r="B77" s="8" t="s">
        <v>136</v>
      </c>
      <c r="C77" s="22">
        <v>122.21</v>
      </c>
    </row>
    <row r="78" spans="1:3" x14ac:dyDescent="0.25">
      <c r="A78" s="7">
        <v>40191</v>
      </c>
      <c r="B78" s="8" t="s">
        <v>132</v>
      </c>
      <c r="C78" s="22">
        <v>135.77000000000001</v>
      </c>
    </row>
    <row r="79" spans="1:3" x14ac:dyDescent="0.25">
      <c r="A79" s="7">
        <v>40187</v>
      </c>
      <c r="B79" s="8" t="s">
        <v>136</v>
      </c>
      <c r="C79" s="22">
        <v>75.17</v>
      </c>
    </row>
    <row r="80" spans="1:3" x14ac:dyDescent="0.25">
      <c r="A80" s="7">
        <v>40208</v>
      </c>
      <c r="B80" s="8" t="s">
        <v>3</v>
      </c>
      <c r="C80" s="22">
        <v>104.5</v>
      </c>
    </row>
    <row r="81" spans="1:3" x14ac:dyDescent="0.25">
      <c r="A81" s="7">
        <v>40213</v>
      </c>
      <c r="B81" s="8" t="s">
        <v>328</v>
      </c>
      <c r="C81" s="22">
        <v>86.1</v>
      </c>
    </row>
    <row r="82" spans="1:3" x14ac:dyDescent="0.25">
      <c r="A82" s="7">
        <v>40180</v>
      </c>
      <c r="B82" s="8" t="s">
        <v>3</v>
      </c>
      <c r="C82" s="22">
        <v>143.85</v>
      </c>
    </row>
    <row r="83" spans="1:3" x14ac:dyDescent="0.25">
      <c r="A83" s="7">
        <v>40194</v>
      </c>
      <c r="B83" s="8" t="s">
        <v>328</v>
      </c>
      <c r="C83" s="22">
        <v>104.36</v>
      </c>
    </row>
    <row r="84" spans="1:3" x14ac:dyDescent="0.25">
      <c r="A84" s="7">
        <v>40175</v>
      </c>
      <c r="B84" s="8" t="s">
        <v>132</v>
      </c>
      <c r="C84" s="22">
        <v>135.02000000000001</v>
      </c>
    </row>
    <row r="85" spans="1:3" x14ac:dyDescent="0.25">
      <c r="A85" s="7">
        <v>40173</v>
      </c>
      <c r="B85" s="8" t="s">
        <v>136</v>
      </c>
      <c r="C85" s="22">
        <v>83.26</v>
      </c>
    </row>
    <row r="86" spans="1:3" x14ac:dyDescent="0.25">
      <c r="A86" s="7">
        <v>40145</v>
      </c>
      <c r="B86" s="8" t="s">
        <v>3</v>
      </c>
      <c r="C86" s="22">
        <v>114.53</v>
      </c>
    </row>
    <row r="87" spans="1:3" x14ac:dyDescent="0.25">
      <c r="A87" s="7">
        <v>40211</v>
      </c>
      <c r="B87" s="8" t="s">
        <v>132</v>
      </c>
      <c r="C87" s="22">
        <v>117.63</v>
      </c>
    </row>
    <row r="88" spans="1:3" x14ac:dyDescent="0.25">
      <c r="A88" s="7">
        <v>40174</v>
      </c>
      <c r="B88" s="8" t="s">
        <v>328</v>
      </c>
      <c r="C88" s="22">
        <v>102.24</v>
      </c>
    </row>
    <row r="89" spans="1:3" x14ac:dyDescent="0.25">
      <c r="A89" s="7">
        <v>40210</v>
      </c>
      <c r="B89" s="8" t="s">
        <v>7</v>
      </c>
      <c r="C89" s="22">
        <v>139.21</v>
      </c>
    </row>
    <row r="90" spans="1:3" x14ac:dyDescent="0.25">
      <c r="A90" s="7">
        <v>40172</v>
      </c>
      <c r="B90" s="8" t="s">
        <v>132</v>
      </c>
      <c r="C90" s="22">
        <v>119.09</v>
      </c>
    </row>
    <row r="91" spans="1:3" x14ac:dyDescent="0.25">
      <c r="A91" s="7">
        <v>40195</v>
      </c>
      <c r="B91" s="8" t="s">
        <v>136</v>
      </c>
      <c r="C91" s="22">
        <v>134.11000000000001</v>
      </c>
    </row>
    <row r="92" spans="1:3" x14ac:dyDescent="0.25">
      <c r="A92" s="7">
        <v>40193</v>
      </c>
      <c r="B92" s="8" t="s">
        <v>3</v>
      </c>
      <c r="C92" s="22">
        <v>96.17</v>
      </c>
    </row>
    <row r="93" spans="1:3" x14ac:dyDescent="0.25">
      <c r="A93" s="7">
        <v>40188</v>
      </c>
      <c r="B93" s="8" t="s">
        <v>132</v>
      </c>
      <c r="C93" s="22">
        <v>108.54</v>
      </c>
    </row>
    <row r="94" spans="1:3" x14ac:dyDescent="0.25">
      <c r="A94" s="7">
        <v>40183</v>
      </c>
      <c r="B94" s="8" t="s">
        <v>328</v>
      </c>
      <c r="C94" s="22">
        <v>78.89</v>
      </c>
    </row>
    <row r="95" spans="1:3" x14ac:dyDescent="0.25">
      <c r="A95" s="7">
        <v>40198</v>
      </c>
      <c r="B95" s="8" t="s">
        <v>136</v>
      </c>
      <c r="C95" s="22">
        <v>130.37</v>
      </c>
    </row>
    <row r="96" spans="1:3" x14ac:dyDescent="0.25">
      <c r="A96" s="7">
        <v>40155</v>
      </c>
      <c r="B96" s="8" t="s">
        <v>7</v>
      </c>
      <c r="C96" s="22">
        <v>130.5</v>
      </c>
    </row>
    <row r="97" spans="1:3" x14ac:dyDescent="0.25">
      <c r="A97" s="7">
        <v>40194</v>
      </c>
      <c r="B97" s="8" t="s">
        <v>312</v>
      </c>
      <c r="C97" s="22">
        <v>123.13</v>
      </c>
    </row>
    <row r="98" spans="1:3" x14ac:dyDescent="0.25">
      <c r="A98" s="7">
        <v>40166</v>
      </c>
      <c r="B98" s="8" t="s">
        <v>328</v>
      </c>
      <c r="C98" s="22">
        <v>131.04</v>
      </c>
    </row>
    <row r="99" spans="1:3" x14ac:dyDescent="0.25">
      <c r="A99" s="7">
        <v>40164</v>
      </c>
      <c r="B99" s="8" t="s">
        <v>136</v>
      </c>
      <c r="C99" s="22">
        <v>76.260000000000005</v>
      </c>
    </row>
    <row r="100" spans="1:3" x14ac:dyDescent="0.25">
      <c r="A100" s="7">
        <v>40197</v>
      </c>
      <c r="B100" s="8" t="s">
        <v>136</v>
      </c>
      <c r="C100" s="22">
        <v>78.459999999999994</v>
      </c>
    </row>
    <row r="101" spans="1:3" x14ac:dyDescent="0.25">
      <c r="A101" s="7">
        <v>40138</v>
      </c>
      <c r="B101" s="8" t="s">
        <v>328</v>
      </c>
      <c r="C101" s="22">
        <v>79.11</v>
      </c>
    </row>
    <row r="102" spans="1:3" x14ac:dyDescent="0.25">
      <c r="A102" s="7">
        <v>40227</v>
      </c>
      <c r="B102" s="8" t="s">
        <v>328</v>
      </c>
      <c r="C102" s="22">
        <v>75.349999999999994</v>
      </c>
    </row>
    <row r="103" spans="1:3" x14ac:dyDescent="0.25">
      <c r="A103" s="7">
        <v>40156</v>
      </c>
      <c r="B103" s="8" t="s">
        <v>7</v>
      </c>
      <c r="C103" s="22">
        <v>90.38</v>
      </c>
    </row>
    <row r="104" spans="1:3" x14ac:dyDescent="0.25">
      <c r="A104" s="7">
        <v>40182</v>
      </c>
      <c r="B104" s="8" t="s">
        <v>312</v>
      </c>
      <c r="C104" s="22">
        <v>99.94</v>
      </c>
    </row>
    <row r="105" spans="1:3" x14ac:dyDescent="0.25">
      <c r="A105" s="7">
        <v>40176</v>
      </c>
      <c r="B105" s="8" t="s">
        <v>136</v>
      </c>
      <c r="C105" s="22">
        <v>130.94999999999999</v>
      </c>
    </row>
    <row r="106" spans="1:3" x14ac:dyDescent="0.25">
      <c r="A106" s="7">
        <v>40176</v>
      </c>
      <c r="B106" s="8" t="s">
        <v>3</v>
      </c>
      <c r="C106" s="22">
        <v>152.56</v>
      </c>
    </row>
  </sheetData>
  <dataConsolidate topLabels="1">
    <dataRefs count="2">
      <dataRef ref="A1:C6" sheet="Filter" r:id="rId1"/>
      <dataRef ref="A10:C15" sheet="Filter" r:id="rId2"/>
    </dataRefs>
  </dataConsolidate>
  <pageMargins left="0.7" right="0.7" top="0.75" bottom="0.75" header="0.3" footer="0.3"/>
  <pageSetup orientation="portrait" r:id="rId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24">
    <tabColor rgb="FF0000FF"/>
  </sheetPr>
  <dimension ref="A1:F21"/>
  <sheetViews>
    <sheetView zoomScaleNormal="100" workbookViewId="0">
      <selection activeCell="A9" sqref="A9:D18"/>
    </sheetView>
  </sheetViews>
  <sheetFormatPr defaultRowHeight="15" x14ac:dyDescent="0.25"/>
  <cols>
    <col min="1" max="1" width="11.5703125" customWidth="1"/>
    <col min="2" max="2" width="10.140625" bestFit="1" customWidth="1"/>
    <col min="3" max="3" width="11.5703125" bestFit="1" customWidth="1"/>
    <col min="4" max="4" width="12.140625" customWidth="1"/>
    <col min="5" max="5" width="7.7109375" bestFit="1" customWidth="1"/>
    <col min="6" max="6" width="14.85546875" bestFit="1" customWidth="1"/>
    <col min="7" max="7" width="10.140625" bestFit="1" customWidth="1"/>
    <col min="8" max="8" width="9.140625" bestFit="1" customWidth="1"/>
    <col min="9" max="9" width="11.5703125" bestFit="1" customWidth="1"/>
    <col min="10" max="10" width="12" bestFit="1" customWidth="1"/>
    <col min="11" max="11" width="7.140625" bestFit="1" customWidth="1"/>
    <col min="12" max="12" width="9.85546875" bestFit="1" customWidth="1"/>
    <col min="13" max="13" width="8.7109375" bestFit="1" customWidth="1"/>
    <col min="14" max="14" width="10.5703125" bestFit="1" customWidth="1"/>
    <col min="15" max="15" width="8.85546875" bestFit="1" customWidth="1"/>
  </cols>
  <sheetData>
    <row r="1" spans="1:6" x14ac:dyDescent="0.25">
      <c r="A1" s="250" t="s">
        <v>1085</v>
      </c>
      <c r="B1" s="251"/>
      <c r="C1" s="251"/>
      <c r="D1" s="252"/>
    </row>
    <row r="2" spans="1:6" ht="6" customHeight="1" x14ac:dyDescent="0.25"/>
    <row r="3" spans="1:6" x14ac:dyDescent="0.25">
      <c r="A3" s="253" t="s">
        <v>0</v>
      </c>
      <c r="B3" s="253" t="s">
        <v>302</v>
      </c>
      <c r="C3" s="253" t="s">
        <v>1</v>
      </c>
      <c r="D3" s="253" t="s">
        <v>37</v>
      </c>
    </row>
    <row r="4" spans="1:6" x14ac:dyDescent="0.25">
      <c r="A4" s="7"/>
      <c r="B4" s="8" t="s">
        <v>321</v>
      </c>
      <c r="C4" s="8"/>
      <c r="D4" s="8"/>
    </row>
    <row r="6" spans="1:6" x14ac:dyDescent="0.25">
      <c r="A6" s="217"/>
      <c r="B6" s="217"/>
      <c r="C6" s="217"/>
      <c r="D6" s="217"/>
      <c r="E6" s="217"/>
    </row>
    <row r="7" spans="1:6" x14ac:dyDescent="0.25">
      <c r="A7" s="254" t="s">
        <v>1086</v>
      </c>
      <c r="B7" s="255"/>
      <c r="C7" s="255"/>
      <c r="D7" s="256"/>
      <c r="E7" s="217"/>
    </row>
    <row r="8" spans="1:6" ht="6" customHeight="1" x14ac:dyDescent="0.25"/>
    <row r="9" spans="1:6" x14ac:dyDescent="0.25">
      <c r="A9" s="134" t="s">
        <v>0</v>
      </c>
      <c r="B9" s="134" t="s">
        <v>302</v>
      </c>
      <c r="C9" s="134" t="s">
        <v>1</v>
      </c>
      <c r="D9" s="134" t="s">
        <v>37</v>
      </c>
    </row>
    <row r="10" spans="1:6" x14ac:dyDescent="0.25">
      <c r="A10" s="7">
        <v>41176</v>
      </c>
      <c r="B10" s="8" t="s">
        <v>317</v>
      </c>
      <c r="C10" s="8" t="s">
        <v>328</v>
      </c>
      <c r="D10" s="22">
        <v>315</v>
      </c>
      <c r="E10" s="197"/>
    </row>
    <row r="11" spans="1:6" x14ac:dyDescent="0.25">
      <c r="A11" s="7">
        <v>40999</v>
      </c>
      <c r="B11" s="8" t="s">
        <v>315</v>
      </c>
      <c r="C11" s="8" t="s">
        <v>132</v>
      </c>
      <c r="D11" s="22">
        <v>966</v>
      </c>
      <c r="E11" s="197"/>
    </row>
    <row r="12" spans="1:6" x14ac:dyDescent="0.25">
      <c r="A12" s="7">
        <v>41242</v>
      </c>
      <c r="B12" s="8" t="s">
        <v>321</v>
      </c>
      <c r="C12" s="8" t="s">
        <v>7</v>
      </c>
      <c r="D12" s="22">
        <v>1188</v>
      </c>
      <c r="E12" s="197"/>
    </row>
    <row r="13" spans="1:6" x14ac:dyDescent="0.25">
      <c r="A13" s="7">
        <v>40785</v>
      </c>
      <c r="B13" s="8" t="s">
        <v>317</v>
      </c>
      <c r="C13" s="8" t="s">
        <v>328</v>
      </c>
      <c r="D13" s="22">
        <v>1239</v>
      </c>
      <c r="E13" s="197"/>
    </row>
    <row r="14" spans="1:6" x14ac:dyDescent="0.25">
      <c r="A14" s="7">
        <v>41140</v>
      </c>
      <c r="B14" s="8" t="s">
        <v>321</v>
      </c>
      <c r="C14" s="8" t="s">
        <v>136</v>
      </c>
      <c r="D14" s="22">
        <v>682</v>
      </c>
      <c r="E14" s="197"/>
      <c r="F14" s="197"/>
    </row>
    <row r="15" spans="1:6" x14ac:dyDescent="0.25">
      <c r="A15" s="7">
        <v>40583</v>
      </c>
      <c r="B15" s="8" t="s">
        <v>317</v>
      </c>
      <c r="C15" s="8" t="s">
        <v>7</v>
      </c>
      <c r="D15" s="22">
        <v>504</v>
      </c>
      <c r="E15" s="197"/>
      <c r="F15" s="197"/>
    </row>
    <row r="16" spans="1:6" x14ac:dyDescent="0.25">
      <c r="A16" s="7">
        <v>41046</v>
      </c>
      <c r="B16" s="8" t="s">
        <v>319</v>
      </c>
      <c r="C16" s="8" t="s">
        <v>3</v>
      </c>
      <c r="D16" s="22">
        <v>1323</v>
      </c>
      <c r="E16" s="197"/>
      <c r="F16" s="197"/>
    </row>
    <row r="17" spans="1:6" x14ac:dyDescent="0.25">
      <c r="A17" s="7">
        <v>41106</v>
      </c>
      <c r="B17" s="8" t="s">
        <v>311</v>
      </c>
      <c r="C17" s="8" t="s">
        <v>3</v>
      </c>
      <c r="D17" s="22">
        <v>988</v>
      </c>
      <c r="E17" s="197"/>
      <c r="F17" s="197"/>
    </row>
    <row r="18" spans="1:6" x14ac:dyDescent="0.25">
      <c r="A18" s="7">
        <v>40807</v>
      </c>
      <c r="B18" s="8" t="s">
        <v>319</v>
      </c>
      <c r="C18" s="8" t="s">
        <v>3</v>
      </c>
      <c r="D18" s="22">
        <v>621</v>
      </c>
      <c r="E18" s="197"/>
      <c r="F18" s="197"/>
    </row>
    <row r="20" spans="1:6" x14ac:dyDescent="0.25">
      <c r="A20" s="257" t="s">
        <v>1087</v>
      </c>
      <c r="B20" s="258"/>
      <c r="C20" s="258"/>
      <c r="D20" s="259"/>
    </row>
    <row r="21" spans="1:6" ht="6" customHeight="1" x14ac:dyDescent="0.25"/>
  </sheetData>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25">
    <tabColor rgb="FF0000FF"/>
  </sheetPr>
  <dimension ref="A1:F21"/>
  <sheetViews>
    <sheetView zoomScaleNormal="100" workbookViewId="0">
      <selection activeCell="A10" sqref="A10"/>
    </sheetView>
  </sheetViews>
  <sheetFormatPr defaultColWidth="9.140625" defaultRowHeight="15" x14ac:dyDescent="0.25"/>
  <cols>
    <col min="1" max="1" width="11.5703125" customWidth="1"/>
    <col min="2" max="2" width="10.140625" bestFit="1" customWidth="1"/>
    <col min="3" max="3" width="11.5703125" bestFit="1" customWidth="1"/>
    <col min="4" max="4" width="12.140625" customWidth="1"/>
    <col min="5" max="5" width="7.7109375" bestFit="1" customWidth="1"/>
    <col min="6" max="6" width="14.85546875" bestFit="1" customWidth="1"/>
    <col min="7" max="7" width="10.140625" bestFit="1" customWidth="1"/>
    <col min="8" max="8" width="9.140625" bestFit="1" customWidth="1"/>
    <col min="9" max="9" width="11.5703125" bestFit="1" customWidth="1"/>
    <col min="10" max="10" width="12" bestFit="1" customWidth="1"/>
    <col min="11" max="11" width="7.140625" bestFit="1" customWidth="1"/>
    <col min="12" max="12" width="9.85546875" bestFit="1" customWidth="1"/>
    <col min="13" max="13" width="8.7109375" bestFit="1" customWidth="1"/>
    <col min="14" max="14" width="10.5703125" bestFit="1" customWidth="1"/>
    <col min="15" max="15" width="8.85546875" bestFit="1" customWidth="1"/>
  </cols>
  <sheetData>
    <row r="1" spans="1:6" x14ac:dyDescent="0.25">
      <c r="A1" s="250" t="s">
        <v>1085</v>
      </c>
      <c r="B1" s="251"/>
      <c r="C1" s="251"/>
      <c r="D1" s="252"/>
    </row>
    <row r="2" spans="1:6" ht="6" customHeight="1" x14ac:dyDescent="0.25"/>
    <row r="3" spans="1:6" x14ac:dyDescent="0.25">
      <c r="A3" s="253" t="s">
        <v>0</v>
      </c>
      <c r="B3" s="253" t="s">
        <v>302</v>
      </c>
      <c r="C3" s="253" t="s">
        <v>1</v>
      </c>
      <c r="D3" s="253" t="s">
        <v>37</v>
      </c>
    </row>
    <row r="4" spans="1:6" x14ac:dyDescent="0.25">
      <c r="A4" s="7"/>
      <c r="B4" s="8" t="s">
        <v>317</v>
      </c>
      <c r="C4" s="8"/>
      <c r="D4" s="8" t="s">
        <v>1088</v>
      </c>
    </row>
    <row r="6" spans="1:6" x14ac:dyDescent="0.25">
      <c r="A6" s="217"/>
      <c r="B6" s="217"/>
      <c r="C6" s="217"/>
      <c r="D6" s="217"/>
      <c r="E6" s="217"/>
    </row>
    <row r="7" spans="1:6" x14ac:dyDescent="0.25">
      <c r="A7" s="254" t="s">
        <v>1086</v>
      </c>
      <c r="B7" s="255"/>
      <c r="C7" s="255"/>
      <c r="D7" s="256"/>
      <c r="E7" s="217"/>
    </row>
    <row r="8" spans="1:6" ht="6" customHeight="1" x14ac:dyDescent="0.25"/>
    <row r="9" spans="1:6" x14ac:dyDescent="0.25">
      <c r="A9" s="134" t="s">
        <v>0</v>
      </c>
      <c r="B9" s="134" t="s">
        <v>302</v>
      </c>
      <c r="C9" s="134" t="s">
        <v>1</v>
      </c>
      <c r="D9" s="134" t="s">
        <v>37</v>
      </c>
    </row>
    <row r="10" spans="1:6" x14ac:dyDescent="0.25">
      <c r="A10" s="7">
        <v>41176</v>
      </c>
      <c r="B10" s="8" t="s">
        <v>317</v>
      </c>
      <c r="C10" s="8" t="s">
        <v>328</v>
      </c>
      <c r="D10" s="22">
        <v>315</v>
      </c>
      <c r="E10" s="197"/>
    </row>
    <row r="11" spans="1:6" x14ac:dyDescent="0.25">
      <c r="A11" s="7">
        <v>40999</v>
      </c>
      <c r="B11" s="8" t="s">
        <v>315</v>
      </c>
      <c r="C11" s="8" t="s">
        <v>132</v>
      </c>
      <c r="D11" s="22">
        <v>966</v>
      </c>
      <c r="E11" s="197"/>
    </row>
    <row r="12" spans="1:6" x14ac:dyDescent="0.25">
      <c r="A12" s="7">
        <v>41242</v>
      </c>
      <c r="B12" s="8" t="s">
        <v>321</v>
      </c>
      <c r="C12" s="8" t="s">
        <v>7</v>
      </c>
      <c r="D12" s="22">
        <v>1188</v>
      </c>
      <c r="E12" s="197"/>
    </row>
    <row r="13" spans="1:6" x14ac:dyDescent="0.25">
      <c r="A13" s="7">
        <v>40785</v>
      </c>
      <c r="B13" s="8" t="s">
        <v>317</v>
      </c>
      <c r="C13" s="8" t="s">
        <v>328</v>
      </c>
      <c r="D13" s="22">
        <v>1239</v>
      </c>
      <c r="E13" s="197"/>
    </row>
    <row r="14" spans="1:6" x14ac:dyDescent="0.25">
      <c r="A14" s="7">
        <v>41140</v>
      </c>
      <c r="B14" s="8" t="s">
        <v>321</v>
      </c>
      <c r="C14" s="8" t="s">
        <v>136</v>
      </c>
      <c r="D14" s="22">
        <v>682</v>
      </c>
      <c r="E14" s="197"/>
      <c r="F14" s="197"/>
    </row>
    <row r="15" spans="1:6" x14ac:dyDescent="0.25">
      <c r="A15" s="7">
        <v>40583</v>
      </c>
      <c r="B15" s="8" t="s">
        <v>317</v>
      </c>
      <c r="C15" s="8" t="s">
        <v>7</v>
      </c>
      <c r="D15" s="22">
        <v>504</v>
      </c>
      <c r="E15" s="197"/>
      <c r="F15" s="197"/>
    </row>
    <row r="16" spans="1:6" x14ac:dyDescent="0.25">
      <c r="A16" s="7">
        <v>41046</v>
      </c>
      <c r="B16" s="8" t="s">
        <v>319</v>
      </c>
      <c r="C16" s="8" t="s">
        <v>3</v>
      </c>
      <c r="D16" s="22">
        <v>1323</v>
      </c>
      <c r="E16" s="197"/>
      <c r="F16" s="197"/>
    </row>
    <row r="17" spans="1:6" x14ac:dyDescent="0.25">
      <c r="A17" s="7">
        <v>41106</v>
      </c>
      <c r="B17" s="8" t="s">
        <v>311</v>
      </c>
      <c r="C17" s="8" t="s">
        <v>3</v>
      </c>
      <c r="D17" s="22">
        <v>988</v>
      </c>
      <c r="E17" s="197"/>
      <c r="F17" s="197"/>
    </row>
    <row r="18" spans="1:6" x14ac:dyDescent="0.25">
      <c r="A18" s="7">
        <v>40807</v>
      </c>
      <c r="B18" s="8" t="s">
        <v>319</v>
      </c>
      <c r="C18" s="8" t="s">
        <v>3</v>
      </c>
      <c r="D18" s="22">
        <v>621</v>
      </c>
      <c r="E18" s="197"/>
      <c r="F18" s="197"/>
    </row>
    <row r="20" spans="1:6" x14ac:dyDescent="0.25">
      <c r="A20" s="257" t="s">
        <v>1087</v>
      </c>
      <c r="B20" s="258"/>
      <c r="C20" s="258"/>
      <c r="D20" s="259"/>
    </row>
    <row r="21" spans="1:6" ht="6" customHeight="1" x14ac:dyDescent="0.25"/>
  </sheetData>
  <pageMargins left="0.7" right="0.7" top="0.75" bottom="0.75" header="0.3" footer="0.3"/>
  <pageSetup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26">
    <tabColor rgb="FF0000FF"/>
  </sheetPr>
  <dimension ref="A1:F21"/>
  <sheetViews>
    <sheetView topLeftCell="A2" zoomScaleNormal="100" workbookViewId="0">
      <selection activeCell="A10" sqref="A10"/>
    </sheetView>
  </sheetViews>
  <sheetFormatPr defaultColWidth="9.140625" defaultRowHeight="15" x14ac:dyDescent="0.25"/>
  <cols>
    <col min="1" max="1" width="11.5703125" customWidth="1"/>
    <col min="2" max="2" width="10.140625" bestFit="1" customWidth="1"/>
    <col min="3" max="3" width="11.5703125" bestFit="1" customWidth="1"/>
    <col min="4" max="4" width="12.140625" customWidth="1"/>
    <col min="5" max="5" width="7.7109375" bestFit="1" customWidth="1"/>
    <col min="6" max="6" width="14.85546875" bestFit="1" customWidth="1"/>
    <col min="7" max="7" width="10.140625" bestFit="1" customWidth="1"/>
    <col min="8" max="8" width="9.140625" bestFit="1" customWidth="1"/>
    <col min="9" max="9" width="11.5703125" bestFit="1" customWidth="1"/>
    <col min="10" max="10" width="12" bestFit="1" customWidth="1"/>
    <col min="11" max="11" width="7.140625" bestFit="1" customWidth="1"/>
    <col min="12" max="12" width="9.85546875" bestFit="1" customWidth="1"/>
    <col min="13" max="13" width="8.7109375" bestFit="1" customWidth="1"/>
    <col min="14" max="14" width="10.5703125" bestFit="1" customWidth="1"/>
    <col min="15" max="15" width="8.85546875" bestFit="1" customWidth="1"/>
  </cols>
  <sheetData>
    <row r="1" spans="1:6" x14ac:dyDescent="0.25">
      <c r="A1" s="250" t="s">
        <v>1085</v>
      </c>
      <c r="B1" s="251"/>
      <c r="C1" s="251"/>
      <c r="D1" s="252"/>
    </row>
    <row r="2" spans="1:6" ht="6" customHeight="1" x14ac:dyDescent="0.25"/>
    <row r="3" spans="1:6" x14ac:dyDescent="0.25">
      <c r="A3" s="253" t="s">
        <v>0</v>
      </c>
      <c r="B3" s="253" t="s">
        <v>302</v>
      </c>
      <c r="C3" s="253" t="s">
        <v>1</v>
      </c>
      <c r="D3" s="253" t="s">
        <v>37</v>
      </c>
    </row>
    <row r="4" spans="1:6" x14ac:dyDescent="0.25">
      <c r="A4" s="7"/>
      <c r="B4" s="8" t="s">
        <v>315</v>
      </c>
      <c r="C4" s="8"/>
      <c r="D4" s="8"/>
    </row>
    <row r="5" spans="1:6" x14ac:dyDescent="0.25">
      <c r="A5" s="8"/>
      <c r="B5" s="8" t="s">
        <v>321</v>
      </c>
      <c r="C5" s="8"/>
      <c r="D5" s="8"/>
    </row>
    <row r="6" spans="1:6" x14ac:dyDescent="0.25">
      <c r="A6" s="217"/>
      <c r="B6" s="217"/>
      <c r="C6" s="217"/>
      <c r="D6" s="217"/>
      <c r="E6" s="217"/>
    </row>
    <row r="7" spans="1:6" x14ac:dyDescent="0.25">
      <c r="A7" s="254" t="s">
        <v>1086</v>
      </c>
      <c r="B7" s="255"/>
      <c r="C7" s="255"/>
      <c r="D7" s="256"/>
      <c r="E7" s="217"/>
    </row>
    <row r="8" spans="1:6" ht="6" customHeight="1" x14ac:dyDescent="0.25"/>
    <row r="9" spans="1:6" x14ac:dyDescent="0.25">
      <c r="A9" s="134" t="s">
        <v>0</v>
      </c>
      <c r="B9" s="134" t="s">
        <v>302</v>
      </c>
      <c r="C9" s="134" t="s">
        <v>1</v>
      </c>
      <c r="D9" s="134" t="s">
        <v>37</v>
      </c>
    </row>
    <row r="10" spans="1:6" x14ac:dyDescent="0.25">
      <c r="A10" s="7">
        <v>41176</v>
      </c>
      <c r="B10" s="8" t="s">
        <v>317</v>
      </c>
      <c r="C10" s="8" t="s">
        <v>328</v>
      </c>
      <c r="D10" s="22">
        <v>315</v>
      </c>
      <c r="E10" s="197"/>
    </row>
    <row r="11" spans="1:6" x14ac:dyDescent="0.25">
      <c r="A11" s="7">
        <v>40999</v>
      </c>
      <c r="B11" s="8" t="s">
        <v>315</v>
      </c>
      <c r="C11" s="8" t="s">
        <v>132</v>
      </c>
      <c r="D11" s="22">
        <v>966</v>
      </c>
      <c r="E11" s="197"/>
    </row>
    <row r="12" spans="1:6" x14ac:dyDescent="0.25">
      <c r="A12" s="7">
        <v>41242</v>
      </c>
      <c r="B12" s="8" t="s">
        <v>321</v>
      </c>
      <c r="C12" s="8" t="s">
        <v>7</v>
      </c>
      <c r="D12" s="22">
        <v>1188</v>
      </c>
      <c r="E12" s="197"/>
    </row>
    <row r="13" spans="1:6" x14ac:dyDescent="0.25">
      <c r="A13" s="7">
        <v>40785</v>
      </c>
      <c r="B13" s="8" t="s">
        <v>317</v>
      </c>
      <c r="C13" s="8" t="s">
        <v>328</v>
      </c>
      <c r="D13" s="22">
        <v>1239</v>
      </c>
      <c r="E13" s="197"/>
    </row>
    <row r="14" spans="1:6" x14ac:dyDescent="0.25">
      <c r="A14" s="7">
        <v>41140</v>
      </c>
      <c r="B14" s="8" t="s">
        <v>321</v>
      </c>
      <c r="C14" s="8" t="s">
        <v>136</v>
      </c>
      <c r="D14" s="22">
        <v>682</v>
      </c>
      <c r="E14" s="197"/>
      <c r="F14" s="197"/>
    </row>
    <row r="15" spans="1:6" x14ac:dyDescent="0.25">
      <c r="A15" s="7">
        <v>40583</v>
      </c>
      <c r="B15" s="8" t="s">
        <v>317</v>
      </c>
      <c r="C15" s="8" t="s">
        <v>7</v>
      </c>
      <c r="D15" s="22">
        <v>504</v>
      </c>
      <c r="E15" s="197"/>
      <c r="F15" s="197"/>
    </row>
    <row r="16" spans="1:6" x14ac:dyDescent="0.25">
      <c r="A16" s="7">
        <v>41046</v>
      </c>
      <c r="B16" s="8" t="s">
        <v>319</v>
      </c>
      <c r="C16" s="8" t="s">
        <v>3</v>
      </c>
      <c r="D16" s="22">
        <v>1323</v>
      </c>
      <c r="E16" s="197"/>
      <c r="F16" s="197"/>
    </row>
    <row r="17" spans="1:6" x14ac:dyDescent="0.25">
      <c r="A17" s="7">
        <v>41106</v>
      </c>
      <c r="B17" s="8" t="s">
        <v>311</v>
      </c>
      <c r="C17" s="8" t="s">
        <v>3</v>
      </c>
      <c r="D17" s="22">
        <v>988</v>
      </c>
      <c r="E17" s="197"/>
      <c r="F17" s="197"/>
    </row>
    <row r="18" spans="1:6" x14ac:dyDescent="0.25">
      <c r="A18" s="7">
        <v>40807</v>
      </c>
      <c r="B18" s="8" t="s">
        <v>319</v>
      </c>
      <c r="C18" s="8" t="s">
        <v>3</v>
      </c>
      <c r="D18" s="22">
        <v>621</v>
      </c>
      <c r="E18" s="197"/>
      <c r="F18" s="197"/>
    </row>
    <row r="20" spans="1:6" x14ac:dyDescent="0.25">
      <c r="A20" s="257" t="s">
        <v>1087</v>
      </c>
      <c r="B20" s="258"/>
      <c r="C20" s="258"/>
      <c r="D20" s="259"/>
    </row>
    <row r="21" spans="1:6" ht="6" customHeight="1" x14ac:dyDescent="0.25"/>
  </sheetData>
  <pageMargins left="0.7" right="0.7" top="0.75" bottom="0.75" header="0.3" footer="0.3"/>
  <pageSetup orientation="portrait"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27">
    <tabColor rgb="FF0000FF"/>
  </sheetPr>
  <dimension ref="A1:D22"/>
  <sheetViews>
    <sheetView zoomScaleNormal="100" workbookViewId="0">
      <selection activeCell="A10" sqref="A10"/>
    </sheetView>
  </sheetViews>
  <sheetFormatPr defaultRowHeight="15" x14ac:dyDescent="0.25"/>
  <cols>
    <col min="1" max="1" width="11.5703125" customWidth="1"/>
    <col min="2" max="2" width="10.140625" bestFit="1"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4" x14ac:dyDescent="0.25">
      <c r="A1" s="250" t="s">
        <v>1085</v>
      </c>
      <c r="B1" s="251"/>
      <c r="C1" s="251"/>
      <c r="D1" s="252"/>
    </row>
    <row r="2" spans="1:4" ht="6" customHeight="1" x14ac:dyDescent="0.25"/>
    <row r="3" spans="1:4" x14ac:dyDescent="0.25">
      <c r="A3" s="253" t="s">
        <v>0</v>
      </c>
      <c r="B3" s="253" t="s">
        <v>302</v>
      </c>
      <c r="C3" s="253" t="s">
        <v>1</v>
      </c>
      <c r="D3" s="253" t="s">
        <v>37</v>
      </c>
    </row>
    <row r="4" spans="1:4" x14ac:dyDescent="0.25">
      <c r="A4" s="7"/>
      <c r="B4" s="8" t="s">
        <v>319</v>
      </c>
      <c r="C4" s="8"/>
      <c r="D4" s="8" t="s">
        <v>1089</v>
      </c>
    </row>
    <row r="5" spans="1:4" x14ac:dyDescent="0.25">
      <c r="A5" s="8"/>
      <c r="B5" s="8" t="s">
        <v>321</v>
      </c>
      <c r="C5" s="8"/>
      <c r="D5" s="8" t="s">
        <v>1089</v>
      </c>
    </row>
    <row r="6" spans="1:4" x14ac:dyDescent="0.25">
      <c r="A6" s="217"/>
      <c r="B6" s="217"/>
      <c r="C6" s="217"/>
      <c r="D6" s="217"/>
    </row>
    <row r="7" spans="1:4" x14ac:dyDescent="0.25">
      <c r="A7" s="254" t="s">
        <v>1086</v>
      </c>
      <c r="B7" s="255"/>
      <c r="C7" s="255"/>
      <c r="D7" s="256"/>
    </row>
    <row r="8" spans="1:4" ht="6" customHeight="1" x14ac:dyDescent="0.25"/>
    <row r="9" spans="1:4" x14ac:dyDescent="0.25">
      <c r="A9" s="134" t="s">
        <v>0</v>
      </c>
      <c r="B9" s="134" t="s">
        <v>302</v>
      </c>
      <c r="C9" s="134" t="s">
        <v>1</v>
      </c>
      <c r="D9" s="134" t="s">
        <v>37</v>
      </c>
    </row>
    <row r="10" spans="1:4" x14ac:dyDescent="0.25">
      <c r="A10" s="7">
        <v>41176</v>
      </c>
      <c r="B10" s="8" t="s">
        <v>317</v>
      </c>
      <c r="C10" s="8" t="s">
        <v>328</v>
      </c>
      <c r="D10" s="22">
        <v>315</v>
      </c>
    </row>
    <row r="11" spans="1:4" x14ac:dyDescent="0.25">
      <c r="A11" s="7">
        <v>40999</v>
      </c>
      <c r="B11" s="8" t="s">
        <v>315</v>
      </c>
      <c r="C11" s="8" t="s">
        <v>132</v>
      </c>
      <c r="D11" s="22">
        <v>966</v>
      </c>
    </row>
    <row r="12" spans="1:4" x14ac:dyDescent="0.25">
      <c r="A12" s="7">
        <v>41242</v>
      </c>
      <c r="B12" s="8" t="s">
        <v>321</v>
      </c>
      <c r="C12" s="8" t="s">
        <v>7</v>
      </c>
      <c r="D12" s="22">
        <v>1188</v>
      </c>
    </row>
    <row r="13" spans="1:4" x14ac:dyDescent="0.25">
      <c r="A13" s="7">
        <v>40785</v>
      </c>
      <c r="B13" s="8" t="s">
        <v>317</v>
      </c>
      <c r="C13" s="8" t="s">
        <v>328</v>
      </c>
      <c r="D13" s="22">
        <v>1239</v>
      </c>
    </row>
    <row r="14" spans="1:4" x14ac:dyDescent="0.25">
      <c r="A14" s="7">
        <v>41140</v>
      </c>
      <c r="B14" s="8" t="s">
        <v>321</v>
      </c>
      <c r="C14" s="8" t="s">
        <v>136</v>
      </c>
      <c r="D14" s="22">
        <v>682</v>
      </c>
    </row>
    <row r="15" spans="1:4" x14ac:dyDescent="0.25">
      <c r="A15" s="7">
        <v>40583</v>
      </c>
      <c r="B15" s="8" t="s">
        <v>317</v>
      </c>
      <c r="C15" s="8" t="s">
        <v>7</v>
      </c>
      <c r="D15" s="22">
        <v>504</v>
      </c>
    </row>
    <row r="16" spans="1:4" x14ac:dyDescent="0.25">
      <c r="A16" s="7">
        <v>41046</v>
      </c>
      <c r="B16" s="8" t="s">
        <v>319</v>
      </c>
      <c r="C16" s="8" t="s">
        <v>3</v>
      </c>
      <c r="D16" s="22">
        <v>1323</v>
      </c>
    </row>
    <row r="17" spans="1:4" x14ac:dyDescent="0.25">
      <c r="A17" s="7">
        <v>41106</v>
      </c>
      <c r="B17" s="8" t="s">
        <v>311</v>
      </c>
      <c r="C17" s="8" t="s">
        <v>3</v>
      </c>
      <c r="D17" s="22">
        <v>988</v>
      </c>
    </row>
    <row r="18" spans="1:4" x14ac:dyDescent="0.25">
      <c r="A18" s="7">
        <v>40807</v>
      </c>
      <c r="B18" s="8" t="s">
        <v>319</v>
      </c>
      <c r="C18" s="8" t="s">
        <v>3</v>
      </c>
      <c r="D18" s="22">
        <v>621</v>
      </c>
    </row>
    <row r="20" spans="1:4" x14ac:dyDescent="0.25">
      <c r="A20" s="257" t="s">
        <v>1087</v>
      </c>
      <c r="B20" s="258"/>
      <c r="C20" s="258"/>
      <c r="D20" s="259"/>
    </row>
    <row r="21" spans="1:4" ht="6" customHeight="1" x14ac:dyDescent="0.25"/>
    <row r="22" spans="1:4" x14ac:dyDescent="0.25">
      <c r="A22" s="134" t="s">
        <v>0</v>
      </c>
      <c r="B22" s="134" t="s">
        <v>302</v>
      </c>
      <c r="C22" s="134" t="s">
        <v>1</v>
      </c>
      <c r="D22" s="134" t="s">
        <v>37</v>
      </c>
    </row>
  </sheetData>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28">
    <tabColor rgb="FF0000FF"/>
  </sheetPr>
  <dimension ref="A1:E21"/>
  <sheetViews>
    <sheetView zoomScaleNormal="100" workbookViewId="0">
      <selection activeCell="B10" sqref="B10"/>
    </sheetView>
  </sheetViews>
  <sheetFormatPr defaultColWidth="9.140625" defaultRowHeight="15" x14ac:dyDescent="0.25"/>
  <cols>
    <col min="1" max="1" width="11.5703125" customWidth="1"/>
    <col min="2" max="2" width="10.140625" bestFit="1"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5" x14ac:dyDescent="0.25">
      <c r="A1" s="250" t="s">
        <v>1085</v>
      </c>
      <c r="B1" s="251"/>
      <c r="C1" s="251"/>
      <c r="D1" s="252"/>
    </row>
    <row r="2" spans="1:5" ht="6" customHeight="1" x14ac:dyDescent="0.25"/>
    <row r="3" spans="1:5" x14ac:dyDescent="0.25">
      <c r="A3" s="253" t="s">
        <v>0</v>
      </c>
      <c r="B3" s="253" t="s">
        <v>302</v>
      </c>
      <c r="C3" s="253" t="s">
        <v>1</v>
      </c>
      <c r="D3" s="253" t="s">
        <v>37</v>
      </c>
      <c r="E3" s="253" t="s">
        <v>37</v>
      </c>
    </row>
    <row r="4" spans="1:5" x14ac:dyDescent="0.25">
      <c r="A4" s="7"/>
      <c r="B4" s="8"/>
      <c r="C4" s="8"/>
      <c r="D4" s="8" t="s">
        <v>1090</v>
      </c>
      <c r="E4" s="8" t="s">
        <v>1777</v>
      </c>
    </row>
    <row r="6" spans="1:5" x14ac:dyDescent="0.25">
      <c r="A6" s="217"/>
      <c r="B6" s="217"/>
      <c r="C6" s="217"/>
      <c r="D6" s="217"/>
    </row>
    <row r="7" spans="1:5" x14ac:dyDescent="0.25">
      <c r="A7" s="254" t="s">
        <v>1086</v>
      </c>
      <c r="B7" s="255"/>
      <c r="C7" s="255"/>
      <c r="D7" s="256"/>
    </row>
    <row r="8" spans="1:5" ht="6" customHeight="1" x14ac:dyDescent="0.25"/>
    <row r="9" spans="1:5" x14ac:dyDescent="0.25">
      <c r="A9" s="134" t="s">
        <v>0</v>
      </c>
      <c r="B9" s="134" t="s">
        <v>302</v>
      </c>
      <c r="C9" s="134" t="s">
        <v>1</v>
      </c>
      <c r="D9" s="134" t="s">
        <v>37</v>
      </c>
    </row>
    <row r="10" spans="1:5" x14ac:dyDescent="0.25">
      <c r="A10" s="7">
        <v>41176</v>
      </c>
      <c r="B10" s="8" t="s">
        <v>317</v>
      </c>
      <c r="C10" s="8" t="s">
        <v>328</v>
      </c>
      <c r="D10" s="22">
        <v>315</v>
      </c>
    </row>
    <row r="11" spans="1:5" x14ac:dyDescent="0.25">
      <c r="A11" s="7">
        <v>40999</v>
      </c>
      <c r="B11" s="8" t="s">
        <v>315</v>
      </c>
      <c r="C11" s="8" t="s">
        <v>132</v>
      </c>
      <c r="D11" s="22">
        <v>966</v>
      </c>
    </row>
    <row r="12" spans="1:5" x14ac:dyDescent="0.25">
      <c r="A12" s="7">
        <v>41242</v>
      </c>
      <c r="B12" s="8" t="s">
        <v>321</v>
      </c>
      <c r="C12" s="8" t="s">
        <v>7</v>
      </c>
      <c r="D12" s="22">
        <v>1188</v>
      </c>
    </row>
    <row r="13" spans="1:5" x14ac:dyDescent="0.25">
      <c r="A13" s="7">
        <v>40785</v>
      </c>
      <c r="B13" s="8" t="s">
        <v>317</v>
      </c>
      <c r="C13" s="8" t="s">
        <v>328</v>
      </c>
      <c r="D13" s="22">
        <v>1239</v>
      </c>
    </row>
    <row r="14" spans="1:5" x14ac:dyDescent="0.25">
      <c r="A14" s="7">
        <v>41140</v>
      </c>
      <c r="B14" s="8" t="s">
        <v>321</v>
      </c>
      <c r="C14" s="8" t="s">
        <v>136</v>
      </c>
      <c r="D14" s="22">
        <v>682</v>
      </c>
    </row>
    <row r="15" spans="1:5" x14ac:dyDescent="0.25">
      <c r="A15" s="7">
        <v>40583</v>
      </c>
      <c r="B15" s="8" t="s">
        <v>317</v>
      </c>
      <c r="C15" s="8" t="s">
        <v>7</v>
      </c>
      <c r="D15" s="22">
        <v>504</v>
      </c>
    </row>
    <row r="16" spans="1:5" x14ac:dyDescent="0.25">
      <c r="A16" s="7">
        <v>41046</v>
      </c>
      <c r="B16" s="8" t="s">
        <v>319</v>
      </c>
      <c r="C16" s="8" t="s">
        <v>3</v>
      </c>
      <c r="D16" s="22">
        <v>1323</v>
      </c>
    </row>
    <row r="17" spans="1:4" x14ac:dyDescent="0.25">
      <c r="A17" s="7">
        <v>41106</v>
      </c>
      <c r="B17" s="8" t="s">
        <v>311</v>
      </c>
      <c r="C17" s="8" t="s">
        <v>3</v>
      </c>
      <c r="D17" s="22">
        <v>988</v>
      </c>
    </row>
    <row r="18" spans="1:4" x14ac:dyDescent="0.25">
      <c r="A18" s="7">
        <v>40807</v>
      </c>
      <c r="B18" s="8" t="s">
        <v>319</v>
      </c>
      <c r="C18" s="8" t="s">
        <v>3</v>
      </c>
      <c r="D18" s="22">
        <v>621</v>
      </c>
    </row>
    <row r="20" spans="1:4" x14ac:dyDescent="0.25">
      <c r="A20" s="257" t="s">
        <v>1087</v>
      </c>
      <c r="B20" s="258"/>
      <c r="C20" s="258"/>
      <c r="D20" s="259"/>
    </row>
    <row r="21" spans="1:4" ht="6" customHeight="1" x14ac:dyDescent="0.25"/>
  </sheetData>
  <pageMargins left="0.7" right="0.7" top="0.75" bottom="0.75" header="0.3" footer="0.3"/>
  <pageSetup orientation="portrait"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29">
    <tabColor rgb="FF0000FF"/>
  </sheetPr>
  <dimension ref="A1:E20"/>
  <sheetViews>
    <sheetView zoomScaleNormal="100" workbookViewId="0">
      <selection activeCell="A9" sqref="A9"/>
    </sheetView>
  </sheetViews>
  <sheetFormatPr defaultColWidth="9.140625" defaultRowHeight="15" x14ac:dyDescent="0.25"/>
  <cols>
    <col min="1" max="1" width="11.5703125" customWidth="1"/>
    <col min="2" max="2" width="12"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5" x14ac:dyDescent="0.25">
      <c r="A1" s="250" t="s">
        <v>1085</v>
      </c>
      <c r="B1" s="251"/>
      <c r="C1" s="251"/>
      <c r="D1" s="252"/>
    </row>
    <row r="2" spans="1:5" ht="6" customHeight="1" x14ac:dyDescent="0.25"/>
    <row r="3" spans="1:5" x14ac:dyDescent="0.25">
      <c r="A3" s="253" t="s">
        <v>0</v>
      </c>
      <c r="B3" s="253" t="s">
        <v>0</v>
      </c>
      <c r="C3" s="253" t="s">
        <v>302</v>
      </c>
      <c r="D3" s="253" t="s">
        <v>1</v>
      </c>
      <c r="E3" s="253" t="s">
        <v>37</v>
      </c>
    </row>
    <row r="4" spans="1:5" x14ac:dyDescent="0.25">
      <c r="A4" s="7" t="s">
        <v>1091</v>
      </c>
      <c r="B4" s="7" t="s">
        <v>1092</v>
      </c>
      <c r="C4" s="8"/>
      <c r="D4" s="8"/>
      <c r="E4" s="8"/>
    </row>
    <row r="6" spans="1:5" x14ac:dyDescent="0.25">
      <c r="A6" s="254" t="s">
        <v>1086</v>
      </c>
      <c r="B6" s="255"/>
      <c r="C6" s="255"/>
      <c r="D6" s="256"/>
    </row>
    <row r="7" spans="1:5" ht="6" customHeight="1" x14ac:dyDescent="0.25"/>
    <row r="8" spans="1:5" x14ac:dyDescent="0.25">
      <c r="A8" s="134" t="s">
        <v>0</v>
      </c>
      <c r="B8" s="134" t="s">
        <v>302</v>
      </c>
      <c r="C8" s="134" t="s">
        <v>1</v>
      </c>
      <c r="D8" s="134" t="s">
        <v>37</v>
      </c>
    </row>
    <row r="9" spans="1:5" x14ac:dyDescent="0.25">
      <c r="A9" s="7">
        <v>41176</v>
      </c>
      <c r="B9" s="8" t="s">
        <v>317</v>
      </c>
      <c r="C9" s="8" t="s">
        <v>328</v>
      </c>
      <c r="D9" s="22">
        <v>315</v>
      </c>
    </row>
    <row r="10" spans="1:5" x14ac:dyDescent="0.25">
      <c r="A10" s="7">
        <v>40633</v>
      </c>
      <c r="B10" s="8" t="s">
        <v>315</v>
      </c>
      <c r="C10" s="8" t="s">
        <v>132</v>
      </c>
      <c r="D10" s="22">
        <v>966</v>
      </c>
    </row>
    <row r="11" spans="1:5" x14ac:dyDescent="0.25">
      <c r="A11" s="7">
        <v>41242</v>
      </c>
      <c r="B11" s="8" t="s">
        <v>321</v>
      </c>
      <c r="C11" s="8" t="s">
        <v>7</v>
      </c>
      <c r="D11" s="22">
        <v>1188</v>
      </c>
    </row>
    <row r="12" spans="1:5" x14ac:dyDescent="0.25">
      <c r="A12" s="7">
        <v>40785</v>
      </c>
      <c r="B12" s="8" t="s">
        <v>317</v>
      </c>
      <c r="C12" s="8" t="s">
        <v>328</v>
      </c>
      <c r="D12" s="22">
        <v>1239</v>
      </c>
    </row>
    <row r="13" spans="1:5" x14ac:dyDescent="0.25">
      <c r="A13" s="7">
        <v>41140</v>
      </c>
      <c r="B13" s="8" t="s">
        <v>321</v>
      </c>
      <c r="C13" s="8" t="s">
        <v>136</v>
      </c>
      <c r="D13" s="22">
        <v>682</v>
      </c>
    </row>
    <row r="14" spans="1:5" x14ac:dyDescent="0.25">
      <c r="A14" s="7">
        <v>40583</v>
      </c>
      <c r="B14" s="8" t="s">
        <v>317</v>
      </c>
      <c r="C14" s="8" t="s">
        <v>7</v>
      </c>
      <c r="D14" s="22">
        <v>504</v>
      </c>
    </row>
    <row r="15" spans="1:5" x14ac:dyDescent="0.25">
      <c r="A15" s="7">
        <v>40680</v>
      </c>
      <c r="B15" s="8" t="s">
        <v>319</v>
      </c>
      <c r="C15" s="8" t="s">
        <v>3</v>
      </c>
      <c r="D15" s="22">
        <v>1323</v>
      </c>
    </row>
    <row r="16" spans="1:5" x14ac:dyDescent="0.25">
      <c r="A16" s="7">
        <v>41106</v>
      </c>
      <c r="B16" s="8" t="s">
        <v>311</v>
      </c>
      <c r="C16" s="8" t="s">
        <v>3</v>
      </c>
      <c r="D16" s="22">
        <v>988</v>
      </c>
    </row>
    <row r="17" spans="1:4" x14ac:dyDescent="0.25">
      <c r="A17" s="7">
        <v>40807</v>
      </c>
      <c r="B17" s="8" t="s">
        <v>319</v>
      </c>
      <c r="C17" s="8" t="s">
        <v>3</v>
      </c>
      <c r="D17" s="22">
        <v>621</v>
      </c>
    </row>
    <row r="19" spans="1:4" x14ac:dyDescent="0.25">
      <c r="A19" s="257" t="s">
        <v>1093</v>
      </c>
      <c r="B19" s="258"/>
      <c r="C19" s="258"/>
      <c r="D19" s="259"/>
    </row>
    <row r="20" spans="1:4" ht="6" customHeight="1" x14ac:dyDescent="0.25"/>
  </sheetData>
  <pageMargins left="0.7" right="0.7" top="0.75" bottom="0.75" header="0.3" footer="0.3"/>
  <pageSetup orientation="portrait"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30">
    <tabColor rgb="FF0000FF"/>
  </sheetPr>
  <dimension ref="A1:F15"/>
  <sheetViews>
    <sheetView zoomScaleNormal="100" workbookViewId="0">
      <selection activeCell="F12" sqref="F12"/>
    </sheetView>
  </sheetViews>
  <sheetFormatPr defaultColWidth="9.140625" defaultRowHeight="15" x14ac:dyDescent="0.25"/>
  <cols>
    <col min="1" max="1" width="11.5703125" customWidth="1"/>
    <col min="2" max="2" width="12"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6" x14ac:dyDescent="0.25">
      <c r="A1" s="254" t="s">
        <v>1086</v>
      </c>
      <c r="B1" s="255"/>
      <c r="C1" s="255"/>
      <c r="D1" s="256"/>
    </row>
    <row r="2" spans="1:6" ht="6" customHeight="1" x14ac:dyDescent="0.25"/>
    <row r="3" spans="1:6" x14ac:dyDescent="0.25">
      <c r="A3" s="134" t="s">
        <v>0</v>
      </c>
      <c r="B3" s="134" t="s">
        <v>302</v>
      </c>
      <c r="C3" s="134" t="s">
        <v>1</v>
      </c>
      <c r="D3" s="134" t="s">
        <v>37</v>
      </c>
    </row>
    <row r="4" spans="1:6" x14ac:dyDescent="0.25">
      <c r="A4" s="7">
        <v>41176</v>
      </c>
      <c r="B4" s="8" t="s">
        <v>317</v>
      </c>
      <c r="C4" s="8" t="s">
        <v>328</v>
      </c>
      <c r="D4" s="22">
        <v>315</v>
      </c>
    </row>
    <row r="5" spans="1:6" x14ac:dyDescent="0.25">
      <c r="A5" s="7">
        <v>40633</v>
      </c>
      <c r="B5" s="8" t="s">
        <v>315</v>
      </c>
      <c r="C5" s="8" t="s">
        <v>132</v>
      </c>
      <c r="D5" s="22">
        <v>966</v>
      </c>
    </row>
    <row r="6" spans="1:6" x14ac:dyDescent="0.25">
      <c r="A6" s="7">
        <v>41242</v>
      </c>
      <c r="B6" s="8" t="s">
        <v>321</v>
      </c>
      <c r="C6" s="8" t="s">
        <v>7</v>
      </c>
      <c r="D6" s="22">
        <v>1188</v>
      </c>
    </row>
    <row r="7" spans="1:6" x14ac:dyDescent="0.25">
      <c r="A7" s="7">
        <v>40785</v>
      </c>
      <c r="B7" s="8" t="s">
        <v>317</v>
      </c>
      <c r="C7" s="8" t="s">
        <v>328</v>
      </c>
      <c r="D7" s="22">
        <v>1239</v>
      </c>
    </row>
    <row r="8" spans="1:6" x14ac:dyDescent="0.25">
      <c r="A8" s="7">
        <v>41140</v>
      </c>
      <c r="B8" s="8" t="s">
        <v>321</v>
      </c>
      <c r="C8" s="8" t="s">
        <v>136</v>
      </c>
      <c r="D8" s="22">
        <v>682</v>
      </c>
    </row>
    <row r="9" spans="1:6" x14ac:dyDescent="0.25">
      <c r="A9" s="7">
        <v>40583</v>
      </c>
      <c r="B9" s="8" t="s">
        <v>317</v>
      </c>
      <c r="C9" s="8" t="s">
        <v>7</v>
      </c>
      <c r="D9" s="22">
        <v>504</v>
      </c>
    </row>
    <row r="10" spans="1:6" x14ac:dyDescent="0.25">
      <c r="A10" s="7">
        <v>40680</v>
      </c>
      <c r="B10" s="8" t="s">
        <v>319</v>
      </c>
      <c r="C10" s="8" t="s">
        <v>3</v>
      </c>
      <c r="D10" s="22">
        <v>1323</v>
      </c>
    </row>
    <row r="11" spans="1:6" x14ac:dyDescent="0.25">
      <c r="A11" s="7">
        <v>41106</v>
      </c>
      <c r="B11" s="8" t="s">
        <v>311</v>
      </c>
      <c r="C11" s="8" t="s">
        <v>3</v>
      </c>
      <c r="D11" s="22">
        <v>988</v>
      </c>
    </row>
    <row r="12" spans="1:6" x14ac:dyDescent="0.25">
      <c r="A12" s="7">
        <v>40807</v>
      </c>
      <c r="B12" s="8" t="s">
        <v>319</v>
      </c>
      <c r="C12" s="8" t="s">
        <v>3</v>
      </c>
      <c r="D12" s="22">
        <v>621</v>
      </c>
      <c r="F12" s="338"/>
    </row>
    <row r="15" spans="1:6" ht="6" customHeight="1" x14ac:dyDescent="0.25"/>
  </sheetData>
  <pageMargins left="0.7" right="0.7" top="0.75" bottom="0.75" header="0.3" footer="0.3"/>
  <pageSetup orientation="portrait"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31">
    <tabColor rgb="FF0000FF"/>
  </sheetPr>
  <dimension ref="A1:D6"/>
  <sheetViews>
    <sheetView workbookViewId="0">
      <selection activeCell="A8" sqref="A8"/>
    </sheetView>
  </sheetViews>
  <sheetFormatPr defaultRowHeight="15" x14ac:dyDescent="0.25"/>
  <cols>
    <col min="1" max="4" width="11.5703125" customWidth="1"/>
  </cols>
  <sheetData>
    <row r="1" spans="1:4" x14ac:dyDescent="0.25">
      <c r="A1" s="250" t="s">
        <v>1085</v>
      </c>
      <c r="B1" s="251"/>
      <c r="C1" s="251"/>
      <c r="D1" s="252"/>
    </row>
    <row r="3" spans="1:4" x14ac:dyDescent="0.25">
      <c r="A3" s="253" t="s">
        <v>0</v>
      </c>
      <c r="B3" s="253" t="s">
        <v>302</v>
      </c>
      <c r="C3" s="253" t="s">
        <v>1</v>
      </c>
      <c r="D3" s="253" t="s">
        <v>37</v>
      </c>
    </row>
    <row r="4" spans="1:4" x14ac:dyDescent="0.25">
      <c r="A4" s="7"/>
      <c r="B4" s="8" t="s">
        <v>319</v>
      </c>
      <c r="C4" s="8"/>
      <c r="D4" s="8"/>
    </row>
    <row r="6" spans="1:4" x14ac:dyDescent="0.25">
      <c r="A6" s="257" t="s">
        <v>1093</v>
      </c>
      <c r="B6" s="258"/>
      <c r="C6" s="258"/>
      <c r="D6" s="259"/>
    </row>
  </sheetData>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32">
    <tabColor rgb="FF0000FF"/>
  </sheetPr>
  <dimension ref="A1:T106"/>
  <sheetViews>
    <sheetView workbookViewId="0">
      <selection activeCell="F2" sqref="F2"/>
    </sheetView>
  </sheetViews>
  <sheetFormatPr defaultRowHeight="15" x14ac:dyDescent="0.25"/>
  <cols>
    <col min="1" max="1" width="7.7109375" bestFit="1" customWidth="1"/>
    <col min="2" max="2" width="19.5703125" customWidth="1"/>
    <col min="3" max="3" width="7.28515625" bestFit="1" customWidth="1"/>
    <col min="4" max="4" width="2.42578125" customWidth="1"/>
    <col min="5" max="5" width="24.7109375" customWidth="1"/>
    <col min="6" max="6" width="19.7109375" customWidth="1"/>
    <col min="7" max="7" width="3.7109375" customWidth="1"/>
    <col min="8" max="8" width="7.28515625" bestFit="1" customWidth="1"/>
  </cols>
  <sheetData>
    <row r="1" spans="1:20" x14ac:dyDescent="0.25">
      <c r="A1" s="5" t="s">
        <v>0</v>
      </c>
      <c r="B1" s="5" t="s">
        <v>304</v>
      </c>
      <c r="C1" s="5" t="s">
        <v>37</v>
      </c>
      <c r="E1" s="5" t="s">
        <v>304</v>
      </c>
      <c r="F1" s="5" t="str">
        <f>"Count Sales &gt; "&amp;DOLLAR(H5,0)</f>
        <v>Count Sales &gt; $ 1.000</v>
      </c>
      <c r="T1" t="str">
        <f ca="1">VLOOKUP(INT(RAND()*12+1),{1,"Shakia Warning Inc.";2,"Rod Kloer Firm";3,"Lashon Yerhot Manufacturers";4,"Rob Swearegene Company";5,"Rob Schiesher LLP";6,"Cliff Stalworth Firm";7,"Kit Krumme Inc.";8,"Carey Mews Manufacturers";9,"Hal Hinchliff Firm";10,"Jackson Kings LLP";11,"Marcel Mittelsteadt Firm";12,"Raphael Huh Inc."},2)</f>
        <v>Hal Hinchliff Firm</v>
      </c>
    </row>
    <row r="2" spans="1:20" x14ac:dyDescent="0.25">
      <c r="A2" s="75">
        <v>40544</v>
      </c>
      <c r="B2" s="8" t="s">
        <v>1094</v>
      </c>
      <c r="C2" s="66">
        <v>621</v>
      </c>
      <c r="E2" s="8" t="s">
        <v>1094</v>
      </c>
      <c r="F2" s="10">
        <f t="shared" ref="F2:F13" si="0">COUNTIFS($B$2:$B$106,E2,C$2:C$106,"&gt;"&amp;H$5)</f>
        <v>5</v>
      </c>
    </row>
    <row r="3" spans="1:20" x14ac:dyDescent="0.25">
      <c r="A3" s="75">
        <v>40552</v>
      </c>
      <c r="B3" s="8" t="s">
        <v>1095</v>
      </c>
      <c r="C3" s="66">
        <v>1197</v>
      </c>
      <c r="E3" s="8" t="s">
        <v>1095</v>
      </c>
      <c r="F3" s="10">
        <f t="shared" si="0"/>
        <v>3</v>
      </c>
    </row>
    <row r="4" spans="1:20" x14ac:dyDescent="0.25">
      <c r="A4" s="75">
        <v>40546</v>
      </c>
      <c r="B4" s="8" t="s">
        <v>1095</v>
      </c>
      <c r="C4" s="66">
        <v>1058</v>
      </c>
      <c r="E4" s="8" t="s">
        <v>1096</v>
      </c>
      <c r="F4" s="10">
        <f t="shared" si="0"/>
        <v>8</v>
      </c>
      <c r="H4" s="260" t="s">
        <v>137</v>
      </c>
    </row>
    <row r="5" spans="1:20" x14ac:dyDescent="0.25">
      <c r="A5" s="75">
        <v>40554</v>
      </c>
      <c r="B5" s="8" t="s">
        <v>1096</v>
      </c>
      <c r="C5" s="66">
        <v>1144</v>
      </c>
      <c r="E5" s="8" t="s">
        <v>1097</v>
      </c>
      <c r="F5" s="10">
        <f t="shared" si="0"/>
        <v>3</v>
      </c>
      <c r="H5" s="66">
        <v>1000</v>
      </c>
    </row>
    <row r="6" spans="1:20" x14ac:dyDescent="0.25">
      <c r="A6" s="75">
        <v>40558</v>
      </c>
      <c r="B6" s="8" t="s">
        <v>1097</v>
      </c>
      <c r="C6" s="66">
        <v>1449</v>
      </c>
      <c r="E6" s="8" t="s">
        <v>1098</v>
      </c>
      <c r="F6" s="10">
        <f t="shared" si="0"/>
        <v>3</v>
      </c>
    </row>
    <row r="7" spans="1:20" x14ac:dyDescent="0.25">
      <c r="A7" s="75">
        <v>40546</v>
      </c>
      <c r="B7" s="8" t="s">
        <v>1098</v>
      </c>
      <c r="C7" s="66">
        <v>1092</v>
      </c>
      <c r="E7" s="8" t="s">
        <v>1099</v>
      </c>
      <c r="F7" s="10">
        <f t="shared" si="0"/>
        <v>5</v>
      </c>
    </row>
    <row r="8" spans="1:20" x14ac:dyDescent="0.25">
      <c r="A8" s="75">
        <v>40558</v>
      </c>
      <c r="B8" s="8" t="s">
        <v>1098</v>
      </c>
      <c r="C8" s="66">
        <v>736</v>
      </c>
      <c r="E8" s="8" t="s">
        <v>1100</v>
      </c>
      <c r="F8" s="10">
        <f t="shared" si="0"/>
        <v>4</v>
      </c>
    </row>
    <row r="9" spans="1:20" x14ac:dyDescent="0.25">
      <c r="A9" s="75">
        <v>40560</v>
      </c>
      <c r="B9" s="8" t="s">
        <v>1099</v>
      </c>
      <c r="C9" s="66">
        <v>567</v>
      </c>
      <c r="E9" s="8" t="s">
        <v>1101</v>
      </c>
      <c r="F9" s="10">
        <f t="shared" si="0"/>
        <v>6</v>
      </c>
    </row>
    <row r="10" spans="1:20" x14ac:dyDescent="0.25">
      <c r="A10" s="75">
        <v>40546</v>
      </c>
      <c r="B10" s="8" t="s">
        <v>1100</v>
      </c>
      <c r="C10" s="66">
        <v>638</v>
      </c>
      <c r="E10" s="8" t="s">
        <v>1102</v>
      </c>
      <c r="F10" s="10">
        <f t="shared" si="0"/>
        <v>4</v>
      </c>
    </row>
    <row r="11" spans="1:20" x14ac:dyDescent="0.25">
      <c r="A11" s="75">
        <v>40561</v>
      </c>
      <c r="B11" s="8" t="s">
        <v>1101</v>
      </c>
      <c r="C11" s="66">
        <v>352</v>
      </c>
      <c r="E11" s="8" t="s">
        <v>1103</v>
      </c>
      <c r="F11" s="10">
        <f t="shared" si="0"/>
        <v>5</v>
      </c>
    </row>
    <row r="12" spans="1:20" x14ac:dyDescent="0.25">
      <c r="A12" s="75">
        <v>40549</v>
      </c>
      <c r="B12" s="8" t="s">
        <v>1098</v>
      </c>
      <c r="C12" s="66">
        <v>456</v>
      </c>
      <c r="E12" s="8" t="s">
        <v>1104</v>
      </c>
      <c r="F12" s="10">
        <f t="shared" si="0"/>
        <v>1</v>
      </c>
    </row>
    <row r="13" spans="1:20" x14ac:dyDescent="0.25">
      <c r="A13" s="75">
        <v>40544</v>
      </c>
      <c r="B13" s="8" t="s">
        <v>1102</v>
      </c>
      <c r="C13" s="66">
        <v>1178</v>
      </c>
      <c r="E13" s="8" t="s">
        <v>1105</v>
      </c>
      <c r="F13" s="10">
        <f t="shared" si="0"/>
        <v>0</v>
      </c>
    </row>
    <row r="14" spans="1:20" x14ac:dyDescent="0.25">
      <c r="A14" s="75">
        <v>40554</v>
      </c>
      <c r="B14" s="8" t="s">
        <v>1094</v>
      </c>
      <c r="C14" s="66">
        <v>462</v>
      </c>
    </row>
    <row r="15" spans="1:20" x14ac:dyDescent="0.25">
      <c r="A15" s="75">
        <v>40559</v>
      </c>
      <c r="B15" s="8" t="s">
        <v>1096</v>
      </c>
      <c r="C15" s="66">
        <v>924</v>
      </c>
    </row>
    <row r="16" spans="1:20" x14ac:dyDescent="0.25">
      <c r="A16" s="75">
        <v>40556</v>
      </c>
      <c r="B16" s="8" t="s">
        <v>1102</v>
      </c>
      <c r="C16" s="66">
        <v>1058</v>
      </c>
    </row>
    <row r="17" spans="1:3" x14ac:dyDescent="0.25">
      <c r="A17" s="75">
        <v>40572</v>
      </c>
      <c r="B17" s="8" t="s">
        <v>1096</v>
      </c>
      <c r="C17" s="66">
        <v>1215</v>
      </c>
    </row>
    <row r="18" spans="1:3" x14ac:dyDescent="0.25">
      <c r="A18" s="75">
        <v>40563</v>
      </c>
      <c r="B18" s="8" t="s">
        <v>1094</v>
      </c>
      <c r="C18" s="66">
        <v>552</v>
      </c>
    </row>
    <row r="19" spans="1:3" x14ac:dyDescent="0.25">
      <c r="A19" s="75">
        <v>40557</v>
      </c>
      <c r="B19" s="8" t="s">
        <v>1098</v>
      </c>
      <c r="C19" s="66">
        <v>1296</v>
      </c>
    </row>
    <row r="20" spans="1:3" x14ac:dyDescent="0.25">
      <c r="A20" s="75">
        <v>40558</v>
      </c>
      <c r="B20" s="8" t="s">
        <v>1103</v>
      </c>
      <c r="C20" s="66">
        <v>299</v>
      </c>
    </row>
    <row r="21" spans="1:3" x14ac:dyDescent="0.25">
      <c r="A21" s="75">
        <v>40570</v>
      </c>
      <c r="B21" s="8" t="s">
        <v>1103</v>
      </c>
      <c r="C21" s="66">
        <v>1242</v>
      </c>
    </row>
    <row r="22" spans="1:3" x14ac:dyDescent="0.25">
      <c r="A22" s="75">
        <v>40555</v>
      </c>
      <c r="B22" s="8" t="s">
        <v>1095</v>
      </c>
      <c r="C22" s="66">
        <v>114</v>
      </c>
    </row>
    <row r="23" spans="1:3" x14ac:dyDescent="0.25">
      <c r="A23" s="75">
        <v>40553</v>
      </c>
      <c r="B23" s="8" t="s">
        <v>1104</v>
      </c>
      <c r="C23" s="66">
        <v>575</v>
      </c>
    </row>
    <row r="24" spans="1:3" x14ac:dyDescent="0.25">
      <c r="A24" s="75">
        <v>40569</v>
      </c>
      <c r="B24" s="8" t="s">
        <v>1101</v>
      </c>
      <c r="C24" s="66">
        <v>1008</v>
      </c>
    </row>
    <row r="25" spans="1:3" x14ac:dyDescent="0.25">
      <c r="A25" s="75">
        <v>40559</v>
      </c>
      <c r="B25" s="8" t="s">
        <v>1101</v>
      </c>
      <c r="C25" s="66">
        <v>897</v>
      </c>
    </row>
    <row r="26" spans="1:3" x14ac:dyDescent="0.25">
      <c r="A26" s="75">
        <v>40551</v>
      </c>
      <c r="B26" s="8" t="s">
        <v>1099</v>
      </c>
      <c r="C26" s="66">
        <v>1593</v>
      </c>
    </row>
    <row r="27" spans="1:3" x14ac:dyDescent="0.25">
      <c r="A27" s="75">
        <v>40546</v>
      </c>
      <c r="B27" s="8" t="s">
        <v>1102</v>
      </c>
      <c r="C27" s="66">
        <v>462</v>
      </c>
    </row>
    <row r="28" spans="1:3" x14ac:dyDescent="0.25">
      <c r="A28" s="75">
        <v>40560</v>
      </c>
      <c r="B28" s="8" t="s">
        <v>1102</v>
      </c>
      <c r="C28" s="66">
        <v>682</v>
      </c>
    </row>
    <row r="29" spans="1:3" x14ac:dyDescent="0.25">
      <c r="A29" s="75">
        <v>40572</v>
      </c>
      <c r="B29" s="8" t="s">
        <v>1096</v>
      </c>
      <c r="C29" s="66">
        <v>1050</v>
      </c>
    </row>
    <row r="30" spans="1:3" x14ac:dyDescent="0.25">
      <c r="A30" s="75">
        <v>40565</v>
      </c>
      <c r="B30" s="8" t="s">
        <v>1105</v>
      </c>
      <c r="C30" s="66">
        <v>966</v>
      </c>
    </row>
    <row r="31" spans="1:3" x14ac:dyDescent="0.25">
      <c r="A31" s="75">
        <v>40546</v>
      </c>
      <c r="B31" s="8" t="s">
        <v>1101</v>
      </c>
      <c r="C31" s="66">
        <v>1178</v>
      </c>
    </row>
    <row r="32" spans="1:3" x14ac:dyDescent="0.25">
      <c r="A32" s="75">
        <v>40561</v>
      </c>
      <c r="B32" s="8" t="s">
        <v>1094</v>
      </c>
      <c r="C32" s="66">
        <v>1166</v>
      </c>
    </row>
    <row r="33" spans="1:3" x14ac:dyDescent="0.25">
      <c r="A33" s="75">
        <v>40566</v>
      </c>
      <c r="B33" s="8" t="s">
        <v>1099</v>
      </c>
      <c r="C33" s="66">
        <v>1364</v>
      </c>
    </row>
    <row r="34" spans="1:3" x14ac:dyDescent="0.25">
      <c r="A34" s="75">
        <v>40551</v>
      </c>
      <c r="B34" s="8" t="s">
        <v>1101</v>
      </c>
      <c r="C34" s="66">
        <v>1012</v>
      </c>
    </row>
    <row r="35" spans="1:3" x14ac:dyDescent="0.25">
      <c r="A35" s="75">
        <v>40544</v>
      </c>
      <c r="B35" s="8" t="s">
        <v>1095</v>
      </c>
      <c r="C35" s="66">
        <v>230</v>
      </c>
    </row>
    <row r="36" spans="1:3" x14ac:dyDescent="0.25">
      <c r="A36" s="75">
        <v>40563</v>
      </c>
      <c r="B36" s="8" t="s">
        <v>1105</v>
      </c>
      <c r="C36" s="66">
        <v>969</v>
      </c>
    </row>
    <row r="37" spans="1:3" x14ac:dyDescent="0.25">
      <c r="A37" s="75">
        <v>40555</v>
      </c>
      <c r="B37" s="8" t="s">
        <v>1104</v>
      </c>
      <c r="C37" s="66">
        <v>315</v>
      </c>
    </row>
    <row r="38" spans="1:3" x14ac:dyDescent="0.25">
      <c r="A38" s="75">
        <v>40570</v>
      </c>
      <c r="B38" s="8" t="s">
        <v>1097</v>
      </c>
      <c r="C38" s="66">
        <v>1380</v>
      </c>
    </row>
    <row r="39" spans="1:3" x14ac:dyDescent="0.25">
      <c r="A39" s="75">
        <v>40565</v>
      </c>
      <c r="B39" s="8" t="s">
        <v>1095</v>
      </c>
      <c r="C39" s="66">
        <v>651</v>
      </c>
    </row>
    <row r="40" spans="1:3" x14ac:dyDescent="0.25">
      <c r="A40" s="75">
        <v>40560</v>
      </c>
      <c r="B40" s="8" t="s">
        <v>1094</v>
      </c>
      <c r="C40" s="66">
        <v>171</v>
      </c>
    </row>
    <row r="41" spans="1:3" x14ac:dyDescent="0.25">
      <c r="A41" s="75">
        <v>40548</v>
      </c>
      <c r="B41" s="8" t="s">
        <v>1096</v>
      </c>
      <c r="C41" s="66">
        <v>1242</v>
      </c>
    </row>
    <row r="42" spans="1:3" x14ac:dyDescent="0.25">
      <c r="A42" s="75">
        <v>40573</v>
      </c>
      <c r="B42" s="8" t="s">
        <v>1094</v>
      </c>
      <c r="C42" s="66">
        <v>819</v>
      </c>
    </row>
    <row r="43" spans="1:3" x14ac:dyDescent="0.25">
      <c r="A43" s="75">
        <v>40564</v>
      </c>
      <c r="B43" s="8" t="s">
        <v>1105</v>
      </c>
      <c r="C43" s="66">
        <v>253</v>
      </c>
    </row>
    <row r="44" spans="1:3" x14ac:dyDescent="0.25">
      <c r="A44" s="75">
        <v>40546</v>
      </c>
      <c r="B44" s="8" t="s">
        <v>1103</v>
      </c>
      <c r="C44" s="66">
        <v>1122</v>
      </c>
    </row>
    <row r="45" spans="1:3" x14ac:dyDescent="0.25">
      <c r="A45" s="75">
        <v>40550</v>
      </c>
      <c r="B45" s="8" t="s">
        <v>1097</v>
      </c>
      <c r="C45" s="66">
        <v>1188</v>
      </c>
    </row>
    <row r="46" spans="1:3" x14ac:dyDescent="0.25">
      <c r="A46" s="75">
        <v>40558</v>
      </c>
      <c r="B46" s="8" t="s">
        <v>1104</v>
      </c>
      <c r="C46" s="66">
        <v>247</v>
      </c>
    </row>
    <row r="47" spans="1:3" x14ac:dyDescent="0.25">
      <c r="A47" s="75">
        <v>40555</v>
      </c>
      <c r="B47" s="8" t="s">
        <v>1101</v>
      </c>
      <c r="C47" s="66">
        <v>1012</v>
      </c>
    </row>
    <row r="48" spans="1:3" x14ac:dyDescent="0.25">
      <c r="A48" s="75">
        <v>40572</v>
      </c>
      <c r="B48" s="8" t="s">
        <v>1095</v>
      </c>
      <c r="C48" s="66">
        <v>399</v>
      </c>
    </row>
    <row r="49" spans="1:3" x14ac:dyDescent="0.25">
      <c r="A49" s="75">
        <v>40547</v>
      </c>
      <c r="B49" s="8" t="s">
        <v>1099</v>
      </c>
      <c r="C49" s="66">
        <v>437</v>
      </c>
    </row>
    <row r="50" spans="1:3" x14ac:dyDescent="0.25">
      <c r="A50" s="75">
        <v>40550</v>
      </c>
      <c r="B50" s="8" t="s">
        <v>1098</v>
      </c>
      <c r="C50" s="66">
        <v>1458</v>
      </c>
    </row>
    <row r="51" spans="1:3" x14ac:dyDescent="0.25">
      <c r="A51" s="75">
        <v>40567</v>
      </c>
      <c r="B51" s="8" t="s">
        <v>1102</v>
      </c>
      <c r="C51" s="66">
        <v>243</v>
      </c>
    </row>
    <row r="52" spans="1:3" x14ac:dyDescent="0.25">
      <c r="A52" s="75">
        <v>40550</v>
      </c>
      <c r="B52" s="8" t="s">
        <v>1098</v>
      </c>
      <c r="C52" s="66">
        <v>609</v>
      </c>
    </row>
    <row r="53" spans="1:3" x14ac:dyDescent="0.25">
      <c r="A53" s="75">
        <v>40559</v>
      </c>
      <c r="B53" s="8" t="s">
        <v>1102</v>
      </c>
      <c r="C53" s="66">
        <v>1485</v>
      </c>
    </row>
    <row r="54" spans="1:3" x14ac:dyDescent="0.25">
      <c r="A54" s="75">
        <v>40568</v>
      </c>
      <c r="B54" s="8" t="s">
        <v>1097</v>
      </c>
      <c r="C54" s="66">
        <v>184</v>
      </c>
    </row>
    <row r="55" spans="1:3" x14ac:dyDescent="0.25">
      <c r="A55" s="75">
        <v>40566</v>
      </c>
      <c r="B55" s="8" t="s">
        <v>1096</v>
      </c>
      <c r="C55" s="66">
        <v>1323</v>
      </c>
    </row>
    <row r="56" spans="1:3" x14ac:dyDescent="0.25">
      <c r="A56" s="75">
        <v>40559</v>
      </c>
      <c r="B56" s="8" t="s">
        <v>1094</v>
      </c>
      <c r="C56" s="66">
        <v>1026</v>
      </c>
    </row>
    <row r="57" spans="1:3" x14ac:dyDescent="0.25">
      <c r="A57" s="75">
        <v>40556</v>
      </c>
      <c r="B57" s="8" t="s">
        <v>1097</v>
      </c>
      <c r="C57" s="66">
        <v>630</v>
      </c>
    </row>
    <row r="58" spans="1:3" x14ac:dyDescent="0.25">
      <c r="A58" s="75">
        <v>40547</v>
      </c>
      <c r="B58" s="8" t="s">
        <v>1101</v>
      </c>
      <c r="C58" s="66">
        <v>1113</v>
      </c>
    </row>
    <row r="59" spans="1:3" x14ac:dyDescent="0.25">
      <c r="A59" s="75">
        <v>40551</v>
      </c>
      <c r="B59" s="8" t="s">
        <v>1104</v>
      </c>
      <c r="C59" s="66">
        <v>378</v>
      </c>
    </row>
    <row r="60" spans="1:3" x14ac:dyDescent="0.25">
      <c r="A60" s="75">
        <v>40555</v>
      </c>
      <c r="B60" s="8" t="s">
        <v>1102</v>
      </c>
      <c r="C60" s="66">
        <v>589</v>
      </c>
    </row>
    <row r="61" spans="1:3" x14ac:dyDescent="0.25">
      <c r="A61" s="75">
        <v>40554</v>
      </c>
      <c r="B61" s="8" t="s">
        <v>1103</v>
      </c>
      <c r="C61" s="66">
        <v>608</v>
      </c>
    </row>
    <row r="62" spans="1:3" x14ac:dyDescent="0.25">
      <c r="A62" s="75">
        <v>40566</v>
      </c>
      <c r="B62" s="8" t="s">
        <v>1095</v>
      </c>
      <c r="C62" s="66">
        <v>988</v>
      </c>
    </row>
    <row r="63" spans="1:3" x14ac:dyDescent="0.25">
      <c r="A63" s="75">
        <v>40550</v>
      </c>
      <c r="B63" s="8" t="s">
        <v>1096</v>
      </c>
      <c r="C63" s="66">
        <v>513</v>
      </c>
    </row>
    <row r="64" spans="1:3" x14ac:dyDescent="0.25">
      <c r="A64" s="75">
        <v>40567</v>
      </c>
      <c r="B64" s="8" t="s">
        <v>1102</v>
      </c>
      <c r="C64" s="66">
        <v>969</v>
      </c>
    </row>
    <row r="65" spans="1:3" x14ac:dyDescent="0.25">
      <c r="A65" s="75">
        <v>40562</v>
      </c>
      <c r="B65" s="8" t="s">
        <v>1103</v>
      </c>
      <c r="C65" s="66">
        <v>713</v>
      </c>
    </row>
    <row r="66" spans="1:3" x14ac:dyDescent="0.25">
      <c r="A66" s="75">
        <v>40556</v>
      </c>
      <c r="B66" s="8" t="s">
        <v>1097</v>
      </c>
      <c r="C66" s="66">
        <v>551</v>
      </c>
    </row>
    <row r="67" spans="1:3" x14ac:dyDescent="0.25">
      <c r="A67" s="75">
        <v>40552</v>
      </c>
      <c r="B67" s="8" t="s">
        <v>1096</v>
      </c>
      <c r="C67" s="66">
        <v>1134</v>
      </c>
    </row>
    <row r="68" spans="1:3" x14ac:dyDescent="0.25">
      <c r="A68" s="75">
        <v>40571</v>
      </c>
      <c r="B68" s="8" t="s">
        <v>1104</v>
      </c>
      <c r="C68" s="66">
        <v>675</v>
      </c>
    </row>
    <row r="69" spans="1:3" x14ac:dyDescent="0.25">
      <c r="A69" s="75">
        <v>40558</v>
      </c>
      <c r="B69" s="8" t="s">
        <v>1099</v>
      </c>
      <c r="C69" s="66">
        <v>1104</v>
      </c>
    </row>
    <row r="70" spans="1:3" x14ac:dyDescent="0.25">
      <c r="A70" s="75">
        <v>40546</v>
      </c>
      <c r="B70" s="8" t="s">
        <v>1098</v>
      </c>
      <c r="C70" s="66">
        <v>247</v>
      </c>
    </row>
    <row r="71" spans="1:3" x14ac:dyDescent="0.25">
      <c r="A71" s="75">
        <v>40551</v>
      </c>
      <c r="B71" s="8" t="s">
        <v>1103</v>
      </c>
      <c r="C71" s="66">
        <v>1134</v>
      </c>
    </row>
    <row r="72" spans="1:3" x14ac:dyDescent="0.25">
      <c r="A72" s="75">
        <v>40570</v>
      </c>
      <c r="B72" s="8" t="s">
        <v>1101</v>
      </c>
      <c r="C72" s="66">
        <v>594</v>
      </c>
    </row>
    <row r="73" spans="1:3" x14ac:dyDescent="0.25">
      <c r="A73" s="75">
        <v>40571</v>
      </c>
      <c r="B73" s="8" t="s">
        <v>1099</v>
      </c>
      <c r="C73" s="66">
        <v>1029</v>
      </c>
    </row>
    <row r="74" spans="1:3" x14ac:dyDescent="0.25">
      <c r="A74" s="75">
        <v>40554</v>
      </c>
      <c r="B74" s="8" t="s">
        <v>1102</v>
      </c>
      <c r="C74" s="66">
        <v>798</v>
      </c>
    </row>
    <row r="75" spans="1:3" x14ac:dyDescent="0.25">
      <c r="A75" s="75">
        <v>40552</v>
      </c>
      <c r="B75" s="8" t="s">
        <v>1103</v>
      </c>
      <c r="C75" s="66">
        <v>588</v>
      </c>
    </row>
    <row r="76" spans="1:3" x14ac:dyDescent="0.25">
      <c r="A76" s="75">
        <v>40546</v>
      </c>
      <c r="B76" s="8" t="s">
        <v>1094</v>
      </c>
      <c r="C76" s="66">
        <v>1196</v>
      </c>
    </row>
    <row r="77" spans="1:3" x14ac:dyDescent="0.25">
      <c r="A77" s="75">
        <v>40551</v>
      </c>
      <c r="B77" s="8" t="s">
        <v>1096</v>
      </c>
      <c r="C77" s="66">
        <v>638</v>
      </c>
    </row>
    <row r="78" spans="1:3" x14ac:dyDescent="0.25">
      <c r="A78" s="75">
        <v>40573</v>
      </c>
      <c r="B78" s="8" t="s">
        <v>1096</v>
      </c>
      <c r="C78" s="66">
        <v>462</v>
      </c>
    </row>
    <row r="79" spans="1:3" x14ac:dyDescent="0.25">
      <c r="A79" s="75">
        <v>40567</v>
      </c>
      <c r="B79" s="8" t="s">
        <v>1102</v>
      </c>
      <c r="C79" s="66">
        <v>627</v>
      </c>
    </row>
    <row r="80" spans="1:3" x14ac:dyDescent="0.25">
      <c r="A80" s="75">
        <v>40555</v>
      </c>
      <c r="B80" s="8" t="s">
        <v>1097</v>
      </c>
      <c r="C80" s="66">
        <v>285</v>
      </c>
    </row>
    <row r="81" spans="1:3" x14ac:dyDescent="0.25">
      <c r="A81" s="75">
        <v>40568</v>
      </c>
      <c r="B81" s="8" t="s">
        <v>1095</v>
      </c>
      <c r="C81" s="66">
        <v>819</v>
      </c>
    </row>
    <row r="82" spans="1:3" x14ac:dyDescent="0.25">
      <c r="A82" s="75">
        <v>40572</v>
      </c>
      <c r="B82" s="8" t="s">
        <v>1094</v>
      </c>
      <c r="C82" s="66">
        <v>1260</v>
      </c>
    </row>
    <row r="83" spans="1:3" x14ac:dyDescent="0.25">
      <c r="A83" s="75">
        <v>40565</v>
      </c>
      <c r="B83" s="8" t="s">
        <v>1096</v>
      </c>
      <c r="C83" s="66">
        <v>1380</v>
      </c>
    </row>
    <row r="84" spans="1:3" x14ac:dyDescent="0.25">
      <c r="A84" s="75">
        <v>40557</v>
      </c>
      <c r="B84" s="8" t="s">
        <v>1100</v>
      </c>
      <c r="C84" s="66">
        <v>220</v>
      </c>
    </row>
    <row r="85" spans="1:3" x14ac:dyDescent="0.25">
      <c r="A85" s="75">
        <v>40550</v>
      </c>
      <c r="B85" s="8" t="s">
        <v>1095</v>
      </c>
      <c r="C85" s="66">
        <v>1127</v>
      </c>
    </row>
    <row r="86" spans="1:3" x14ac:dyDescent="0.25">
      <c r="A86" s="75">
        <v>40570</v>
      </c>
      <c r="B86" s="8" t="s">
        <v>1101</v>
      </c>
      <c r="C86" s="66">
        <v>330</v>
      </c>
    </row>
    <row r="87" spans="1:3" x14ac:dyDescent="0.25">
      <c r="A87" s="75">
        <v>40547</v>
      </c>
      <c r="B87" s="8" t="s">
        <v>1099</v>
      </c>
      <c r="C87" s="66">
        <v>440</v>
      </c>
    </row>
    <row r="88" spans="1:3" x14ac:dyDescent="0.25">
      <c r="A88" s="75">
        <v>40570</v>
      </c>
      <c r="B88" s="8" t="s">
        <v>1103</v>
      </c>
      <c r="C88" s="66">
        <v>1426</v>
      </c>
    </row>
    <row r="89" spans="1:3" x14ac:dyDescent="0.25">
      <c r="A89" s="75">
        <v>40552</v>
      </c>
      <c r="B89" s="8" t="s">
        <v>1094</v>
      </c>
      <c r="C89" s="66">
        <v>1178</v>
      </c>
    </row>
    <row r="90" spans="1:3" x14ac:dyDescent="0.25">
      <c r="A90" s="75">
        <v>40557</v>
      </c>
      <c r="B90" s="8" t="s">
        <v>1099</v>
      </c>
      <c r="C90" s="66">
        <v>1155</v>
      </c>
    </row>
    <row r="91" spans="1:3" x14ac:dyDescent="0.25">
      <c r="A91" s="75">
        <v>40562</v>
      </c>
      <c r="B91" s="8" t="s">
        <v>1102</v>
      </c>
      <c r="C91" s="66">
        <v>1408</v>
      </c>
    </row>
    <row r="92" spans="1:3" x14ac:dyDescent="0.25">
      <c r="A92" s="75">
        <v>40559</v>
      </c>
      <c r="B92" s="8" t="s">
        <v>1096</v>
      </c>
      <c r="C92" s="66">
        <v>1472</v>
      </c>
    </row>
    <row r="93" spans="1:3" x14ac:dyDescent="0.25">
      <c r="A93" s="75">
        <v>40567</v>
      </c>
      <c r="B93" s="8" t="s">
        <v>1100</v>
      </c>
      <c r="C93" s="66">
        <v>1755</v>
      </c>
    </row>
    <row r="94" spans="1:3" x14ac:dyDescent="0.25">
      <c r="A94" s="75">
        <v>40555</v>
      </c>
      <c r="B94" s="8" t="s">
        <v>1100</v>
      </c>
      <c r="C94" s="66">
        <v>897</v>
      </c>
    </row>
    <row r="95" spans="1:3" x14ac:dyDescent="0.25">
      <c r="A95" s="75">
        <v>40564</v>
      </c>
      <c r="B95" s="8" t="s">
        <v>1104</v>
      </c>
      <c r="C95" s="66">
        <v>1235</v>
      </c>
    </row>
    <row r="96" spans="1:3" x14ac:dyDescent="0.25">
      <c r="A96" s="75">
        <v>40548</v>
      </c>
      <c r="B96" s="8" t="s">
        <v>1103</v>
      </c>
      <c r="C96" s="66">
        <v>1102</v>
      </c>
    </row>
    <row r="97" spans="1:3" x14ac:dyDescent="0.25">
      <c r="A97" s="75">
        <v>40546</v>
      </c>
      <c r="B97" s="8" t="s">
        <v>1101</v>
      </c>
      <c r="C97" s="66">
        <v>1121</v>
      </c>
    </row>
    <row r="98" spans="1:3" x14ac:dyDescent="0.25">
      <c r="A98" s="75">
        <v>40565</v>
      </c>
      <c r="B98" s="8" t="s">
        <v>1100</v>
      </c>
      <c r="C98" s="66">
        <v>1298</v>
      </c>
    </row>
    <row r="99" spans="1:3" x14ac:dyDescent="0.25">
      <c r="A99" s="75">
        <v>40546</v>
      </c>
      <c r="B99" s="8" t="s">
        <v>1100</v>
      </c>
      <c r="C99" s="66">
        <v>253</v>
      </c>
    </row>
    <row r="100" spans="1:3" x14ac:dyDescent="0.25">
      <c r="A100" s="75">
        <v>40566</v>
      </c>
      <c r="B100" s="8" t="s">
        <v>1104</v>
      </c>
      <c r="C100" s="66">
        <v>475</v>
      </c>
    </row>
    <row r="101" spans="1:3" x14ac:dyDescent="0.25">
      <c r="A101" s="75">
        <v>40564</v>
      </c>
      <c r="B101" s="8" t="s">
        <v>1104</v>
      </c>
      <c r="C101" s="66">
        <v>528</v>
      </c>
    </row>
    <row r="102" spans="1:3" x14ac:dyDescent="0.25">
      <c r="A102" s="75">
        <v>40547</v>
      </c>
      <c r="B102" s="8" t="s">
        <v>1100</v>
      </c>
      <c r="C102" s="66">
        <v>1210</v>
      </c>
    </row>
    <row r="103" spans="1:3" x14ac:dyDescent="0.25">
      <c r="A103" s="75">
        <v>40569</v>
      </c>
      <c r="B103" s="8" t="s">
        <v>1096</v>
      </c>
      <c r="C103" s="66">
        <v>266</v>
      </c>
    </row>
    <row r="104" spans="1:3" x14ac:dyDescent="0.25">
      <c r="A104" s="75">
        <v>40570</v>
      </c>
      <c r="B104" s="8" t="s">
        <v>1097</v>
      </c>
      <c r="C104" s="66">
        <v>315</v>
      </c>
    </row>
    <row r="105" spans="1:3" x14ac:dyDescent="0.25">
      <c r="A105" s="75">
        <v>40565</v>
      </c>
      <c r="B105" s="8" t="s">
        <v>1104</v>
      </c>
      <c r="C105" s="66">
        <v>506</v>
      </c>
    </row>
    <row r="106" spans="1:3" x14ac:dyDescent="0.25">
      <c r="A106" s="75">
        <v>40568</v>
      </c>
      <c r="B106" s="8" t="s">
        <v>1100</v>
      </c>
      <c r="C106" s="66">
        <v>1232</v>
      </c>
    </row>
  </sheetData>
  <pageMargins left="0.7" right="0.7" top="0.75" bottom="0.75" header="0.3" footer="0.3"/>
  <pageSetup orientation="portrait"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33">
    <tabColor rgb="FF0000FF"/>
  </sheetPr>
  <dimension ref="A1:H25"/>
  <sheetViews>
    <sheetView workbookViewId="0">
      <selection activeCell="D12" sqref="D12"/>
    </sheetView>
  </sheetViews>
  <sheetFormatPr defaultRowHeight="15" x14ac:dyDescent="0.25"/>
  <cols>
    <col min="1" max="1" width="22.7109375" bestFit="1" customWidth="1"/>
    <col min="3" max="3" width="11.42578125" customWidth="1"/>
  </cols>
  <sheetData>
    <row r="1" spans="1:8" x14ac:dyDescent="0.25">
      <c r="A1" s="219" t="s">
        <v>1106</v>
      </c>
      <c r="B1" t="s">
        <v>1335</v>
      </c>
      <c r="C1" t="s">
        <v>1336</v>
      </c>
    </row>
    <row r="2" spans="1:8" x14ac:dyDescent="0.25">
      <c r="A2" s="219" t="s">
        <v>1107</v>
      </c>
      <c r="B2" t="s">
        <v>1337</v>
      </c>
      <c r="C2" t="s">
        <v>1338</v>
      </c>
    </row>
    <row r="3" spans="1:8" x14ac:dyDescent="0.25">
      <c r="A3" s="219" t="s">
        <v>1108</v>
      </c>
      <c r="B3" t="s">
        <v>1339</v>
      </c>
      <c r="C3" t="s">
        <v>1340</v>
      </c>
    </row>
    <row r="4" spans="1:8" x14ac:dyDescent="0.25">
      <c r="A4" s="219" t="s">
        <v>1109</v>
      </c>
      <c r="B4" t="s">
        <v>1341</v>
      </c>
      <c r="C4" t="s">
        <v>1342</v>
      </c>
    </row>
    <row r="5" spans="1:8" x14ac:dyDescent="0.25">
      <c r="A5" s="219" t="s">
        <v>1110</v>
      </c>
      <c r="B5" t="s">
        <v>1343</v>
      </c>
      <c r="C5" t="s">
        <v>1344</v>
      </c>
    </row>
    <row r="6" spans="1:8" x14ac:dyDescent="0.25">
      <c r="A6" s="219" t="s">
        <v>1111</v>
      </c>
      <c r="B6" t="s">
        <v>1345</v>
      </c>
      <c r="C6" t="s">
        <v>1346</v>
      </c>
    </row>
    <row r="7" spans="1:8" x14ac:dyDescent="0.25">
      <c r="A7" s="219" t="s">
        <v>1112</v>
      </c>
      <c r="B7" t="s">
        <v>1347</v>
      </c>
      <c r="C7" t="s">
        <v>1348</v>
      </c>
    </row>
    <row r="8" spans="1:8" x14ac:dyDescent="0.25">
      <c r="A8" s="219" t="s">
        <v>1113</v>
      </c>
      <c r="B8" t="s">
        <v>1335</v>
      </c>
      <c r="C8" t="s">
        <v>1349</v>
      </c>
    </row>
    <row r="9" spans="1:8" x14ac:dyDescent="0.25">
      <c r="A9" s="219" t="s">
        <v>1114</v>
      </c>
      <c r="B9" t="s">
        <v>1350</v>
      </c>
      <c r="C9" t="s">
        <v>1351</v>
      </c>
    </row>
    <row r="10" spans="1:8" x14ac:dyDescent="0.25">
      <c r="A10" s="219" t="s">
        <v>1115</v>
      </c>
      <c r="B10" t="s">
        <v>1352</v>
      </c>
      <c r="C10" t="s">
        <v>1353</v>
      </c>
    </row>
    <row r="11" spans="1:8" x14ac:dyDescent="0.25">
      <c r="H11" s="219"/>
    </row>
    <row r="12" spans="1:8" x14ac:dyDescent="0.25">
      <c r="H12" s="219"/>
    </row>
    <row r="13" spans="1:8" x14ac:dyDescent="0.25">
      <c r="H13" s="219"/>
    </row>
    <row r="14" spans="1:8" x14ac:dyDescent="0.25">
      <c r="H14" s="219"/>
    </row>
    <row r="15" spans="1:8" ht="30" x14ac:dyDescent="0.25">
      <c r="B15" s="126" t="s">
        <v>1116</v>
      </c>
      <c r="C15" s="126" t="s">
        <v>1117</v>
      </c>
      <c r="H15" s="219"/>
    </row>
    <row r="16" spans="1:8" x14ac:dyDescent="0.25">
      <c r="A16" s="219" t="s">
        <v>1247</v>
      </c>
      <c r="B16" s="10"/>
      <c r="C16" s="10"/>
      <c r="H16" s="219"/>
    </row>
    <row r="17" spans="1:8" x14ac:dyDescent="0.25">
      <c r="A17" s="219" t="s">
        <v>1248</v>
      </c>
      <c r="B17" s="10"/>
      <c r="C17" s="10"/>
      <c r="H17" s="219"/>
    </row>
    <row r="18" spans="1:8" x14ac:dyDescent="0.25">
      <c r="A18" s="219" t="s">
        <v>1249</v>
      </c>
      <c r="B18" s="10"/>
      <c r="C18" s="10"/>
      <c r="H18" s="219"/>
    </row>
    <row r="19" spans="1:8" x14ac:dyDescent="0.25">
      <c r="A19" s="219" t="s">
        <v>1250</v>
      </c>
      <c r="B19" s="10"/>
      <c r="C19" s="10"/>
      <c r="H19" s="219"/>
    </row>
    <row r="20" spans="1:8" x14ac:dyDescent="0.25">
      <c r="A20" s="219" t="s">
        <v>1251</v>
      </c>
      <c r="B20" s="10"/>
      <c r="C20" s="10"/>
      <c r="H20" s="219"/>
    </row>
    <row r="21" spans="1:8" x14ac:dyDescent="0.25">
      <c r="A21" s="219" t="s">
        <v>1252</v>
      </c>
      <c r="B21" s="10"/>
      <c r="C21" s="10"/>
    </row>
    <row r="22" spans="1:8" x14ac:dyDescent="0.25">
      <c r="A22" s="219" t="s">
        <v>1253</v>
      </c>
      <c r="B22" s="10"/>
      <c r="C22" s="10"/>
    </row>
    <row r="23" spans="1:8" x14ac:dyDescent="0.25">
      <c r="A23" s="219" t="s">
        <v>1254</v>
      </c>
      <c r="B23" s="10"/>
      <c r="C23" s="10"/>
    </row>
    <row r="24" spans="1:8" x14ac:dyDescent="0.25">
      <c r="A24" s="219" t="s">
        <v>1255</v>
      </c>
      <c r="B24" s="10"/>
      <c r="C24" s="10"/>
    </row>
    <row r="25" spans="1:8" x14ac:dyDescent="0.25">
      <c r="A25" s="219" t="s">
        <v>1256</v>
      </c>
      <c r="B25" s="10"/>
      <c r="C25" s="10"/>
    </row>
  </sheetData>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34">
    <tabColor rgb="FF0000FF"/>
  </sheetPr>
  <dimension ref="A1:A11"/>
  <sheetViews>
    <sheetView workbookViewId="0"/>
  </sheetViews>
  <sheetFormatPr defaultRowHeight="15" x14ac:dyDescent="0.25"/>
  <cols>
    <col min="1" max="1" width="33.140625" bestFit="1" customWidth="1"/>
  </cols>
  <sheetData>
    <row r="1" spans="1:1" x14ac:dyDescent="0.25">
      <c r="A1" s="27" t="s">
        <v>1118</v>
      </c>
    </row>
    <row r="2" spans="1:1" x14ac:dyDescent="0.25">
      <c r="A2" s="261" t="s">
        <v>1119</v>
      </c>
    </row>
    <row r="3" spans="1:1" x14ac:dyDescent="0.25">
      <c r="A3" s="261" t="s">
        <v>1120</v>
      </c>
    </row>
    <row r="4" spans="1:1" x14ac:dyDescent="0.25">
      <c r="A4" s="261" t="s">
        <v>1121</v>
      </c>
    </row>
    <row r="5" spans="1:1" x14ac:dyDescent="0.25">
      <c r="A5" s="261" t="s">
        <v>1122</v>
      </c>
    </row>
    <row r="6" spans="1:1" x14ac:dyDescent="0.25">
      <c r="A6" s="261" t="s">
        <v>1123</v>
      </c>
    </row>
    <row r="7" spans="1:1" x14ac:dyDescent="0.25">
      <c r="A7" s="261" t="s">
        <v>1124</v>
      </c>
    </row>
    <row r="8" spans="1:1" x14ac:dyDescent="0.25">
      <c r="A8" s="261" t="s">
        <v>1125</v>
      </c>
    </row>
    <row r="9" spans="1:1" x14ac:dyDescent="0.25">
      <c r="A9" s="261" t="s">
        <v>1126</v>
      </c>
    </row>
    <row r="10" spans="1:1" x14ac:dyDescent="0.25">
      <c r="A10" s="261" t="s">
        <v>1127</v>
      </c>
    </row>
    <row r="11" spans="1:1" x14ac:dyDescent="0.25">
      <c r="A11" s="261" t="s">
        <v>1128</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2">
    <tabColor rgb="FF0000FF"/>
  </sheetPr>
  <dimension ref="A1"/>
  <sheetViews>
    <sheetView workbookViewId="0"/>
  </sheetViews>
  <sheetFormatPr defaultRowHeight="15" x14ac:dyDescent="0.25"/>
  <cols>
    <col min="1" max="1" width="11.5703125" bestFit="1" customWidth="1"/>
    <col min="2" max="2" width="13.28515625" bestFit="1" customWidth="1"/>
    <col min="3" max="3" width="19.85546875" bestFit="1" customWidth="1"/>
    <col min="4" max="4" width="12.140625" bestFit="1" customWidth="1"/>
    <col min="5" max="5" width="16.42578125" bestFit="1" customWidth="1"/>
  </cols>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36">
    <tabColor rgb="FF0000FF"/>
  </sheetPr>
  <dimension ref="A1"/>
  <sheetViews>
    <sheetView workbookViewId="0">
      <selection activeCell="C21" sqref="C21"/>
    </sheetView>
  </sheetViews>
  <sheetFormatPr defaultRowHeight="15" x14ac:dyDescent="0.25"/>
  <cols>
    <col min="1" max="1" width="12" bestFit="1" customWidth="1"/>
    <col min="2" max="2" width="14.140625" bestFit="1" customWidth="1"/>
    <col min="3" max="3" width="21.7109375" bestFit="1" customWidth="1"/>
    <col min="4" max="4" width="13.140625" bestFit="1" customWidth="1"/>
    <col min="5" max="5" width="17.42578125" bestFit="1" customWidth="1"/>
  </cols>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37">
    <tabColor rgb="FF0000FF"/>
  </sheetPr>
  <dimension ref="A1:G9"/>
  <sheetViews>
    <sheetView workbookViewId="0">
      <selection activeCell="B5" sqref="B5"/>
    </sheetView>
  </sheetViews>
  <sheetFormatPr defaultRowHeight="15" x14ac:dyDescent="0.25"/>
  <cols>
    <col min="1" max="1" width="6.5703125" bestFit="1" customWidth="1"/>
    <col min="2" max="2" width="9.7109375" bestFit="1" customWidth="1"/>
    <col min="3" max="3" width="10.140625" customWidth="1"/>
    <col min="4" max="4" width="10.85546875" bestFit="1" customWidth="1"/>
    <col min="5" max="5" width="10.7109375" bestFit="1" customWidth="1"/>
    <col min="6" max="6" width="11.85546875" customWidth="1"/>
    <col min="7" max="7" width="9.140625" bestFit="1" customWidth="1"/>
    <col min="8" max="8" width="14.28515625" customWidth="1"/>
    <col min="9" max="10" width="8.5703125" customWidth="1"/>
    <col min="11" max="12" width="10" customWidth="1"/>
    <col min="13" max="13" width="15.7109375" customWidth="1"/>
    <col min="14" max="14" width="6.28515625" customWidth="1"/>
    <col min="15" max="15" width="8.5703125" customWidth="1"/>
    <col min="16" max="16" width="14.28515625" customWidth="1"/>
  </cols>
  <sheetData>
    <row r="1" spans="1:7" ht="23.25" x14ac:dyDescent="0.35">
      <c r="A1" s="262" t="s">
        <v>1130</v>
      </c>
      <c r="B1" s="263"/>
      <c r="C1" s="263"/>
      <c r="D1" s="263"/>
      <c r="E1" s="263"/>
      <c r="F1" s="263"/>
      <c r="G1" s="264"/>
    </row>
    <row r="2" spans="1:7" ht="30" x14ac:dyDescent="0.25">
      <c r="A2" s="12" t="s">
        <v>1131</v>
      </c>
      <c r="B2" s="12" t="s">
        <v>1132</v>
      </c>
      <c r="C2" s="12" t="s">
        <v>1133</v>
      </c>
      <c r="D2" s="12" t="s">
        <v>1134</v>
      </c>
      <c r="E2" s="12" t="s">
        <v>1135</v>
      </c>
      <c r="F2" s="12" t="s">
        <v>1136</v>
      </c>
      <c r="G2" s="12" t="s">
        <v>1137</v>
      </c>
    </row>
    <row r="3" spans="1:7" x14ac:dyDescent="0.25">
      <c r="A3" s="1" t="s">
        <v>1138</v>
      </c>
      <c r="B3" s="265">
        <v>500.39699999999999</v>
      </c>
      <c r="C3" s="8">
        <v>100</v>
      </c>
      <c r="D3" s="22">
        <f t="shared" ref="D3:D9" si="0">C3*B3</f>
        <v>50039.7</v>
      </c>
      <c r="E3" s="8"/>
      <c r="F3" s="22">
        <f t="shared" ref="F3:F9" si="1">E3*C3</f>
        <v>0</v>
      </c>
      <c r="G3" s="79">
        <f t="shared" ref="G3:G9" si="2">F3/D3-1</f>
        <v>-1</v>
      </c>
    </row>
    <row r="4" spans="1:7" x14ac:dyDescent="0.25">
      <c r="A4" s="1" t="s">
        <v>1139</v>
      </c>
      <c r="B4" s="265">
        <v>30.59</v>
      </c>
      <c r="C4" s="8">
        <v>100</v>
      </c>
      <c r="D4" s="265">
        <f t="shared" si="0"/>
        <v>3059</v>
      </c>
      <c r="E4" s="8"/>
      <c r="F4" s="22">
        <f t="shared" si="1"/>
        <v>0</v>
      </c>
      <c r="G4" s="79">
        <f t="shared" si="2"/>
        <v>-1</v>
      </c>
    </row>
    <row r="5" spans="1:7" x14ac:dyDescent="0.25">
      <c r="A5" s="1" t="s">
        <v>1140</v>
      </c>
      <c r="B5" s="265">
        <v>28.78</v>
      </c>
      <c r="C5" s="8">
        <v>100</v>
      </c>
      <c r="D5" s="265">
        <f t="shared" si="0"/>
        <v>2878</v>
      </c>
      <c r="E5" s="8"/>
      <c r="F5" s="22">
        <f t="shared" si="1"/>
        <v>0</v>
      </c>
      <c r="G5" s="79">
        <f t="shared" si="2"/>
        <v>-1</v>
      </c>
    </row>
    <row r="6" spans="1:7" x14ac:dyDescent="0.25">
      <c r="A6" s="1" t="s">
        <v>320</v>
      </c>
      <c r="B6" s="265">
        <v>41.67</v>
      </c>
      <c r="C6" s="8">
        <v>100</v>
      </c>
      <c r="D6" s="265">
        <f t="shared" si="0"/>
        <v>4167</v>
      </c>
      <c r="E6" s="8"/>
      <c r="F6" s="22">
        <f t="shared" si="1"/>
        <v>0</v>
      </c>
      <c r="G6" s="79">
        <f t="shared" si="2"/>
        <v>-1</v>
      </c>
    </row>
    <row r="7" spans="1:7" x14ac:dyDescent="0.25">
      <c r="A7" s="1" t="s">
        <v>536</v>
      </c>
      <c r="B7" s="265">
        <v>54.51</v>
      </c>
      <c r="C7" s="8">
        <v>100</v>
      </c>
      <c r="D7" s="265">
        <f t="shared" si="0"/>
        <v>5451</v>
      </c>
      <c r="E7" s="8"/>
      <c r="F7" s="22">
        <f t="shared" si="1"/>
        <v>0</v>
      </c>
      <c r="G7" s="79">
        <f t="shared" si="2"/>
        <v>-1</v>
      </c>
    </row>
    <row r="8" spans="1:7" x14ac:dyDescent="0.25">
      <c r="A8" s="1" t="s">
        <v>1141</v>
      </c>
      <c r="B8" s="265">
        <v>50.78</v>
      </c>
      <c r="C8" s="8">
        <v>100</v>
      </c>
      <c r="D8" s="265">
        <f t="shared" si="0"/>
        <v>5078</v>
      </c>
      <c r="E8" s="8"/>
      <c r="F8" s="22">
        <f t="shared" si="1"/>
        <v>0</v>
      </c>
      <c r="G8" s="79">
        <f t="shared" si="2"/>
        <v>-1</v>
      </c>
    </row>
    <row r="9" spans="1:7" x14ac:dyDescent="0.25">
      <c r="A9" s="1" t="s">
        <v>1142</v>
      </c>
      <c r="B9" s="265">
        <v>27.3</v>
      </c>
      <c r="C9" s="8">
        <v>100</v>
      </c>
      <c r="D9" s="265">
        <f t="shared" si="0"/>
        <v>2730</v>
      </c>
      <c r="E9" s="8"/>
      <c r="F9" s="22">
        <f t="shared" si="1"/>
        <v>0</v>
      </c>
      <c r="G9" s="79">
        <f t="shared" si="2"/>
        <v>-1</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45">
    <tabColor rgb="FF0000FF"/>
  </sheetPr>
  <dimension ref="A2:N144"/>
  <sheetViews>
    <sheetView showGridLines="0" zoomScale="55" zoomScaleNormal="55" workbookViewId="0">
      <selection activeCell="F1" sqref="F1"/>
    </sheetView>
  </sheetViews>
  <sheetFormatPr defaultRowHeight="15" x14ac:dyDescent="0.25"/>
  <cols>
    <col min="1" max="1" width="22.7109375" customWidth="1"/>
    <col min="2" max="2" width="13.5703125" bestFit="1" customWidth="1"/>
    <col min="3" max="3" width="18.28515625" customWidth="1"/>
    <col min="4" max="4" width="19.85546875" customWidth="1"/>
    <col min="5" max="5" width="13.42578125" bestFit="1" customWidth="1"/>
    <col min="9" max="9" width="11.85546875" customWidth="1"/>
    <col min="10" max="11" width="6.7109375" bestFit="1" customWidth="1"/>
    <col min="12" max="12" width="7.85546875" bestFit="1" customWidth="1"/>
    <col min="13" max="13" width="1.28515625" customWidth="1"/>
    <col min="14" max="14" width="58.7109375" customWidth="1"/>
    <col min="257" max="257" width="22.7109375" bestFit="1" customWidth="1"/>
    <col min="258" max="258" width="13.5703125" bestFit="1" customWidth="1"/>
    <col min="259" max="259" width="12.85546875" bestFit="1" customWidth="1"/>
    <col min="260" max="260" width="11.85546875" bestFit="1" customWidth="1"/>
    <col min="261" max="261" width="13.42578125" bestFit="1" customWidth="1"/>
    <col min="513" max="513" width="22.7109375" bestFit="1" customWidth="1"/>
    <col min="514" max="514" width="13.5703125" bestFit="1" customWidth="1"/>
    <col min="515" max="515" width="12.85546875" bestFit="1" customWidth="1"/>
    <col min="516" max="516" width="11.85546875" bestFit="1" customWidth="1"/>
    <col min="517" max="517" width="13.42578125" bestFit="1" customWidth="1"/>
    <col min="769" max="769" width="22.7109375" bestFit="1" customWidth="1"/>
    <col min="770" max="770" width="13.5703125" bestFit="1" customWidth="1"/>
    <col min="771" max="771" width="12.85546875" bestFit="1" customWidth="1"/>
    <col min="772" max="772" width="11.85546875" bestFit="1" customWidth="1"/>
    <col min="773" max="773" width="13.42578125" bestFit="1" customWidth="1"/>
    <col min="1025" max="1025" width="22.7109375" bestFit="1" customWidth="1"/>
    <col min="1026" max="1026" width="13.5703125" bestFit="1" customWidth="1"/>
    <col min="1027" max="1027" width="12.85546875" bestFit="1" customWidth="1"/>
    <col min="1028" max="1028" width="11.85546875" bestFit="1" customWidth="1"/>
    <col min="1029" max="1029" width="13.42578125" bestFit="1" customWidth="1"/>
    <col min="1281" max="1281" width="22.7109375" bestFit="1" customWidth="1"/>
    <col min="1282" max="1282" width="13.5703125" bestFit="1" customWidth="1"/>
    <col min="1283" max="1283" width="12.85546875" bestFit="1" customWidth="1"/>
    <col min="1284" max="1284" width="11.85546875" bestFit="1" customWidth="1"/>
    <col min="1285" max="1285" width="13.42578125" bestFit="1" customWidth="1"/>
    <col min="1537" max="1537" width="22.7109375" bestFit="1" customWidth="1"/>
    <col min="1538" max="1538" width="13.5703125" bestFit="1" customWidth="1"/>
    <col min="1539" max="1539" width="12.85546875" bestFit="1" customWidth="1"/>
    <col min="1540" max="1540" width="11.85546875" bestFit="1" customWidth="1"/>
    <col min="1541" max="1541" width="13.42578125" bestFit="1" customWidth="1"/>
    <col min="1793" max="1793" width="22.7109375" bestFit="1" customWidth="1"/>
    <col min="1794" max="1794" width="13.5703125" bestFit="1" customWidth="1"/>
    <col min="1795" max="1795" width="12.85546875" bestFit="1" customWidth="1"/>
    <col min="1796" max="1796" width="11.85546875" bestFit="1" customWidth="1"/>
    <col min="1797" max="1797" width="13.42578125" bestFit="1" customWidth="1"/>
    <col min="2049" max="2049" width="22.7109375" bestFit="1" customWidth="1"/>
    <col min="2050" max="2050" width="13.5703125" bestFit="1" customWidth="1"/>
    <col min="2051" max="2051" width="12.85546875" bestFit="1" customWidth="1"/>
    <col min="2052" max="2052" width="11.85546875" bestFit="1" customWidth="1"/>
    <col min="2053" max="2053" width="13.42578125" bestFit="1" customWidth="1"/>
    <col min="2305" max="2305" width="22.7109375" bestFit="1" customWidth="1"/>
    <col min="2306" max="2306" width="13.5703125" bestFit="1" customWidth="1"/>
    <col min="2307" max="2307" width="12.85546875" bestFit="1" customWidth="1"/>
    <col min="2308" max="2308" width="11.85546875" bestFit="1" customWidth="1"/>
    <col min="2309" max="2309" width="13.42578125" bestFit="1" customWidth="1"/>
    <col min="2561" max="2561" width="22.7109375" bestFit="1" customWidth="1"/>
    <col min="2562" max="2562" width="13.5703125" bestFit="1" customWidth="1"/>
    <col min="2563" max="2563" width="12.85546875" bestFit="1" customWidth="1"/>
    <col min="2564" max="2564" width="11.85546875" bestFit="1" customWidth="1"/>
    <col min="2565" max="2565" width="13.42578125" bestFit="1" customWidth="1"/>
    <col min="2817" max="2817" width="22.7109375" bestFit="1" customWidth="1"/>
    <col min="2818" max="2818" width="13.5703125" bestFit="1" customWidth="1"/>
    <col min="2819" max="2819" width="12.85546875" bestFit="1" customWidth="1"/>
    <col min="2820" max="2820" width="11.85546875" bestFit="1" customWidth="1"/>
    <col min="2821" max="2821" width="13.42578125" bestFit="1" customWidth="1"/>
    <col min="3073" max="3073" width="22.7109375" bestFit="1" customWidth="1"/>
    <col min="3074" max="3074" width="13.5703125" bestFit="1" customWidth="1"/>
    <col min="3075" max="3075" width="12.85546875" bestFit="1" customWidth="1"/>
    <col min="3076" max="3076" width="11.85546875" bestFit="1" customWidth="1"/>
    <col min="3077" max="3077" width="13.42578125" bestFit="1" customWidth="1"/>
    <col min="3329" max="3329" width="22.7109375" bestFit="1" customWidth="1"/>
    <col min="3330" max="3330" width="13.5703125" bestFit="1" customWidth="1"/>
    <col min="3331" max="3331" width="12.85546875" bestFit="1" customWidth="1"/>
    <col min="3332" max="3332" width="11.85546875" bestFit="1" customWidth="1"/>
    <col min="3333" max="3333" width="13.42578125" bestFit="1" customWidth="1"/>
    <col min="3585" max="3585" width="22.7109375" bestFit="1" customWidth="1"/>
    <col min="3586" max="3586" width="13.5703125" bestFit="1" customWidth="1"/>
    <col min="3587" max="3587" width="12.85546875" bestFit="1" customWidth="1"/>
    <col min="3588" max="3588" width="11.85546875" bestFit="1" customWidth="1"/>
    <col min="3589" max="3589" width="13.42578125" bestFit="1" customWidth="1"/>
    <col min="3841" max="3841" width="22.7109375" bestFit="1" customWidth="1"/>
    <col min="3842" max="3842" width="13.5703125" bestFit="1" customWidth="1"/>
    <col min="3843" max="3843" width="12.85546875" bestFit="1" customWidth="1"/>
    <col min="3844" max="3844" width="11.85546875" bestFit="1" customWidth="1"/>
    <col min="3845" max="3845" width="13.42578125" bestFit="1" customWidth="1"/>
    <col min="4097" max="4097" width="22.7109375" bestFit="1" customWidth="1"/>
    <col min="4098" max="4098" width="13.5703125" bestFit="1" customWidth="1"/>
    <col min="4099" max="4099" width="12.85546875" bestFit="1" customWidth="1"/>
    <col min="4100" max="4100" width="11.85546875" bestFit="1" customWidth="1"/>
    <col min="4101" max="4101" width="13.42578125" bestFit="1" customWidth="1"/>
    <col min="4353" max="4353" width="22.7109375" bestFit="1" customWidth="1"/>
    <col min="4354" max="4354" width="13.5703125" bestFit="1" customWidth="1"/>
    <col min="4355" max="4355" width="12.85546875" bestFit="1" customWidth="1"/>
    <col min="4356" max="4356" width="11.85546875" bestFit="1" customWidth="1"/>
    <col min="4357" max="4357" width="13.42578125" bestFit="1" customWidth="1"/>
    <col min="4609" max="4609" width="22.7109375" bestFit="1" customWidth="1"/>
    <col min="4610" max="4610" width="13.5703125" bestFit="1" customWidth="1"/>
    <col min="4611" max="4611" width="12.85546875" bestFit="1" customWidth="1"/>
    <col min="4612" max="4612" width="11.85546875" bestFit="1" customWidth="1"/>
    <col min="4613" max="4613" width="13.42578125" bestFit="1" customWidth="1"/>
    <col min="4865" max="4865" width="22.7109375" bestFit="1" customWidth="1"/>
    <col min="4866" max="4866" width="13.5703125" bestFit="1" customWidth="1"/>
    <col min="4867" max="4867" width="12.85546875" bestFit="1" customWidth="1"/>
    <col min="4868" max="4868" width="11.85546875" bestFit="1" customWidth="1"/>
    <col min="4869" max="4869" width="13.42578125" bestFit="1" customWidth="1"/>
    <col min="5121" max="5121" width="22.7109375" bestFit="1" customWidth="1"/>
    <col min="5122" max="5122" width="13.5703125" bestFit="1" customWidth="1"/>
    <col min="5123" max="5123" width="12.85546875" bestFit="1" customWidth="1"/>
    <col min="5124" max="5124" width="11.85546875" bestFit="1" customWidth="1"/>
    <col min="5125" max="5125" width="13.42578125" bestFit="1" customWidth="1"/>
    <col min="5377" max="5377" width="22.7109375" bestFit="1" customWidth="1"/>
    <col min="5378" max="5378" width="13.5703125" bestFit="1" customWidth="1"/>
    <col min="5379" max="5379" width="12.85546875" bestFit="1" customWidth="1"/>
    <col min="5380" max="5380" width="11.85546875" bestFit="1" customWidth="1"/>
    <col min="5381" max="5381" width="13.42578125" bestFit="1" customWidth="1"/>
    <col min="5633" max="5633" width="22.7109375" bestFit="1" customWidth="1"/>
    <col min="5634" max="5634" width="13.5703125" bestFit="1" customWidth="1"/>
    <col min="5635" max="5635" width="12.85546875" bestFit="1" customWidth="1"/>
    <col min="5636" max="5636" width="11.85546875" bestFit="1" customWidth="1"/>
    <col min="5637" max="5637" width="13.42578125" bestFit="1" customWidth="1"/>
    <col min="5889" max="5889" width="22.7109375" bestFit="1" customWidth="1"/>
    <col min="5890" max="5890" width="13.5703125" bestFit="1" customWidth="1"/>
    <col min="5891" max="5891" width="12.85546875" bestFit="1" customWidth="1"/>
    <col min="5892" max="5892" width="11.85546875" bestFit="1" customWidth="1"/>
    <col min="5893" max="5893" width="13.42578125" bestFit="1" customWidth="1"/>
    <col min="6145" max="6145" width="22.7109375" bestFit="1" customWidth="1"/>
    <col min="6146" max="6146" width="13.5703125" bestFit="1" customWidth="1"/>
    <col min="6147" max="6147" width="12.85546875" bestFit="1" customWidth="1"/>
    <col min="6148" max="6148" width="11.85546875" bestFit="1" customWidth="1"/>
    <col min="6149" max="6149" width="13.42578125" bestFit="1" customWidth="1"/>
    <col min="6401" max="6401" width="22.7109375" bestFit="1" customWidth="1"/>
    <col min="6402" max="6402" width="13.5703125" bestFit="1" customWidth="1"/>
    <col min="6403" max="6403" width="12.85546875" bestFit="1" customWidth="1"/>
    <col min="6404" max="6404" width="11.85546875" bestFit="1" customWidth="1"/>
    <col min="6405" max="6405" width="13.42578125" bestFit="1" customWidth="1"/>
    <col min="6657" max="6657" width="22.7109375" bestFit="1" customWidth="1"/>
    <col min="6658" max="6658" width="13.5703125" bestFit="1" customWidth="1"/>
    <col min="6659" max="6659" width="12.85546875" bestFit="1" customWidth="1"/>
    <col min="6660" max="6660" width="11.85546875" bestFit="1" customWidth="1"/>
    <col min="6661" max="6661" width="13.42578125" bestFit="1" customWidth="1"/>
    <col min="6913" max="6913" width="22.7109375" bestFit="1" customWidth="1"/>
    <col min="6914" max="6914" width="13.5703125" bestFit="1" customWidth="1"/>
    <col min="6915" max="6915" width="12.85546875" bestFit="1" customWidth="1"/>
    <col min="6916" max="6916" width="11.85546875" bestFit="1" customWidth="1"/>
    <col min="6917" max="6917" width="13.42578125" bestFit="1" customWidth="1"/>
    <col min="7169" max="7169" width="22.7109375" bestFit="1" customWidth="1"/>
    <col min="7170" max="7170" width="13.5703125" bestFit="1" customWidth="1"/>
    <col min="7171" max="7171" width="12.85546875" bestFit="1" customWidth="1"/>
    <col min="7172" max="7172" width="11.85546875" bestFit="1" customWidth="1"/>
    <col min="7173" max="7173" width="13.42578125" bestFit="1" customWidth="1"/>
    <col min="7425" max="7425" width="22.7109375" bestFit="1" customWidth="1"/>
    <col min="7426" max="7426" width="13.5703125" bestFit="1" customWidth="1"/>
    <col min="7427" max="7427" width="12.85546875" bestFit="1" customWidth="1"/>
    <col min="7428" max="7428" width="11.85546875" bestFit="1" customWidth="1"/>
    <col min="7429" max="7429" width="13.42578125" bestFit="1" customWidth="1"/>
    <col min="7681" max="7681" width="22.7109375" bestFit="1" customWidth="1"/>
    <col min="7682" max="7682" width="13.5703125" bestFit="1" customWidth="1"/>
    <col min="7683" max="7683" width="12.85546875" bestFit="1" customWidth="1"/>
    <col min="7684" max="7684" width="11.85546875" bestFit="1" customWidth="1"/>
    <col min="7685" max="7685" width="13.42578125" bestFit="1" customWidth="1"/>
    <col min="7937" max="7937" width="22.7109375" bestFit="1" customWidth="1"/>
    <col min="7938" max="7938" width="13.5703125" bestFit="1" customWidth="1"/>
    <col min="7939" max="7939" width="12.85546875" bestFit="1" customWidth="1"/>
    <col min="7940" max="7940" width="11.85546875" bestFit="1" customWidth="1"/>
    <col min="7941" max="7941" width="13.42578125" bestFit="1" customWidth="1"/>
    <col min="8193" max="8193" width="22.7109375" bestFit="1" customWidth="1"/>
    <col min="8194" max="8194" width="13.5703125" bestFit="1" customWidth="1"/>
    <col min="8195" max="8195" width="12.85546875" bestFit="1" customWidth="1"/>
    <col min="8196" max="8196" width="11.85546875" bestFit="1" customWidth="1"/>
    <col min="8197" max="8197" width="13.42578125" bestFit="1" customWidth="1"/>
    <col min="8449" max="8449" width="22.7109375" bestFit="1" customWidth="1"/>
    <col min="8450" max="8450" width="13.5703125" bestFit="1" customWidth="1"/>
    <col min="8451" max="8451" width="12.85546875" bestFit="1" customWidth="1"/>
    <col min="8452" max="8452" width="11.85546875" bestFit="1" customWidth="1"/>
    <col min="8453" max="8453" width="13.42578125" bestFit="1" customWidth="1"/>
    <col min="8705" max="8705" width="22.7109375" bestFit="1" customWidth="1"/>
    <col min="8706" max="8706" width="13.5703125" bestFit="1" customWidth="1"/>
    <col min="8707" max="8707" width="12.85546875" bestFit="1" customWidth="1"/>
    <col min="8708" max="8708" width="11.85546875" bestFit="1" customWidth="1"/>
    <col min="8709" max="8709" width="13.42578125" bestFit="1" customWidth="1"/>
    <col min="8961" max="8961" width="22.7109375" bestFit="1" customWidth="1"/>
    <col min="8962" max="8962" width="13.5703125" bestFit="1" customWidth="1"/>
    <col min="8963" max="8963" width="12.85546875" bestFit="1" customWidth="1"/>
    <col min="8964" max="8964" width="11.85546875" bestFit="1" customWidth="1"/>
    <col min="8965" max="8965" width="13.42578125" bestFit="1" customWidth="1"/>
    <col min="9217" max="9217" width="22.7109375" bestFit="1" customWidth="1"/>
    <col min="9218" max="9218" width="13.5703125" bestFit="1" customWidth="1"/>
    <col min="9219" max="9219" width="12.85546875" bestFit="1" customWidth="1"/>
    <col min="9220" max="9220" width="11.85546875" bestFit="1" customWidth="1"/>
    <col min="9221" max="9221" width="13.42578125" bestFit="1" customWidth="1"/>
    <col min="9473" max="9473" width="22.7109375" bestFit="1" customWidth="1"/>
    <col min="9474" max="9474" width="13.5703125" bestFit="1" customWidth="1"/>
    <col min="9475" max="9475" width="12.85546875" bestFit="1" customWidth="1"/>
    <col min="9476" max="9476" width="11.85546875" bestFit="1" customWidth="1"/>
    <col min="9477" max="9477" width="13.42578125" bestFit="1" customWidth="1"/>
    <col min="9729" max="9729" width="22.7109375" bestFit="1" customWidth="1"/>
    <col min="9730" max="9730" width="13.5703125" bestFit="1" customWidth="1"/>
    <col min="9731" max="9731" width="12.85546875" bestFit="1" customWidth="1"/>
    <col min="9732" max="9732" width="11.85546875" bestFit="1" customWidth="1"/>
    <col min="9733" max="9733" width="13.42578125" bestFit="1" customWidth="1"/>
    <col min="9985" max="9985" width="22.7109375" bestFit="1" customWidth="1"/>
    <col min="9986" max="9986" width="13.5703125" bestFit="1" customWidth="1"/>
    <col min="9987" max="9987" width="12.85546875" bestFit="1" customWidth="1"/>
    <col min="9988" max="9988" width="11.85546875" bestFit="1" customWidth="1"/>
    <col min="9989" max="9989" width="13.42578125" bestFit="1" customWidth="1"/>
    <col min="10241" max="10241" width="22.7109375" bestFit="1" customWidth="1"/>
    <col min="10242" max="10242" width="13.5703125" bestFit="1" customWidth="1"/>
    <col min="10243" max="10243" width="12.85546875" bestFit="1" customWidth="1"/>
    <col min="10244" max="10244" width="11.85546875" bestFit="1" customWidth="1"/>
    <col min="10245" max="10245" width="13.42578125" bestFit="1" customWidth="1"/>
    <col min="10497" max="10497" width="22.7109375" bestFit="1" customWidth="1"/>
    <col min="10498" max="10498" width="13.5703125" bestFit="1" customWidth="1"/>
    <col min="10499" max="10499" width="12.85546875" bestFit="1" customWidth="1"/>
    <col min="10500" max="10500" width="11.85546875" bestFit="1" customWidth="1"/>
    <col min="10501" max="10501" width="13.42578125" bestFit="1" customWidth="1"/>
    <col min="10753" max="10753" width="22.7109375" bestFit="1" customWidth="1"/>
    <col min="10754" max="10754" width="13.5703125" bestFit="1" customWidth="1"/>
    <col min="10755" max="10755" width="12.85546875" bestFit="1" customWidth="1"/>
    <col min="10756" max="10756" width="11.85546875" bestFit="1" customWidth="1"/>
    <col min="10757" max="10757" width="13.42578125" bestFit="1" customWidth="1"/>
    <col min="11009" max="11009" width="22.7109375" bestFit="1" customWidth="1"/>
    <col min="11010" max="11010" width="13.5703125" bestFit="1" customWidth="1"/>
    <col min="11011" max="11011" width="12.85546875" bestFit="1" customWidth="1"/>
    <col min="11012" max="11012" width="11.85546875" bestFit="1" customWidth="1"/>
    <col min="11013" max="11013" width="13.42578125" bestFit="1" customWidth="1"/>
    <col min="11265" max="11265" width="22.7109375" bestFit="1" customWidth="1"/>
    <col min="11266" max="11266" width="13.5703125" bestFit="1" customWidth="1"/>
    <col min="11267" max="11267" width="12.85546875" bestFit="1" customWidth="1"/>
    <col min="11268" max="11268" width="11.85546875" bestFit="1" customWidth="1"/>
    <col min="11269" max="11269" width="13.42578125" bestFit="1" customWidth="1"/>
    <col min="11521" max="11521" width="22.7109375" bestFit="1" customWidth="1"/>
    <col min="11522" max="11522" width="13.5703125" bestFit="1" customWidth="1"/>
    <col min="11523" max="11523" width="12.85546875" bestFit="1" customWidth="1"/>
    <col min="11524" max="11524" width="11.85546875" bestFit="1" customWidth="1"/>
    <col min="11525" max="11525" width="13.42578125" bestFit="1" customWidth="1"/>
    <col min="11777" max="11777" width="22.7109375" bestFit="1" customWidth="1"/>
    <col min="11778" max="11778" width="13.5703125" bestFit="1" customWidth="1"/>
    <col min="11779" max="11779" width="12.85546875" bestFit="1" customWidth="1"/>
    <col min="11780" max="11780" width="11.85546875" bestFit="1" customWidth="1"/>
    <col min="11781" max="11781" width="13.42578125" bestFit="1" customWidth="1"/>
    <col min="12033" max="12033" width="22.7109375" bestFit="1" customWidth="1"/>
    <col min="12034" max="12034" width="13.5703125" bestFit="1" customWidth="1"/>
    <col min="12035" max="12035" width="12.85546875" bestFit="1" customWidth="1"/>
    <col min="12036" max="12036" width="11.85546875" bestFit="1" customWidth="1"/>
    <col min="12037" max="12037" width="13.42578125" bestFit="1" customWidth="1"/>
    <col min="12289" max="12289" width="22.7109375" bestFit="1" customWidth="1"/>
    <col min="12290" max="12290" width="13.5703125" bestFit="1" customWidth="1"/>
    <col min="12291" max="12291" width="12.85546875" bestFit="1" customWidth="1"/>
    <col min="12292" max="12292" width="11.85546875" bestFit="1" customWidth="1"/>
    <col min="12293" max="12293" width="13.42578125" bestFit="1" customWidth="1"/>
    <col min="12545" max="12545" width="22.7109375" bestFit="1" customWidth="1"/>
    <col min="12546" max="12546" width="13.5703125" bestFit="1" customWidth="1"/>
    <col min="12547" max="12547" width="12.85546875" bestFit="1" customWidth="1"/>
    <col min="12548" max="12548" width="11.85546875" bestFit="1" customWidth="1"/>
    <col min="12549" max="12549" width="13.42578125" bestFit="1" customWidth="1"/>
    <col min="12801" max="12801" width="22.7109375" bestFit="1" customWidth="1"/>
    <col min="12802" max="12802" width="13.5703125" bestFit="1" customWidth="1"/>
    <col min="12803" max="12803" width="12.85546875" bestFit="1" customWidth="1"/>
    <col min="12804" max="12804" width="11.85546875" bestFit="1" customWidth="1"/>
    <col min="12805" max="12805" width="13.42578125" bestFit="1" customWidth="1"/>
    <col min="13057" max="13057" width="22.7109375" bestFit="1" customWidth="1"/>
    <col min="13058" max="13058" width="13.5703125" bestFit="1" customWidth="1"/>
    <col min="13059" max="13059" width="12.85546875" bestFit="1" customWidth="1"/>
    <col min="13060" max="13060" width="11.85546875" bestFit="1" customWidth="1"/>
    <col min="13061" max="13061" width="13.42578125" bestFit="1" customWidth="1"/>
    <col min="13313" max="13313" width="22.7109375" bestFit="1" customWidth="1"/>
    <col min="13314" max="13314" width="13.5703125" bestFit="1" customWidth="1"/>
    <col min="13315" max="13315" width="12.85546875" bestFit="1" customWidth="1"/>
    <col min="13316" max="13316" width="11.85546875" bestFit="1" customWidth="1"/>
    <col min="13317" max="13317" width="13.42578125" bestFit="1" customWidth="1"/>
    <col min="13569" max="13569" width="22.7109375" bestFit="1" customWidth="1"/>
    <col min="13570" max="13570" width="13.5703125" bestFit="1" customWidth="1"/>
    <col min="13571" max="13571" width="12.85546875" bestFit="1" customWidth="1"/>
    <col min="13572" max="13572" width="11.85546875" bestFit="1" customWidth="1"/>
    <col min="13573" max="13573" width="13.42578125" bestFit="1" customWidth="1"/>
    <col min="13825" max="13825" width="22.7109375" bestFit="1" customWidth="1"/>
    <col min="13826" max="13826" width="13.5703125" bestFit="1" customWidth="1"/>
    <col min="13827" max="13827" width="12.85546875" bestFit="1" customWidth="1"/>
    <col min="13828" max="13828" width="11.85546875" bestFit="1" customWidth="1"/>
    <col min="13829" max="13829" width="13.42578125" bestFit="1" customWidth="1"/>
    <col min="14081" max="14081" width="22.7109375" bestFit="1" customWidth="1"/>
    <col min="14082" max="14082" width="13.5703125" bestFit="1" customWidth="1"/>
    <col min="14083" max="14083" width="12.85546875" bestFit="1" customWidth="1"/>
    <col min="14084" max="14084" width="11.85546875" bestFit="1" customWidth="1"/>
    <col min="14085" max="14085" width="13.42578125" bestFit="1" customWidth="1"/>
    <col min="14337" max="14337" width="22.7109375" bestFit="1" customWidth="1"/>
    <col min="14338" max="14338" width="13.5703125" bestFit="1" customWidth="1"/>
    <col min="14339" max="14339" width="12.85546875" bestFit="1" customWidth="1"/>
    <col min="14340" max="14340" width="11.85546875" bestFit="1" customWidth="1"/>
    <col min="14341" max="14341" width="13.42578125" bestFit="1" customWidth="1"/>
    <col min="14593" max="14593" width="22.7109375" bestFit="1" customWidth="1"/>
    <col min="14594" max="14594" width="13.5703125" bestFit="1" customWidth="1"/>
    <col min="14595" max="14595" width="12.85546875" bestFit="1" customWidth="1"/>
    <col min="14596" max="14596" width="11.85546875" bestFit="1" customWidth="1"/>
    <col min="14597" max="14597" width="13.42578125" bestFit="1" customWidth="1"/>
    <col min="14849" max="14849" width="22.7109375" bestFit="1" customWidth="1"/>
    <col min="14850" max="14850" width="13.5703125" bestFit="1" customWidth="1"/>
    <col min="14851" max="14851" width="12.85546875" bestFit="1" customWidth="1"/>
    <col min="14852" max="14852" width="11.85546875" bestFit="1" customWidth="1"/>
    <col min="14853" max="14853" width="13.42578125" bestFit="1" customWidth="1"/>
    <col min="15105" max="15105" width="22.7109375" bestFit="1" customWidth="1"/>
    <col min="15106" max="15106" width="13.5703125" bestFit="1" customWidth="1"/>
    <col min="15107" max="15107" width="12.85546875" bestFit="1" customWidth="1"/>
    <col min="15108" max="15108" width="11.85546875" bestFit="1" customWidth="1"/>
    <col min="15109" max="15109" width="13.42578125" bestFit="1" customWidth="1"/>
    <col min="15361" max="15361" width="22.7109375" bestFit="1" customWidth="1"/>
    <col min="15362" max="15362" width="13.5703125" bestFit="1" customWidth="1"/>
    <col min="15363" max="15363" width="12.85546875" bestFit="1" customWidth="1"/>
    <col min="15364" max="15364" width="11.85546875" bestFit="1" customWidth="1"/>
    <col min="15365" max="15365" width="13.42578125" bestFit="1" customWidth="1"/>
    <col min="15617" max="15617" width="22.7109375" bestFit="1" customWidth="1"/>
    <col min="15618" max="15618" width="13.5703125" bestFit="1" customWidth="1"/>
    <col min="15619" max="15619" width="12.85546875" bestFit="1" customWidth="1"/>
    <col min="15620" max="15620" width="11.85546875" bestFit="1" customWidth="1"/>
    <col min="15621" max="15621" width="13.42578125" bestFit="1" customWidth="1"/>
    <col min="15873" max="15873" width="22.7109375" bestFit="1" customWidth="1"/>
    <col min="15874" max="15874" width="13.5703125" bestFit="1" customWidth="1"/>
    <col min="15875" max="15875" width="12.85546875" bestFit="1" customWidth="1"/>
    <col min="15876" max="15876" width="11.85546875" bestFit="1" customWidth="1"/>
    <col min="15877" max="15877" width="13.42578125" bestFit="1" customWidth="1"/>
    <col min="16129" max="16129" width="22.7109375" bestFit="1" customWidth="1"/>
    <col min="16130" max="16130" width="13.5703125" bestFit="1" customWidth="1"/>
    <col min="16131" max="16131" width="12.85546875" bestFit="1" customWidth="1"/>
    <col min="16132" max="16132" width="11.85546875" bestFit="1" customWidth="1"/>
    <col min="16133" max="16133" width="13.42578125" bestFit="1" customWidth="1"/>
  </cols>
  <sheetData>
    <row r="2" spans="1:14" x14ac:dyDescent="0.25">
      <c r="A2" s="275" t="s">
        <v>1161</v>
      </c>
      <c r="B2" s="276"/>
      <c r="C2" s="276"/>
      <c r="D2" s="276"/>
      <c r="E2" s="277"/>
    </row>
    <row r="3" spans="1:14" x14ac:dyDescent="0.25">
      <c r="A3" s="8"/>
      <c r="B3" s="18" t="s">
        <v>66</v>
      </c>
      <c r="C3" s="18" t="s">
        <v>67</v>
      </c>
      <c r="D3" s="18" t="s">
        <v>68</v>
      </c>
      <c r="E3" s="18" t="s">
        <v>76</v>
      </c>
      <c r="I3" s="8"/>
      <c r="J3" s="341" t="s">
        <v>66</v>
      </c>
      <c r="K3" s="341" t="s">
        <v>67</v>
      </c>
      <c r="L3" s="341" t="s">
        <v>68</v>
      </c>
      <c r="N3" s="8" t="str">
        <f>CHAR(17)&amp;" These are called 'Categories' and will appear in the horizontal axis."</f>
        <v>_x0011_ These are called 'Categories' and will appear in the horizontal axis.</v>
      </c>
    </row>
    <row r="4" spans="1:14" x14ac:dyDescent="0.25">
      <c r="A4" s="18" t="s">
        <v>74</v>
      </c>
      <c r="B4" s="278">
        <v>500</v>
      </c>
      <c r="C4" s="278">
        <v>2150</v>
      </c>
      <c r="D4" s="278">
        <v>8893</v>
      </c>
      <c r="E4" s="279">
        <f>SUM(B4:D4)</f>
        <v>11543</v>
      </c>
      <c r="I4" s="341" t="s">
        <v>74</v>
      </c>
      <c r="J4" s="278">
        <v>500</v>
      </c>
      <c r="K4" s="278">
        <v>2150</v>
      </c>
      <c r="L4" s="278">
        <v>8893</v>
      </c>
      <c r="N4" s="8" t="str">
        <f>CHAR(17)&amp;" The numbers "&amp;FIXED(J4,0)&amp;", "&amp;FIXED(K4,0)&amp;", "&amp;FIXED(L4,0)&amp;" are called the '"&amp;I4&amp;" Series'."</f>
        <v>_x0011_ The numbers 500, 2.150, 8.893 are called the 'Toys Series'.</v>
      </c>
    </row>
    <row r="5" spans="1:14" x14ac:dyDescent="0.25">
      <c r="A5" s="18" t="s">
        <v>72</v>
      </c>
      <c r="B5" s="278">
        <v>4000</v>
      </c>
      <c r="C5" s="278">
        <v>6933</v>
      </c>
      <c r="D5" s="278">
        <v>9545</v>
      </c>
      <c r="E5" s="279">
        <f>SUM(B5:D5)</f>
        <v>20478</v>
      </c>
      <c r="I5" s="341" t="s">
        <v>72</v>
      </c>
      <c r="J5" s="278">
        <v>4000</v>
      </c>
      <c r="K5" s="278">
        <v>6933</v>
      </c>
      <c r="L5" s="278">
        <v>9545</v>
      </c>
      <c r="N5" s="8" t="str">
        <f t="shared" ref="N5:N6" si="0">CHAR(17)&amp;" The numbers "&amp;FIXED(J5,0)&amp;", "&amp;FIXED(K5,0)&amp;", "&amp;FIXED(L5,0)&amp;" are called the '"&amp;I5&amp;" Series'."</f>
        <v>_x0011_ The numbers 4.000, 6.933, 9.545 are called the 'Boomerangs Series'.</v>
      </c>
    </row>
    <row r="6" spans="1:14" x14ac:dyDescent="0.25">
      <c r="A6" s="18" t="s">
        <v>73</v>
      </c>
      <c r="B6" s="278">
        <v>9721</v>
      </c>
      <c r="C6" s="278">
        <v>5367</v>
      </c>
      <c r="D6" s="278">
        <v>15064</v>
      </c>
      <c r="E6" s="279">
        <f>SUM(B6:D6)</f>
        <v>30152</v>
      </c>
      <c r="I6" s="341" t="s">
        <v>73</v>
      </c>
      <c r="J6" s="278">
        <v>9721</v>
      </c>
      <c r="K6" s="278">
        <v>5367</v>
      </c>
      <c r="L6" s="278">
        <v>15064</v>
      </c>
      <c r="N6" s="8" t="str">
        <f t="shared" si="0"/>
        <v>_x0011_ The numbers 9.721, 5.367, 15.064 are called the 'Kites Series'.</v>
      </c>
    </row>
    <row r="7" spans="1:14" ht="15" customHeight="1" x14ac:dyDescent="0.25">
      <c r="A7" s="18" t="s">
        <v>76</v>
      </c>
      <c r="B7" s="279">
        <f>SUM(B4:B6)</f>
        <v>14221</v>
      </c>
      <c r="C7" s="279">
        <f>SUM(C4:C6)</f>
        <v>14450</v>
      </c>
      <c r="D7" s="279">
        <f>SUM(D4:D6)</f>
        <v>33502</v>
      </c>
      <c r="E7" s="279">
        <f>SUM(B7:D7)</f>
        <v>62173</v>
      </c>
    </row>
    <row r="8" spans="1:14" ht="73.150000000000006" customHeight="1" x14ac:dyDescent="0.25">
      <c r="I8" s="72" t="s">
        <v>1288</v>
      </c>
    </row>
    <row r="106" spans="1:4" ht="60" customHeight="1" x14ac:dyDescent="0.25"/>
    <row r="107" spans="1:4" x14ac:dyDescent="0.25">
      <c r="A107" s="27" t="s">
        <v>398</v>
      </c>
    </row>
    <row r="108" spans="1:4" x14ac:dyDescent="0.25">
      <c r="A108">
        <v>69</v>
      </c>
    </row>
    <row r="109" spans="1:4" x14ac:dyDescent="0.25">
      <c r="A109">
        <v>75</v>
      </c>
      <c r="C109" s="310" t="s">
        <v>1047</v>
      </c>
      <c r="D109" t="s">
        <v>1162</v>
      </c>
    </row>
    <row r="110" spans="1:4" ht="50.25" customHeight="1" x14ac:dyDescent="0.25">
      <c r="A110">
        <v>56</v>
      </c>
      <c r="C110" s="227" t="s">
        <v>1163</v>
      </c>
      <c r="D110" s="30">
        <v>1</v>
      </c>
    </row>
    <row r="111" spans="1:4" ht="50.25" customHeight="1" x14ac:dyDescent="0.25">
      <c r="A111">
        <v>26</v>
      </c>
      <c r="C111" s="227" t="s">
        <v>1164</v>
      </c>
      <c r="D111" s="30">
        <v>1</v>
      </c>
    </row>
    <row r="112" spans="1:4" ht="50.25" customHeight="1" x14ac:dyDescent="0.25">
      <c r="A112">
        <v>85</v>
      </c>
      <c r="C112" s="227" t="s">
        <v>1165</v>
      </c>
      <c r="D112" s="30">
        <v>4</v>
      </c>
    </row>
    <row r="113" spans="1:7" ht="50.25" customHeight="1" x14ac:dyDescent="0.25">
      <c r="A113">
        <v>67</v>
      </c>
      <c r="C113" s="227" t="s">
        <v>1166</v>
      </c>
      <c r="D113" s="30">
        <v>1</v>
      </c>
    </row>
    <row r="114" spans="1:7" ht="50.25" customHeight="1" x14ac:dyDescent="0.25">
      <c r="A114">
        <v>67</v>
      </c>
      <c r="C114" s="227" t="s">
        <v>1167</v>
      </c>
      <c r="D114" s="30">
        <v>4</v>
      </c>
    </row>
    <row r="115" spans="1:7" x14ac:dyDescent="0.25">
      <c r="A115">
        <v>70</v>
      </c>
      <c r="C115" s="227" t="s">
        <v>1168</v>
      </c>
      <c r="D115" s="30">
        <v>10</v>
      </c>
    </row>
    <row r="116" spans="1:7" x14ac:dyDescent="0.25">
      <c r="A116">
        <v>30</v>
      </c>
      <c r="C116" s="227" t="s">
        <v>1169</v>
      </c>
      <c r="D116" s="30">
        <v>7</v>
      </c>
    </row>
    <row r="117" spans="1:7" x14ac:dyDescent="0.25">
      <c r="A117">
        <v>81</v>
      </c>
      <c r="C117" s="227" t="s">
        <v>1170</v>
      </c>
      <c r="D117" s="30">
        <v>7</v>
      </c>
    </row>
    <row r="118" spans="1:7" x14ac:dyDescent="0.25">
      <c r="A118">
        <v>74</v>
      </c>
      <c r="C118" s="227" t="s">
        <v>1171</v>
      </c>
      <c r="D118" s="30">
        <v>2</v>
      </c>
    </row>
    <row r="119" spans="1:7" x14ac:dyDescent="0.25">
      <c r="A119">
        <v>98</v>
      </c>
      <c r="C119" s="227" t="s">
        <v>1014</v>
      </c>
      <c r="D119" s="30">
        <v>37</v>
      </c>
    </row>
    <row r="120" spans="1:7" x14ac:dyDescent="0.25">
      <c r="A120">
        <v>45</v>
      </c>
      <c r="G120" t="s">
        <v>1172</v>
      </c>
    </row>
    <row r="121" spans="1:7" x14ac:dyDescent="0.25">
      <c r="A121">
        <v>79</v>
      </c>
    </row>
    <row r="122" spans="1:7" x14ac:dyDescent="0.25">
      <c r="A122">
        <v>72</v>
      </c>
    </row>
    <row r="123" spans="1:7" x14ac:dyDescent="0.25">
      <c r="A123">
        <v>65</v>
      </c>
    </row>
    <row r="124" spans="1:7" x14ac:dyDescent="0.25">
      <c r="A124">
        <v>68</v>
      </c>
    </row>
    <row r="125" spans="1:7" x14ac:dyDescent="0.25">
      <c r="A125">
        <v>52</v>
      </c>
    </row>
    <row r="126" spans="1:7" x14ac:dyDescent="0.25">
      <c r="A126">
        <v>82</v>
      </c>
    </row>
    <row r="127" spans="1:7" x14ac:dyDescent="0.25">
      <c r="A127">
        <v>53</v>
      </c>
    </row>
    <row r="128" spans="1:7" x14ac:dyDescent="0.25">
      <c r="A128">
        <v>64</v>
      </c>
    </row>
    <row r="129" spans="1:1" x14ac:dyDescent="0.25">
      <c r="A129">
        <v>81</v>
      </c>
    </row>
    <row r="130" spans="1:1" x14ac:dyDescent="0.25">
      <c r="A130">
        <v>88</v>
      </c>
    </row>
    <row r="131" spans="1:1" x14ac:dyDescent="0.25">
      <c r="A131">
        <v>92</v>
      </c>
    </row>
    <row r="132" spans="1:1" x14ac:dyDescent="0.25">
      <c r="A132">
        <v>64</v>
      </c>
    </row>
    <row r="133" spans="1:1" x14ac:dyDescent="0.25">
      <c r="A133">
        <v>82</v>
      </c>
    </row>
    <row r="134" spans="1:1" x14ac:dyDescent="0.25">
      <c r="A134">
        <v>34</v>
      </c>
    </row>
    <row r="135" spans="1:1" x14ac:dyDescent="0.25">
      <c r="A135">
        <v>52</v>
      </c>
    </row>
    <row r="136" spans="1:1" x14ac:dyDescent="0.25">
      <c r="A136">
        <v>74</v>
      </c>
    </row>
    <row r="137" spans="1:1" x14ac:dyDescent="0.25">
      <c r="A137">
        <v>73</v>
      </c>
    </row>
    <row r="138" spans="1:1" x14ac:dyDescent="0.25">
      <c r="A138">
        <v>66</v>
      </c>
    </row>
    <row r="139" spans="1:1" x14ac:dyDescent="0.25">
      <c r="A139">
        <v>37</v>
      </c>
    </row>
    <row r="140" spans="1:1" x14ac:dyDescent="0.25">
      <c r="A140">
        <v>8</v>
      </c>
    </row>
    <row r="141" spans="1:1" x14ac:dyDescent="0.25">
      <c r="A141">
        <v>84</v>
      </c>
    </row>
    <row r="142" spans="1:1" x14ac:dyDescent="0.25">
      <c r="A142">
        <v>68</v>
      </c>
    </row>
    <row r="143" spans="1:1" x14ac:dyDescent="0.25">
      <c r="A143">
        <v>62</v>
      </c>
    </row>
    <row r="144" spans="1:1" x14ac:dyDescent="0.25">
      <c r="A144">
        <v>38</v>
      </c>
    </row>
  </sheetData>
  <pageMargins left="0.7" right="0.7" top="0.75" bottom="0.75" header="0.3" footer="0.3"/>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46">
    <tabColor rgb="FF0000FF"/>
  </sheetPr>
  <dimension ref="A1:E18"/>
  <sheetViews>
    <sheetView showGridLines="0" zoomScale="85" zoomScaleNormal="85" workbookViewId="0">
      <selection activeCell="I3" sqref="I3:N8"/>
    </sheetView>
  </sheetViews>
  <sheetFormatPr defaultRowHeight="15" x14ac:dyDescent="0.25"/>
  <cols>
    <col min="1" max="1" width="22.7109375" bestFit="1" customWidth="1"/>
    <col min="2" max="2" width="13.5703125" bestFit="1" customWidth="1"/>
    <col min="3" max="3" width="12.85546875" bestFit="1" customWidth="1"/>
    <col min="4" max="4" width="11.85546875" bestFit="1" customWidth="1"/>
    <col min="5" max="5" width="13.42578125" bestFit="1" customWidth="1"/>
  </cols>
  <sheetData>
    <row r="1" spans="1:5" x14ac:dyDescent="0.25">
      <c r="A1" s="128" t="s">
        <v>305</v>
      </c>
      <c r="B1" s="128" t="s">
        <v>37</v>
      </c>
      <c r="C1" s="128" t="s">
        <v>1173</v>
      </c>
      <c r="D1" s="128" t="s">
        <v>1174</v>
      </c>
      <c r="E1" s="128" t="s">
        <v>104</v>
      </c>
    </row>
    <row r="2" spans="1:5" x14ac:dyDescent="0.25">
      <c r="A2" s="280">
        <f>B17</f>
        <v>0</v>
      </c>
      <c r="B2" s="281">
        <f t="shared" ref="B2:B10" si="0">A2*B$13</f>
        <v>0</v>
      </c>
      <c r="C2" s="282">
        <f>B2*B$15+D2</f>
        <v>171562.49999999997</v>
      </c>
      <c r="D2" s="283">
        <f t="shared" ref="D2:D10" si="1">B$16</f>
        <v>171562.49999999997</v>
      </c>
      <c r="E2" s="284">
        <f t="shared" ref="E2:E10" si="2">B2-SUM(C2:D2)</f>
        <v>-343124.99999999994</v>
      </c>
    </row>
    <row r="3" spans="1:5" x14ac:dyDescent="0.25">
      <c r="A3" s="285">
        <f>A2+B$18</f>
        <v>3500</v>
      </c>
      <c r="B3" s="286">
        <f t="shared" si="0"/>
        <v>87500</v>
      </c>
      <c r="C3" s="282">
        <f t="shared" ref="C3:C10" si="3">B3*B$15+D3</f>
        <v>219687.49999999997</v>
      </c>
      <c r="D3" s="287">
        <f t="shared" si="1"/>
        <v>171562.49999999997</v>
      </c>
      <c r="E3" s="288">
        <f t="shared" si="2"/>
        <v>-303749.99999999994</v>
      </c>
    </row>
    <row r="4" spans="1:5" x14ac:dyDescent="0.25">
      <c r="A4" s="285">
        <f t="shared" ref="A4:A10" si="4">A3+B$18</f>
        <v>7000</v>
      </c>
      <c r="B4" s="286">
        <f t="shared" si="0"/>
        <v>175000</v>
      </c>
      <c r="C4" s="282">
        <f t="shared" si="3"/>
        <v>267812.5</v>
      </c>
      <c r="D4" s="287">
        <f t="shared" si="1"/>
        <v>171562.49999999997</v>
      </c>
      <c r="E4" s="288">
        <f t="shared" si="2"/>
        <v>-264375</v>
      </c>
    </row>
    <row r="5" spans="1:5" x14ac:dyDescent="0.25">
      <c r="A5" s="285">
        <f t="shared" si="4"/>
        <v>10500</v>
      </c>
      <c r="B5" s="286">
        <f t="shared" si="0"/>
        <v>262500</v>
      </c>
      <c r="C5" s="282">
        <f t="shared" si="3"/>
        <v>315937.5</v>
      </c>
      <c r="D5" s="287">
        <f t="shared" si="1"/>
        <v>171562.49999999997</v>
      </c>
      <c r="E5" s="288">
        <f t="shared" si="2"/>
        <v>-225000</v>
      </c>
    </row>
    <row r="6" spans="1:5" x14ac:dyDescent="0.25">
      <c r="A6" s="285">
        <f t="shared" si="4"/>
        <v>14000</v>
      </c>
      <c r="B6" s="286">
        <f t="shared" si="0"/>
        <v>350000</v>
      </c>
      <c r="C6" s="282">
        <f t="shared" si="3"/>
        <v>364062.5</v>
      </c>
      <c r="D6" s="287">
        <f t="shared" si="1"/>
        <v>171562.49999999997</v>
      </c>
      <c r="E6" s="288">
        <f t="shared" si="2"/>
        <v>-185625</v>
      </c>
    </row>
    <row r="7" spans="1:5" x14ac:dyDescent="0.25">
      <c r="A7" s="285">
        <f t="shared" si="4"/>
        <v>17500</v>
      </c>
      <c r="B7" s="286">
        <f t="shared" si="0"/>
        <v>437500</v>
      </c>
      <c r="C7" s="282">
        <f t="shared" si="3"/>
        <v>412187.5</v>
      </c>
      <c r="D7" s="287">
        <f t="shared" si="1"/>
        <v>171562.49999999997</v>
      </c>
      <c r="E7" s="288">
        <f t="shared" si="2"/>
        <v>-146250</v>
      </c>
    </row>
    <row r="8" spans="1:5" x14ac:dyDescent="0.25">
      <c r="A8" s="285">
        <f t="shared" si="4"/>
        <v>21000</v>
      </c>
      <c r="B8" s="286">
        <f t="shared" si="0"/>
        <v>525000</v>
      </c>
      <c r="C8" s="282">
        <f t="shared" si="3"/>
        <v>460312.5</v>
      </c>
      <c r="D8" s="287">
        <f t="shared" si="1"/>
        <v>171562.49999999997</v>
      </c>
      <c r="E8" s="288">
        <f t="shared" si="2"/>
        <v>-106875</v>
      </c>
    </row>
    <row r="9" spans="1:5" x14ac:dyDescent="0.25">
      <c r="A9" s="285">
        <f t="shared" si="4"/>
        <v>24500</v>
      </c>
      <c r="B9" s="286">
        <f t="shared" si="0"/>
        <v>612500</v>
      </c>
      <c r="C9" s="282">
        <f t="shared" si="3"/>
        <v>508437.5</v>
      </c>
      <c r="D9" s="287">
        <f t="shared" si="1"/>
        <v>171562.49999999997</v>
      </c>
      <c r="E9" s="288">
        <f t="shared" si="2"/>
        <v>-67500</v>
      </c>
    </row>
    <row r="10" spans="1:5" x14ac:dyDescent="0.25">
      <c r="A10" s="285">
        <f t="shared" si="4"/>
        <v>28000</v>
      </c>
      <c r="B10" s="286">
        <f t="shared" si="0"/>
        <v>700000</v>
      </c>
      <c r="C10" s="282">
        <f t="shared" si="3"/>
        <v>556562.5</v>
      </c>
      <c r="D10" s="287">
        <f t="shared" si="1"/>
        <v>171562.49999999997</v>
      </c>
      <c r="E10" s="288">
        <f t="shared" si="2"/>
        <v>-28125</v>
      </c>
    </row>
    <row r="12" spans="1:5" x14ac:dyDescent="0.25">
      <c r="A12" s="97" t="s">
        <v>1175</v>
      </c>
      <c r="B12" s="97"/>
    </row>
    <row r="13" spans="1:5" x14ac:dyDescent="0.25">
      <c r="A13" s="72" t="s">
        <v>1176</v>
      </c>
      <c r="B13" s="22">
        <v>25</v>
      </c>
    </row>
    <row r="14" spans="1:5" x14ac:dyDescent="0.25">
      <c r="A14" s="72" t="s">
        <v>1177</v>
      </c>
      <c r="B14" s="289">
        <v>15250</v>
      </c>
    </row>
    <row r="15" spans="1:5" ht="45" x14ac:dyDescent="0.25">
      <c r="A15" s="72" t="s">
        <v>1178</v>
      </c>
      <c r="B15" s="8">
        <v>0.55000000000000004</v>
      </c>
    </row>
    <row r="16" spans="1:5" ht="30" x14ac:dyDescent="0.25">
      <c r="A16" s="72" t="s">
        <v>1179</v>
      </c>
      <c r="B16" s="22">
        <f>(B13*B14)*(1-B15)</f>
        <v>171562.49999999997</v>
      </c>
    </row>
    <row r="17" spans="1:2" x14ac:dyDescent="0.25">
      <c r="A17" s="72" t="s">
        <v>1180</v>
      </c>
      <c r="B17" s="8">
        <v>0</v>
      </c>
    </row>
    <row r="18" spans="1:2" x14ac:dyDescent="0.25">
      <c r="A18" s="72" t="s">
        <v>1181</v>
      </c>
      <c r="B18" s="8">
        <v>3500</v>
      </c>
    </row>
  </sheetData>
  <conditionalFormatting sqref="A2:E10">
    <cfRule type="expression" dxfId="19" priority="1" stopIfTrue="1">
      <formula>$A2=FLOOR($B$14,$B$18)</formula>
    </cfRule>
  </conditionalFormatting>
  <pageMargins left="0.7" right="0.7" top="0.75" bottom="0.75" header="0.3" footer="0.3"/>
  <drawing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47">
    <tabColor rgb="FF0000FF"/>
  </sheetPr>
  <dimension ref="A1:B6"/>
  <sheetViews>
    <sheetView workbookViewId="0">
      <selection activeCell="C8" sqref="C8"/>
    </sheetView>
  </sheetViews>
  <sheetFormatPr defaultRowHeight="15" x14ac:dyDescent="0.25"/>
  <cols>
    <col min="1" max="1" width="16.42578125" customWidth="1"/>
    <col min="2" max="2" width="13.28515625" bestFit="1" customWidth="1"/>
    <col min="4" max="4" width="11.85546875" bestFit="1" customWidth="1"/>
  </cols>
  <sheetData>
    <row r="1" spans="1:2" x14ac:dyDescent="0.25">
      <c r="A1" s="18" t="s">
        <v>1778</v>
      </c>
      <c r="B1" s="18" t="s">
        <v>359</v>
      </c>
    </row>
    <row r="2" spans="1:2" x14ac:dyDescent="0.25">
      <c r="A2" s="8" t="s">
        <v>1182</v>
      </c>
      <c r="B2" s="22">
        <v>133947</v>
      </c>
    </row>
    <row r="3" spans="1:2" x14ac:dyDescent="0.25">
      <c r="A3" s="8" t="s">
        <v>1183</v>
      </c>
      <c r="B3" s="22">
        <v>179193</v>
      </c>
    </row>
    <row r="4" spans="1:2" x14ac:dyDescent="0.25">
      <c r="A4" s="8" t="s">
        <v>1184</v>
      </c>
      <c r="B4" s="22">
        <v>102512.5</v>
      </c>
    </row>
    <row r="5" spans="1:2" x14ac:dyDescent="0.25">
      <c r="A5" s="8" t="s">
        <v>1185</v>
      </c>
      <c r="B5" s="22">
        <v>98847.5</v>
      </c>
    </row>
    <row r="6" spans="1:2" x14ac:dyDescent="0.25">
      <c r="A6" s="14" t="s">
        <v>76</v>
      </c>
      <c r="B6" s="290">
        <f>SUM(B2:B5)</f>
        <v>514500</v>
      </c>
    </row>
  </sheetData>
  <pageMargins left="0.7" right="0.7" top="0.75" bottom="0.75" header="0.3" footer="0.3"/>
  <pageSetup orientation="portrait"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48">
    <tabColor rgb="FF0000FF"/>
  </sheetPr>
  <dimension ref="A1:E6"/>
  <sheetViews>
    <sheetView workbookViewId="0">
      <selection activeCell="B8" sqref="B8"/>
    </sheetView>
  </sheetViews>
  <sheetFormatPr defaultColWidth="9.140625" defaultRowHeight="15" x14ac:dyDescent="0.25"/>
  <cols>
    <col min="1" max="1" width="12" bestFit="1" customWidth="1"/>
  </cols>
  <sheetData>
    <row r="1" spans="1:5" x14ac:dyDescent="0.25">
      <c r="A1" s="275" t="s">
        <v>1161</v>
      </c>
      <c r="B1" s="276"/>
      <c r="C1" s="276"/>
      <c r="D1" s="276"/>
      <c r="E1" s="277"/>
    </row>
    <row r="2" spans="1:5" x14ac:dyDescent="0.25">
      <c r="A2" s="8"/>
      <c r="B2" s="18" t="s">
        <v>66</v>
      </c>
      <c r="C2" s="18" t="s">
        <v>67</v>
      </c>
      <c r="D2" s="18" t="s">
        <v>68</v>
      </c>
      <c r="E2" s="18" t="s">
        <v>76</v>
      </c>
    </row>
    <row r="3" spans="1:5" x14ac:dyDescent="0.25">
      <c r="A3" s="18" t="s">
        <v>74</v>
      </c>
      <c r="B3" s="278">
        <v>500</v>
      </c>
      <c r="C3" s="278">
        <v>2150</v>
      </c>
      <c r="D3" s="278">
        <v>8893</v>
      </c>
      <c r="E3" s="279">
        <f>SUM(B3:D3)</f>
        <v>11543</v>
      </c>
    </row>
    <row r="4" spans="1:5" x14ac:dyDescent="0.25">
      <c r="A4" s="18" t="s">
        <v>72</v>
      </c>
      <c r="B4" s="278">
        <v>4000</v>
      </c>
      <c r="C4" s="278">
        <v>6933</v>
      </c>
      <c r="D4" s="278">
        <v>9545</v>
      </c>
      <c r="E4" s="279">
        <f>SUM(B4:D4)</f>
        <v>20478</v>
      </c>
    </row>
    <row r="5" spans="1:5" x14ac:dyDescent="0.25">
      <c r="A5" s="18" t="s">
        <v>73</v>
      </c>
      <c r="B5" s="278">
        <v>9721</v>
      </c>
      <c r="C5" s="278">
        <v>5367</v>
      </c>
      <c r="D5" s="278">
        <v>15064</v>
      </c>
      <c r="E5" s="279">
        <f>SUM(B5:D5)</f>
        <v>30152</v>
      </c>
    </row>
    <row r="6" spans="1:5" x14ac:dyDescent="0.25">
      <c r="A6" s="18" t="s">
        <v>76</v>
      </c>
      <c r="B6" s="279">
        <f>SUM(B3:B5)</f>
        <v>14221</v>
      </c>
      <c r="C6" s="279">
        <f>SUM(C3:C5)</f>
        <v>14450</v>
      </c>
      <c r="D6" s="279">
        <f>SUM(D3:D5)</f>
        <v>33502</v>
      </c>
      <c r="E6" s="279">
        <f>SUM(B6:D6)</f>
        <v>62173</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49">
    <tabColor rgb="FF0000FF"/>
  </sheetPr>
  <dimension ref="A1:S97"/>
  <sheetViews>
    <sheetView workbookViewId="0">
      <selection activeCell="G3" sqref="G3"/>
    </sheetView>
  </sheetViews>
  <sheetFormatPr defaultColWidth="9.140625" defaultRowHeight="15" x14ac:dyDescent="0.25"/>
  <cols>
    <col min="1" max="1" width="7.5703125" customWidth="1"/>
    <col min="2" max="2" width="2" customWidth="1"/>
    <col min="3" max="4" width="9.7109375" bestFit="1" customWidth="1"/>
    <col min="5" max="5" width="2" customWidth="1"/>
    <col min="6" max="6" width="13.7109375" customWidth="1"/>
    <col min="7" max="7" width="19.140625" customWidth="1"/>
    <col min="8" max="8" width="10.140625" customWidth="1"/>
  </cols>
  <sheetData>
    <row r="1" spans="1:19" x14ac:dyDescent="0.25">
      <c r="F1" s="291" t="s">
        <v>1186</v>
      </c>
      <c r="G1" s="292"/>
      <c r="R1" s="293" t="s">
        <v>1187</v>
      </c>
      <c r="S1" s="294"/>
    </row>
    <row r="2" spans="1:19" ht="45" x14ac:dyDescent="0.25">
      <c r="A2" s="6" t="s">
        <v>806</v>
      </c>
      <c r="C2" s="5" t="s">
        <v>1188</v>
      </c>
      <c r="D2" s="5" t="s">
        <v>1189</v>
      </c>
      <c r="F2" s="6" t="s">
        <v>1190</v>
      </c>
      <c r="G2" s="6" t="s">
        <v>1191</v>
      </c>
      <c r="R2" s="5" t="s">
        <v>1192</v>
      </c>
      <c r="S2" s="5" t="s">
        <v>1193</v>
      </c>
    </row>
    <row r="3" spans="1:19" x14ac:dyDescent="0.25">
      <c r="A3" s="295">
        <v>81.75</v>
      </c>
      <c r="C3" s="8">
        <f>R3</f>
        <v>0</v>
      </c>
      <c r="D3" s="8">
        <f t="shared" ref="D3:D12" si="0">C3+$S$3</f>
        <v>10</v>
      </c>
      <c r="F3" s="8" t="str">
        <f>IF(C3=0,"00",C3)&amp;" up to "&amp;D3</f>
        <v>00 up to 10</v>
      </c>
      <c r="G3" s="10"/>
      <c r="R3" s="8">
        <v>0</v>
      </c>
      <c r="S3" s="8">
        <v>10</v>
      </c>
    </row>
    <row r="4" spans="1:19" x14ac:dyDescent="0.25">
      <c r="A4" s="295">
        <v>33</v>
      </c>
      <c r="C4" s="8">
        <f>D3</f>
        <v>10</v>
      </c>
      <c r="D4" s="8">
        <f t="shared" si="0"/>
        <v>20</v>
      </c>
      <c r="F4" s="8" t="str">
        <f t="shared" ref="F4:F12" si="1">IF(C4=0,"00",C4)&amp;" up to "&amp;D4</f>
        <v>10 up to 20</v>
      </c>
      <c r="G4" s="10"/>
    </row>
    <row r="5" spans="1:19" x14ac:dyDescent="0.25">
      <c r="A5" s="295">
        <v>76</v>
      </c>
      <c r="C5" s="8">
        <f t="shared" ref="C5:C12" si="2">D4</f>
        <v>20</v>
      </c>
      <c r="D5" s="8">
        <f t="shared" si="0"/>
        <v>30</v>
      </c>
      <c r="F5" s="8" t="str">
        <f t="shared" si="1"/>
        <v>20 up to 30</v>
      </c>
      <c r="G5" s="10"/>
    </row>
    <row r="6" spans="1:19" x14ac:dyDescent="0.25">
      <c r="A6" s="295">
        <v>38.5</v>
      </c>
      <c r="C6" s="8">
        <f t="shared" si="2"/>
        <v>30</v>
      </c>
      <c r="D6" s="8">
        <f t="shared" si="0"/>
        <v>40</v>
      </c>
      <c r="F6" s="8" t="str">
        <f t="shared" si="1"/>
        <v>30 up to 40</v>
      </c>
      <c r="G6" s="10"/>
    </row>
    <row r="7" spans="1:19" x14ac:dyDescent="0.25">
      <c r="A7" s="295">
        <v>98</v>
      </c>
      <c r="C7" s="8">
        <f t="shared" si="2"/>
        <v>40</v>
      </c>
      <c r="D7" s="8">
        <f t="shared" si="0"/>
        <v>50</v>
      </c>
      <c r="F7" s="8" t="str">
        <f t="shared" si="1"/>
        <v>40 up to 50</v>
      </c>
      <c r="G7" s="10"/>
    </row>
    <row r="8" spans="1:19" x14ac:dyDescent="0.25">
      <c r="A8" s="295">
        <v>84.5</v>
      </c>
      <c r="C8" s="8">
        <f t="shared" si="2"/>
        <v>50</v>
      </c>
      <c r="D8" s="8">
        <f t="shared" si="0"/>
        <v>60</v>
      </c>
      <c r="F8" s="8" t="str">
        <f t="shared" si="1"/>
        <v>50 up to 60</v>
      </c>
      <c r="G8" s="10"/>
    </row>
    <row r="9" spans="1:19" x14ac:dyDescent="0.25">
      <c r="A9" s="295">
        <v>72</v>
      </c>
      <c r="C9" s="8">
        <f t="shared" si="2"/>
        <v>60</v>
      </c>
      <c r="D9" s="8">
        <f t="shared" si="0"/>
        <v>70</v>
      </c>
      <c r="F9" s="8" t="str">
        <f t="shared" si="1"/>
        <v>60 up to 70</v>
      </c>
      <c r="G9" s="10"/>
    </row>
    <row r="10" spans="1:19" x14ac:dyDescent="0.25">
      <c r="A10" s="295">
        <v>89.75</v>
      </c>
      <c r="C10" s="8">
        <f t="shared" si="2"/>
        <v>70</v>
      </c>
      <c r="D10" s="8">
        <f t="shared" si="0"/>
        <v>80</v>
      </c>
      <c r="F10" s="8" t="str">
        <f t="shared" si="1"/>
        <v>70 up to 80</v>
      </c>
      <c r="G10" s="10"/>
    </row>
    <row r="11" spans="1:19" x14ac:dyDescent="0.25">
      <c r="A11" s="295">
        <v>99</v>
      </c>
      <c r="C11" s="8">
        <f t="shared" si="2"/>
        <v>80</v>
      </c>
      <c r="D11" s="8">
        <f t="shared" si="0"/>
        <v>90</v>
      </c>
      <c r="F11" s="8" t="str">
        <f t="shared" si="1"/>
        <v>80 up to 90</v>
      </c>
      <c r="G11" s="10"/>
    </row>
    <row r="12" spans="1:19" x14ac:dyDescent="0.25">
      <c r="A12" s="295">
        <v>78</v>
      </c>
      <c r="C12" s="8">
        <f t="shared" si="2"/>
        <v>90</v>
      </c>
      <c r="D12" s="8">
        <f t="shared" si="0"/>
        <v>100</v>
      </c>
      <c r="F12" s="8" t="str">
        <f t="shared" si="1"/>
        <v>90 up to 100</v>
      </c>
      <c r="G12" s="10"/>
    </row>
    <row r="13" spans="1:19" x14ac:dyDescent="0.25">
      <c r="A13" s="295">
        <v>47.75</v>
      </c>
    </row>
    <row r="14" spans="1:19" x14ac:dyDescent="0.25">
      <c r="A14" s="295">
        <v>58</v>
      </c>
      <c r="F14" s="8" t="s">
        <v>1028</v>
      </c>
      <c r="G14" s="296">
        <f t="shared" ref="G14" si="3">MIN($A$3:$A$97)</f>
        <v>1.25</v>
      </c>
    </row>
    <row r="15" spans="1:19" x14ac:dyDescent="0.25">
      <c r="A15" s="295">
        <v>53.75</v>
      </c>
      <c r="F15" s="8" t="s">
        <v>667</v>
      </c>
      <c r="G15" s="296">
        <f>MAX($A$3:$A$97)</f>
        <v>99.5</v>
      </c>
    </row>
    <row r="16" spans="1:19" x14ac:dyDescent="0.25">
      <c r="A16" s="295">
        <v>55</v>
      </c>
    </row>
    <row r="17" spans="1:1" x14ac:dyDescent="0.25">
      <c r="A17" s="295">
        <v>4.5</v>
      </c>
    </row>
    <row r="18" spans="1:1" x14ac:dyDescent="0.25">
      <c r="A18" s="295">
        <v>75</v>
      </c>
    </row>
    <row r="19" spans="1:1" x14ac:dyDescent="0.25">
      <c r="A19" s="295">
        <v>73.75</v>
      </c>
    </row>
    <row r="20" spans="1:1" x14ac:dyDescent="0.25">
      <c r="A20" s="295">
        <v>80.75</v>
      </c>
    </row>
    <row r="21" spans="1:1" x14ac:dyDescent="0.25">
      <c r="A21" s="295">
        <v>67</v>
      </c>
    </row>
    <row r="22" spans="1:1" x14ac:dyDescent="0.25">
      <c r="A22" s="295">
        <v>36.25</v>
      </c>
    </row>
    <row r="23" spans="1:1" x14ac:dyDescent="0.25">
      <c r="A23" s="295">
        <v>38</v>
      </c>
    </row>
    <row r="24" spans="1:1" x14ac:dyDescent="0.25">
      <c r="A24" s="295">
        <v>42</v>
      </c>
    </row>
    <row r="25" spans="1:1" x14ac:dyDescent="0.25">
      <c r="A25" s="295">
        <v>68.25</v>
      </c>
    </row>
    <row r="26" spans="1:1" x14ac:dyDescent="0.25">
      <c r="A26" s="295">
        <v>73.5</v>
      </c>
    </row>
    <row r="27" spans="1:1" x14ac:dyDescent="0.25">
      <c r="A27" s="295">
        <v>68</v>
      </c>
    </row>
    <row r="28" spans="1:1" x14ac:dyDescent="0.25">
      <c r="A28" s="295">
        <v>84.25</v>
      </c>
    </row>
    <row r="29" spans="1:1" x14ac:dyDescent="0.25">
      <c r="A29" s="295">
        <v>56</v>
      </c>
    </row>
    <row r="30" spans="1:1" x14ac:dyDescent="0.25">
      <c r="A30" s="295">
        <v>61.75</v>
      </c>
    </row>
    <row r="31" spans="1:1" x14ac:dyDescent="0.25">
      <c r="A31" s="295">
        <v>36.5</v>
      </c>
    </row>
    <row r="32" spans="1:1" x14ac:dyDescent="0.25">
      <c r="A32" s="295">
        <v>63.5</v>
      </c>
    </row>
    <row r="33" spans="1:4" x14ac:dyDescent="0.25">
      <c r="A33" s="295">
        <v>78</v>
      </c>
    </row>
    <row r="34" spans="1:4" x14ac:dyDescent="0.25">
      <c r="A34" s="295">
        <v>81</v>
      </c>
    </row>
    <row r="35" spans="1:4" x14ac:dyDescent="0.25">
      <c r="A35" s="295">
        <v>67.25</v>
      </c>
    </row>
    <row r="36" spans="1:4" x14ac:dyDescent="0.25">
      <c r="A36" s="295">
        <v>93.25</v>
      </c>
    </row>
    <row r="37" spans="1:4" x14ac:dyDescent="0.25">
      <c r="A37" s="295">
        <v>62.5</v>
      </c>
    </row>
    <row r="38" spans="1:4" x14ac:dyDescent="0.25">
      <c r="A38" s="295">
        <v>41.75</v>
      </c>
    </row>
    <row r="39" spans="1:4" x14ac:dyDescent="0.25">
      <c r="A39" s="295">
        <v>80.25</v>
      </c>
    </row>
    <row r="40" spans="1:4" x14ac:dyDescent="0.25">
      <c r="A40" s="295">
        <v>47</v>
      </c>
    </row>
    <row r="41" spans="1:4" x14ac:dyDescent="0.25">
      <c r="A41" s="295">
        <v>91.5</v>
      </c>
    </row>
    <row r="42" spans="1:4" x14ac:dyDescent="0.25">
      <c r="A42" s="295">
        <v>52.75</v>
      </c>
      <c r="C42" s="9" t="s">
        <v>1194</v>
      </c>
      <c r="D42" s="9" t="s">
        <v>1194</v>
      </c>
    </row>
    <row r="43" spans="1:4" x14ac:dyDescent="0.25">
      <c r="A43" s="295">
        <v>2</v>
      </c>
      <c r="C43" s="14" t="s">
        <v>1054</v>
      </c>
      <c r="D43" s="14" t="s">
        <v>1054</v>
      </c>
    </row>
    <row r="44" spans="1:4" x14ac:dyDescent="0.25">
      <c r="A44" s="295">
        <v>88.25</v>
      </c>
      <c r="C44" s="20">
        <f t="shared" ref="C44:C53" si="4">COUNTIF($A$3:$A$97,"&lt;"&amp;D3)-COUNTIF($A$3:$A$97,"&lt;"&amp;C3)</f>
        <v>5</v>
      </c>
      <c r="D44" s="10">
        <f t="shared" ref="D44:D53" si="5">SUMPRODUCT(--($A$3:$A$97&gt;=C3),--($A$3:$A$97&lt;D3))</f>
        <v>5</v>
      </c>
    </row>
    <row r="45" spans="1:4" x14ac:dyDescent="0.25">
      <c r="A45" s="295">
        <v>56</v>
      </c>
      <c r="C45" s="20">
        <f t="shared" si="4"/>
        <v>1</v>
      </c>
      <c r="D45" s="10">
        <f t="shared" si="5"/>
        <v>1</v>
      </c>
    </row>
    <row r="46" spans="1:4" x14ac:dyDescent="0.25">
      <c r="A46" s="295">
        <v>65</v>
      </c>
      <c r="C46" s="20">
        <f t="shared" si="4"/>
        <v>0</v>
      </c>
      <c r="D46" s="10">
        <f t="shared" si="5"/>
        <v>0</v>
      </c>
    </row>
    <row r="47" spans="1:4" x14ac:dyDescent="0.25">
      <c r="A47" s="295">
        <v>60.75</v>
      </c>
      <c r="C47" s="20">
        <f t="shared" si="4"/>
        <v>7</v>
      </c>
      <c r="D47" s="10">
        <f t="shared" si="5"/>
        <v>7</v>
      </c>
    </row>
    <row r="48" spans="1:4" x14ac:dyDescent="0.25">
      <c r="A48" s="295">
        <v>95.5</v>
      </c>
      <c r="C48" s="20">
        <f t="shared" si="4"/>
        <v>8</v>
      </c>
      <c r="D48" s="10">
        <f t="shared" si="5"/>
        <v>8</v>
      </c>
    </row>
    <row r="49" spans="1:4" x14ac:dyDescent="0.25">
      <c r="A49" s="295">
        <v>1.25</v>
      </c>
      <c r="C49" s="20">
        <f t="shared" si="4"/>
        <v>12</v>
      </c>
      <c r="D49" s="10">
        <f t="shared" si="5"/>
        <v>12</v>
      </c>
    </row>
    <row r="50" spans="1:4" x14ac:dyDescent="0.25">
      <c r="A50" s="295">
        <v>67.75</v>
      </c>
      <c r="C50" s="20">
        <f t="shared" si="4"/>
        <v>20</v>
      </c>
      <c r="D50" s="10">
        <f t="shared" si="5"/>
        <v>20</v>
      </c>
    </row>
    <row r="51" spans="1:4" x14ac:dyDescent="0.25">
      <c r="A51" s="295">
        <v>59</v>
      </c>
      <c r="C51" s="20">
        <f t="shared" si="4"/>
        <v>15</v>
      </c>
      <c r="D51" s="10">
        <f t="shared" si="5"/>
        <v>15</v>
      </c>
    </row>
    <row r="52" spans="1:4" x14ac:dyDescent="0.25">
      <c r="A52" s="295">
        <v>33.25</v>
      </c>
      <c r="C52" s="20">
        <f t="shared" si="4"/>
        <v>17</v>
      </c>
      <c r="D52" s="10">
        <f t="shared" si="5"/>
        <v>17</v>
      </c>
    </row>
    <row r="53" spans="1:4" x14ac:dyDescent="0.25">
      <c r="A53" s="295">
        <v>75</v>
      </c>
      <c r="C53" s="20">
        <f t="shared" si="4"/>
        <v>10</v>
      </c>
      <c r="D53" s="10">
        <f t="shared" si="5"/>
        <v>10</v>
      </c>
    </row>
    <row r="54" spans="1:4" x14ac:dyDescent="0.25">
      <c r="A54" s="295">
        <v>96.5</v>
      </c>
    </row>
    <row r="55" spans="1:4" x14ac:dyDescent="0.25">
      <c r="A55" s="295">
        <v>93.25</v>
      </c>
    </row>
    <row r="56" spans="1:4" x14ac:dyDescent="0.25">
      <c r="A56" s="295">
        <v>64.25</v>
      </c>
    </row>
    <row r="57" spans="1:4" x14ac:dyDescent="0.25">
      <c r="A57" s="295">
        <v>40.25</v>
      </c>
    </row>
    <row r="58" spans="1:4" x14ac:dyDescent="0.25">
      <c r="A58" s="295">
        <v>61</v>
      </c>
    </row>
    <row r="59" spans="1:4" x14ac:dyDescent="0.25">
      <c r="A59" s="295">
        <v>99.5</v>
      </c>
    </row>
    <row r="60" spans="1:4" x14ac:dyDescent="0.25">
      <c r="A60" s="295">
        <v>80.75</v>
      </c>
    </row>
    <row r="61" spans="1:4" x14ac:dyDescent="0.25">
      <c r="A61" s="295">
        <v>62.75</v>
      </c>
    </row>
    <row r="62" spans="1:4" x14ac:dyDescent="0.25">
      <c r="A62" s="295">
        <v>83.5</v>
      </c>
    </row>
    <row r="63" spans="1:4" x14ac:dyDescent="0.25">
      <c r="A63" s="295">
        <v>98.25</v>
      </c>
    </row>
    <row r="64" spans="1:4" x14ac:dyDescent="0.25">
      <c r="A64" s="295">
        <v>32</v>
      </c>
    </row>
    <row r="65" spans="1:1" x14ac:dyDescent="0.25">
      <c r="A65" s="295">
        <v>73</v>
      </c>
    </row>
    <row r="66" spans="1:1" x14ac:dyDescent="0.25">
      <c r="A66" s="295">
        <v>9.75</v>
      </c>
    </row>
    <row r="67" spans="1:1" x14ac:dyDescent="0.25">
      <c r="A67" s="295">
        <v>76</v>
      </c>
    </row>
    <row r="68" spans="1:1" x14ac:dyDescent="0.25">
      <c r="A68" s="295">
        <v>76</v>
      </c>
    </row>
    <row r="69" spans="1:1" x14ac:dyDescent="0.25">
      <c r="A69" s="295">
        <v>69</v>
      </c>
    </row>
    <row r="70" spans="1:1" x14ac:dyDescent="0.25">
      <c r="A70" s="295">
        <v>68.5</v>
      </c>
    </row>
    <row r="71" spans="1:1" x14ac:dyDescent="0.25">
      <c r="A71" s="295">
        <v>68</v>
      </c>
    </row>
    <row r="72" spans="1:1" x14ac:dyDescent="0.25">
      <c r="A72" s="295">
        <v>89.5</v>
      </c>
    </row>
    <row r="73" spans="1:1" x14ac:dyDescent="0.25">
      <c r="A73" s="295">
        <v>60.5</v>
      </c>
    </row>
    <row r="74" spans="1:1" x14ac:dyDescent="0.25">
      <c r="A74" s="295">
        <v>71</v>
      </c>
    </row>
    <row r="75" spans="1:1" x14ac:dyDescent="0.25">
      <c r="A75" s="295">
        <v>72</v>
      </c>
    </row>
    <row r="76" spans="1:1" x14ac:dyDescent="0.25">
      <c r="A76" s="295">
        <v>57.75</v>
      </c>
    </row>
    <row r="77" spans="1:1" x14ac:dyDescent="0.25">
      <c r="A77" s="295">
        <v>86.25</v>
      </c>
    </row>
    <row r="78" spans="1:1" x14ac:dyDescent="0.25">
      <c r="A78" s="295">
        <v>59</v>
      </c>
    </row>
    <row r="79" spans="1:1" x14ac:dyDescent="0.25">
      <c r="A79" s="295">
        <v>41.5</v>
      </c>
    </row>
    <row r="80" spans="1:1" x14ac:dyDescent="0.25">
      <c r="A80" s="295">
        <v>84.75</v>
      </c>
    </row>
    <row r="81" spans="1:1" x14ac:dyDescent="0.25">
      <c r="A81" s="295">
        <v>58</v>
      </c>
    </row>
    <row r="82" spans="1:1" x14ac:dyDescent="0.25">
      <c r="A82" s="295">
        <v>66.5</v>
      </c>
    </row>
    <row r="83" spans="1:1" x14ac:dyDescent="0.25">
      <c r="A83" s="295">
        <v>47.25</v>
      </c>
    </row>
    <row r="84" spans="1:1" x14ac:dyDescent="0.25">
      <c r="A84" s="295">
        <v>65.75</v>
      </c>
    </row>
    <row r="85" spans="1:1" x14ac:dyDescent="0.25">
      <c r="A85" s="295">
        <v>82.25</v>
      </c>
    </row>
    <row r="86" spans="1:1" x14ac:dyDescent="0.25">
      <c r="A86" s="295">
        <v>19.5</v>
      </c>
    </row>
    <row r="87" spans="1:1" x14ac:dyDescent="0.25">
      <c r="A87" s="295">
        <v>60.25</v>
      </c>
    </row>
    <row r="88" spans="1:1" x14ac:dyDescent="0.25">
      <c r="A88" s="295">
        <v>73</v>
      </c>
    </row>
    <row r="89" spans="1:1" x14ac:dyDescent="0.25">
      <c r="A89" s="295">
        <v>96.5</v>
      </c>
    </row>
    <row r="90" spans="1:1" x14ac:dyDescent="0.25">
      <c r="A90" s="295">
        <v>85</v>
      </c>
    </row>
    <row r="91" spans="1:1" x14ac:dyDescent="0.25">
      <c r="A91" s="295">
        <v>86.25</v>
      </c>
    </row>
    <row r="92" spans="1:1" x14ac:dyDescent="0.25">
      <c r="A92" s="295">
        <v>43</v>
      </c>
    </row>
    <row r="93" spans="1:1" x14ac:dyDescent="0.25">
      <c r="A93" s="295">
        <v>52.5</v>
      </c>
    </row>
    <row r="94" spans="1:1" x14ac:dyDescent="0.25">
      <c r="A94" s="295">
        <v>86.75</v>
      </c>
    </row>
    <row r="95" spans="1:1" x14ac:dyDescent="0.25">
      <c r="A95" s="295">
        <v>54</v>
      </c>
    </row>
    <row r="96" spans="1:1" x14ac:dyDescent="0.25">
      <c r="A96" s="295">
        <v>2</v>
      </c>
    </row>
    <row r="97" spans="1:1" x14ac:dyDescent="0.25">
      <c r="A97" s="295">
        <v>73.25</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50">
    <tabColor rgb="FF0000FF"/>
  </sheetPr>
  <dimension ref="A1:E6"/>
  <sheetViews>
    <sheetView workbookViewId="0">
      <selection activeCell="B2" sqref="B2"/>
    </sheetView>
  </sheetViews>
  <sheetFormatPr defaultColWidth="9.140625" defaultRowHeight="15" x14ac:dyDescent="0.25"/>
  <sheetData>
    <row r="1" spans="1:5" x14ac:dyDescent="0.25">
      <c r="A1" s="275" t="s">
        <v>1161</v>
      </c>
      <c r="B1" s="276"/>
      <c r="C1" s="276"/>
      <c r="D1" s="276"/>
      <c r="E1" s="277"/>
    </row>
    <row r="2" spans="1:5" x14ac:dyDescent="0.25">
      <c r="A2" s="8"/>
      <c r="B2" s="18" t="s">
        <v>66</v>
      </c>
      <c r="C2" s="18" t="s">
        <v>67</v>
      </c>
      <c r="D2" s="18" t="s">
        <v>68</v>
      </c>
      <c r="E2" s="18" t="s">
        <v>76</v>
      </c>
    </row>
    <row r="3" spans="1:5" x14ac:dyDescent="0.25">
      <c r="A3" s="18" t="s">
        <v>74</v>
      </c>
      <c r="B3" s="278">
        <v>500</v>
      </c>
      <c r="C3" s="278">
        <v>2150</v>
      </c>
      <c r="D3" s="278">
        <v>8893</v>
      </c>
      <c r="E3" s="279">
        <f>SUM(B3:D3)</f>
        <v>11543</v>
      </c>
    </row>
    <row r="4" spans="1:5" x14ac:dyDescent="0.25">
      <c r="A4" s="18" t="s">
        <v>72</v>
      </c>
      <c r="B4" s="278">
        <v>4000</v>
      </c>
      <c r="C4" s="278">
        <v>6933</v>
      </c>
      <c r="D4" s="278">
        <v>9545</v>
      </c>
      <c r="E4" s="279">
        <f>SUM(B4:D4)</f>
        <v>20478</v>
      </c>
    </row>
    <row r="5" spans="1:5" x14ac:dyDescent="0.25">
      <c r="A5" s="18" t="s">
        <v>73</v>
      </c>
      <c r="B5" s="278">
        <v>9721</v>
      </c>
      <c r="C5" s="278">
        <v>5367</v>
      </c>
      <c r="D5" s="278">
        <v>15064</v>
      </c>
      <c r="E5" s="279">
        <f>SUM(B5:D5)</f>
        <v>30152</v>
      </c>
    </row>
    <row r="6" spans="1:5" x14ac:dyDescent="0.25">
      <c r="A6" s="18" t="s">
        <v>76</v>
      </c>
      <c r="B6" s="279">
        <f>SUM(B3:B5)</f>
        <v>14221</v>
      </c>
      <c r="C6" s="279">
        <f>SUM(C3:C5)</f>
        <v>14450</v>
      </c>
      <c r="D6" s="279">
        <f>SUM(D3:D5)</f>
        <v>33502</v>
      </c>
      <c r="E6" s="279">
        <f>SUM(B6:D6)</f>
        <v>62173</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51">
    <tabColor rgb="FF0000FF"/>
  </sheetPr>
  <dimension ref="A1:I5"/>
  <sheetViews>
    <sheetView workbookViewId="0">
      <selection activeCell="B6" sqref="B6"/>
    </sheetView>
  </sheetViews>
  <sheetFormatPr defaultColWidth="9.140625" defaultRowHeight="15" x14ac:dyDescent="0.25"/>
  <cols>
    <col min="1" max="1" width="12" bestFit="1" customWidth="1"/>
  </cols>
  <sheetData>
    <row r="1" spans="1:9" x14ac:dyDescent="0.25">
      <c r="A1" s="275" t="str">
        <f>"Into The Wind Sales "&amp;B2&amp;" to "&amp;I2</f>
        <v>Into The Wind Sales 2005 to 2012</v>
      </c>
      <c r="B1" s="275"/>
      <c r="C1" s="275"/>
      <c r="D1" s="275"/>
      <c r="E1" s="275"/>
      <c r="F1" s="275"/>
      <c r="G1" s="275"/>
      <c r="H1" s="275"/>
      <c r="I1" s="275"/>
    </row>
    <row r="2" spans="1:9" x14ac:dyDescent="0.25">
      <c r="A2" s="8"/>
      <c r="B2" s="18">
        <v>2005</v>
      </c>
      <c r="C2" s="18">
        <v>2006</v>
      </c>
      <c r="D2" s="18">
        <v>2007</v>
      </c>
      <c r="E2" s="18">
        <v>2008</v>
      </c>
      <c r="F2" s="18">
        <v>2009</v>
      </c>
      <c r="G2" s="18">
        <v>2010</v>
      </c>
      <c r="H2" s="18">
        <v>2011</v>
      </c>
      <c r="I2" s="18">
        <v>2012</v>
      </c>
    </row>
    <row r="3" spans="1:9" x14ac:dyDescent="0.25">
      <c r="A3" s="18" t="s">
        <v>74</v>
      </c>
      <c r="B3" s="278">
        <v>5645</v>
      </c>
      <c r="C3" s="278">
        <v>4382</v>
      </c>
      <c r="D3" s="278">
        <v>6200</v>
      </c>
      <c r="E3" s="278">
        <v>2155</v>
      </c>
      <c r="F3" s="278">
        <v>1902</v>
      </c>
      <c r="G3" s="278">
        <v>3544</v>
      </c>
      <c r="H3" s="278">
        <v>6874</v>
      </c>
      <c r="I3" s="278">
        <v>6710</v>
      </c>
    </row>
    <row r="4" spans="1:9" x14ac:dyDescent="0.25">
      <c r="A4" s="18" t="s">
        <v>72</v>
      </c>
      <c r="B4" s="278">
        <v>6000</v>
      </c>
      <c r="C4" s="278">
        <v>6626</v>
      </c>
      <c r="D4" s="278">
        <v>5487</v>
      </c>
      <c r="E4" s="278">
        <v>5011</v>
      </c>
      <c r="F4" s="278">
        <v>4480</v>
      </c>
      <c r="G4" s="278">
        <v>6511</v>
      </c>
      <c r="H4" s="278">
        <v>8004</v>
      </c>
      <c r="I4" s="278">
        <v>7851</v>
      </c>
    </row>
    <row r="5" spans="1:9" x14ac:dyDescent="0.25">
      <c r="A5" s="18" t="s">
        <v>73</v>
      </c>
      <c r="B5" s="278">
        <v>23438</v>
      </c>
      <c r="C5" s="278">
        <v>20393</v>
      </c>
      <c r="D5" s="278">
        <v>24863</v>
      </c>
      <c r="E5" s="278">
        <v>9753</v>
      </c>
      <c r="F5" s="278">
        <v>10547</v>
      </c>
      <c r="G5" s="278">
        <v>9510</v>
      </c>
      <c r="H5" s="278">
        <v>12548</v>
      </c>
      <c r="I5" s="278">
        <v>21547</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52">
    <tabColor rgb="FF0000FF"/>
  </sheetPr>
  <dimension ref="A1:K40"/>
  <sheetViews>
    <sheetView workbookViewId="0">
      <selection activeCell="C3" sqref="C3"/>
    </sheetView>
  </sheetViews>
  <sheetFormatPr defaultRowHeight="15" x14ac:dyDescent="0.25"/>
  <cols>
    <col min="1" max="2" width="13.85546875" customWidth="1"/>
    <col min="3" max="3" width="12.85546875" bestFit="1" customWidth="1"/>
    <col min="4" max="5" width="12.85546875" customWidth="1"/>
    <col min="6" max="6" width="11.85546875" bestFit="1" customWidth="1"/>
    <col min="7" max="7" width="13.42578125" bestFit="1" customWidth="1"/>
    <col min="8" max="12" width="18" customWidth="1"/>
  </cols>
  <sheetData>
    <row r="1" spans="1:11" ht="45" x14ac:dyDescent="0.25">
      <c r="A1" s="297" t="s">
        <v>1195</v>
      </c>
      <c r="B1" s="298"/>
      <c r="H1" s="189" t="s">
        <v>1196</v>
      </c>
      <c r="I1" s="189" t="s">
        <v>1197</v>
      </c>
      <c r="J1" s="189" t="s">
        <v>1198</v>
      </c>
      <c r="K1" s="189" t="s">
        <v>1199</v>
      </c>
    </row>
    <row r="2" spans="1:11" ht="60" x14ac:dyDescent="0.25">
      <c r="A2" s="189" t="s">
        <v>1200</v>
      </c>
      <c r="B2" s="189" t="s">
        <v>1201</v>
      </c>
      <c r="H2" s="12" t="s">
        <v>1202</v>
      </c>
      <c r="I2" s="12" t="s">
        <v>1203</v>
      </c>
      <c r="J2" s="12" t="s">
        <v>1204</v>
      </c>
      <c r="K2" s="12" t="s">
        <v>1205</v>
      </c>
    </row>
    <row r="3" spans="1:11" x14ac:dyDescent="0.25">
      <c r="A3" s="8">
        <v>5</v>
      </c>
      <c r="B3" s="8">
        <v>88</v>
      </c>
      <c r="H3" s="188" t="s">
        <v>1206</v>
      </c>
      <c r="I3" s="188" t="s">
        <v>1207</v>
      </c>
      <c r="J3" s="188" t="s">
        <v>1208</v>
      </c>
      <c r="K3" s="188" t="s">
        <v>1209</v>
      </c>
    </row>
    <row r="4" spans="1:11" x14ac:dyDescent="0.25">
      <c r="A4" s="8">
        <v>4</v>
      </c>
      <c r="B4" s="8">
        <v>82</v>
      </c>
      <c r="H4" s="8">
        <f>INTERCEPT($B$3:$B$40,$A$3:$A$40)</f>
        <v>48.451817860924805</v>
      </c>
      <c r="I4" s="8">
        <f>SLOPE($B$3:$B$40,$A$3:$A$40)</f>
        <v>4.8348040945993658</v>
      </c>
      <c r="J4" s="8">
        <f>PEARSON($A$3:$A$40,$B$3:$B$40)</f>
        <v>0.7815613775517013</v>
      </c>
      <c r="K4" s="8">
        <f>RSQ($B$3:$B$40,$A$3:$A$40)</f>
        <v>0.61083818688051295</v>
      </c>
    </row>
    <row r="5" spans="1:11" x14ac:dyDescent="0.25">
      <c r="A5" s="8">
        <v>2</v>
      </c>
      <c r="B5" s="8">
        <v>61</v>
      </c>
    </row>
    <row r="6" spans="1:11" x14ac:dyDescent="0.25">
      <c r="A6" s="8">
        <v>4</v>
      </c>
      <c r="B6" s="8">
        <v>78</v>
      </c>
    </row>
    <row r="7" spans="1:11" x14ac:dyDescent="0.25">
      <c r="A7" s="8">
        <v>8</v>
      </c>
      <c r="B7" s="8">
        <v>81</v>
      </c>
    </row>
    <row r="8" spans="1:11" x14ac:dyDescent="0.25">
      <c r="A8" s="8">
        <v>1</v>
      </c>
      <c r="B8" s="8">
        <v>17</v>
      </c>
    </row>
    <row r="9" spans="1:11" x14ac:dyDescent="0.25">
      <c r="A9" s="8">
        <v>11</v>
      </c>
      <c r="B9" s="8">
        <v>89</v>
      </c>
    </row>
    <row r="10" spans="1:11" x14ac:dyDescent="0.25">
      <c r="A10" s="8">
        <v>11</v>
      </c>
      <c r="B10" s="8">
        <v>99</v>
      </c>
    </row>
    <row r="11" spans="1:11" x14ac:dyDescent="0.25">
      <c r="A11" s="8">
        <v>2</v>
      </c>
      <c r="B11" s="8">
        <v>46</v>
      </c>
    </row>
    <row r="12" spans="1:11" x14ac:dyDescent="0.25">
      <c r="A12" s="8">
        <v>7</v>
      </c>
      <c r="B12" s="8">
        <v>89</v>
      </c>
    </row>
    <row r="13" spans="1:11" x14ac:dyDescent="0.25">
      <c r="A13" s="8">
        <v>2</v>
      </c>
      <c r="B13" s="8">
        <v>54</v>
      </c>
    </row>
    <row r="14" spans="1:11" x14ac:dyDescent="0.25">
      <c r="A14" s="8">
        <v>5</v>
      </c>
      <c r="B14" s="8">
        <v>83</v>
      </c>
    </row>
    <row r="15" spans="1:11" x14ac:dyDescent="0.25">
      <c r="A15" s="8">
        <v>7</v>
      </c>
      <c r="B15" s="8">
        <v>84</v>
      </c>
    </row>
    <row r="16" spans="1:11" x14ac:dyDescent="0.25">
      <c r="A16" s="8">
        <v>3</v>
      </c>
      <c r="B16" s="8">
        <v>59</v>
      </c>
    </row>
    <row r="17" spans="1:2" x14ac:dyDescent="0.25">
      <c r="A17" s="8">
        <v>6</v>
      </c>
      <c r="B17" s="8">
        <v>91</v>
      </c>
    </row>
    <row r="18" spans="1:2" x14ac:dyDescent="0.25">
      <c r="A18" s="8">
        <v>5</v>
      </c>
      <c r="B18" s="8">
        <v>78</v>
      </c>
    </row>
    <row r="19" spans="1:2" x14ac:dyDescent="0.25">
      <c r="A19" s="8">
        <v>10</v>
      </c>
      <c r="B19" s="8">
        <v>100</v>
      </c>
    </row>
    <row r="20" spans="1:2" x14ac:dyDescent="0.25">
      <c r="A20" s="8">
        <v>6</v>
      </c>
      <c r="B20" s="8">
        <v>79</v>
      </c>
    </row>
    <row r="21" spans="1:2" x14ac:dyDescent="0.25">
      <c r="A21" s="8">
        <v>4</v>
      </c>
      <c r="B21" s="8">
        <v>75</v>
      </c>
    </row>
    <row r="22" spans="1:2" x14ac:dyDescent="0.25">
      <c r="A22" s="8">
        <v>6</v>
      </c>
      <c r="B22" s="8">
        <v>86</v>
      </c>
    </row>
    <row r="23" spans="1:2" x14ac:dyDescent="0.25">
      <c r="A23" s="8">
        <v>7</v>
      </c>
      <c r="B23" s="8">
        <v>85</v>
      </c>
    </row>
    <row r="24" spans="1:2" x14ac:dyDescent="0.25">
      <c r="A24" s="8">
        <v>10</v>
      </c>
      <c r="B24" s="8">
        <v>96</v>
      </c>
    </row>
    <row r="25" spans="1:2" x14ac:dyDescent="0.25">
      <c r="A25" s="8">
        <v>9</v>
      </c>
      <c r="B25" s="8">
        <v>94</v>
      </c>
    </row>
    <row r="26" spans="1:2" x14ac:dyDescent="0.25">
      <c r="A26" s="8">
        <v>4</v>
      </c>
      <c r="B26" s="8">
        <v>55</v>
      </c>
    </row>
    <row r="27" spans="1:2" x14ac:dyDescent="0.25">
      <c r="A27" s="8">
        <v>14</v>
      </c>
      <c r="B27" s="8">
        <v>97</v>
      </c>
    </row>
    <row r="28" spans="1:2" x14ac:dyDescent="0.25">
      <c r="A28" s="8">
        <v>3</v>
      </c>
      <c r="B28" s="8">
        <v>44</v>
      </c>
    </row>
    <row r="29" spans="1:2" x14ac:dyDescent="0.25">
      <c r="A29" s="8">
        <v>4</v>
      </c>
      <c r="B29" s="8">
        <v>79</v>
      </c>
    </row>
    <row r="30" spans="1:2" x14ac:dyDescent="0.25">
      <c r="A30" s="8">
        <v>6</v>
      </c>
      <c r="B30" s="8">
        <v>91</v>
      </c>
    </row>
    <row r="31" spans="1:2" x14ac:dyDescent="0.25">
      <c r="A31" s="8">
        <v>7</v>
      </c>
      <c r="B31" s="8">
        <v>93</v>
      </c>
    </row>
    <row r="32" spans="1:2" x14ac:dyDescent="0.25">
      <c r="A32" s="8">
        <v>3</v>
      </c>
      <c r="B32" s="8">
        <v>67</v>
      </c>
    </row>
    <row r="33" spans="1:2" x14ac:dyDescent="0.25">
      <c r="A33" s="8">
        <v>5</v>
      </c>
      <c r="B33" s="8">
        <v>93</v>
      </c>
    </row>
    <row r="34" spans="1:2" x14ac:dyDescent="0.25">
      <c r="A34" s="8">
        <v>10</v>
      </c>
      <c r="B34" s="8">
        <v>95</v>
      </c>
    </row>
    <row r="35" spans="1:2" x14ac:dyDescent="0.25">
      <c r="A35" s="8">
        <v>2</v>
      </c>
      <c r="B35" s="8">
        <v>41</v>
      </c>
    </row>
    <row r="36" spans="1:2" x14ac:dyDescent="0.25">
      <c r="A36" s="8">
        <v>3</v>
      </c>
      <c r="B36" s="8">
        <v>68</v>
      </c>
    </row>
    <row r="37" spans="1:2" x14ac:dyDescent="0.25">
      <c r="A37" s="8">
        <v>12</v>
      </c>
      <c r="B37" s="8">
        <v>93</v>
      </c>
    </row>
    <row r="38" spans="1:2" x14ac:dyDescent="0.25">
      <c r="A38" s="8">
        <v>4</v>
      </c>
      <c r="B38" s="8">
        <v>47</v>
      </c>
    </row>
    <row r="39" spans="1:2" x14ac:dyDescent="0.25">
      <c r="A39" s="8">
        <v>5</v>
      </c>
      <c r="B39" s="8">
        <v>75</v>
      </c>
    </row>
    <row r="40" spans="1:2" x14ac:dyDescent="0.25">
      <c r="A40" s="8">
        <v>8</v>
      </c>
      <c r="B40" s="8">
        <v>97</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53">
    <tabColor rgb="FF0000FF"/>
  </sheetPr>
  <dimension ref="A1:E18"/>
  <sheetViews>
    <sheetView zoomScale="85" zoomScaleNormal="85" workbookViewId="0">
      <selection activeCell="F12" sqref="F12"/>
    </sheetView>
  </sheetViews>
  <sheetFormatPr defaultColWidth="9.140625" defaultRowHeight="15" x14ac:dyDescent="0.25"/>
  <cols>
    <col min="1" max="1" width="11.7109375" customWidth="1"/>
    <col min="2" max="2" width="12.140625" customWidth="1"/>
    <col min="3" max="3" width="12.85546875" bestFit="1" customWidth="1"/>
    <col min="4" max="4" width="11.85546875" bestFit="1" customWidth="1"/>
    <col min="5" max="5" width="13.42578125" bestFit="1" customWidth="1"/>
  </cols>
  <sheetData>
    <row r="1" spans="1:5" x14ac:dyDescent="0.25">
      <c r="A1" s="18" t="s">
        <v>305</v>
      </c>
      <c r="B1" s="18" t="s">
        <v>37</v>
      </c>
      <c r="C1" s="18" t="s">
        <v>1173</v>
      </c>
      <c r="D1" s="18" t="s">
        <v>1174</v>
      </c>
      <c r="E1" s="18" t="s">
        <v>104</v>
      </c>
    </row>
    <row r="2" spans="1:5" x14ac:dyDescent="0.25">
      <c r="A2" s="299">
        <f>B17</f>
        <v>0</v>
      </c>
      <c r="B2" s="300">
        <f t="shared" ref="B2:B10" si="0">A2*B$13</f>
        <v>0</v>
      </c>
      <c r="C2" s="300">
        <f>B2*B$15+D2</f>
        <v>171562.49999999997</v>
      </c>
      <c r="D2" s="300">
        <f t="shared" ref="D2:D10" si="1">B$16</f>
        <v>171562.49999999997</v>
      </c>
      <c r="E2" s="300">
        <f>B2-C2</f>
        <v>-171562.49999999997</v>
      </c>
    </row>
    <row r="3" spans="1:5" x14ac:dyDescent="0.25">
      <c r="A3" s="299">
        <f>A2+B$18</f>
        <v>3500</v>
      </c>
      <c r="B3" s="299">
        <f t="shared" si="0"/>
        <v>87500</v>
      </c>
      <c r="C3" s="299">
        <f t="shared" ref="C3:C10" si="2">B3*B$15+D3</f>
        <v>219687.49999999997</v>
      </c>
      <c r="D3" s="299">
        <f t="shared" si="1"/>
        <v>171562.49999999997</v>
      </c>
      <c r="E3" s="300">
        <f t="shared" ref="E3:E10" si="3">B3-C3</f>
        <v>-132187.49999999997</v>
      </c>
    </row>
    <row r="4" spans="1:5" x14ac:dyDescent="0.25">
      <c r="A4" s="299">
        <f t="shared" ref="A4:A10" si="4">A3+B$18</f>
        <v>7000</v>
      </c>
      <c r="B4" s="299">
        <f t="shared" si="0"/>
        <v>175000</v>
      </c>
      <c r="C4" s="299">
        <f t="shared" si="2"/>
        <v>267812.5</v>
      </c>
      <c r="D4" s="299">
        <f t="shared" si="1"/>
        <v>171562.49999999997</v>
      </c>
      <c r="E4" s="300">
        <f t="shared" si="3"/>
        <v>-92812.5</v>
      </c>
    </row>
    <row r="5" spans="1:5" x14ac:dyDescent="0.25">
      <c r="A5" s="299">
        <f t="shared" si="4"/>
        <v>10500</v>
      </c>
      <c r="B5" s="299">
        <f t="shared" si="0"/>
        <v>262500</v>
      </c>
      <c r="C5" s="299">
        <f t="shared" si="2"/>
        <v>315937.5</v>
      </c>
      <c r="D5" s="299">
        <f t="shared" si="1"/>
        <v>171562.49999999997</v>
      </c>
      <c r="E5" s="300">
        <f t="shared" si="3"/>
        <v>-53437.5</v>
      </c>
    </row>
    <row r="6" spans="1:5" x14ac:dyDescent="0.25">
      <c r="A6" s="299">
        <f t="shared" si="4"/>
        <v>14000</v>
      </c>
      <c r="B6" s="299">
        <f t="shared" si="0"/>
        <v>350000</v>
      </c>
      <c r="C6" s="299">
        <f t="shared" si="2"/>
        <v>364062.5</v>
      </c>
      <c r="D6" s="299">
        <f t="shared" si="1"/>
        <v>171562.49999999997</v>
      </c>
      <c r="E6" s="300">
        <f t="shared" si="3"/>
        <v>-14062.5</v>
      </c>
    </row>
    <row r="7" spans="1:5" x14ac:dyDescent="0.25">
      <c r="A7" s="299">
        <f t="shared" si="4"/>
        <v>17500</v>
      </c>
      <c r="B7" s="299">
        <f t="shared" si="0"/>
        <v>437500</v>
      </c>
      <c r="C7" s="299">
        <f t="shared" si="2"/>
        <v>412187.5</v>
      </c>
      <c r="D7" s="299">
        <f t="shared" si="1"/>
        <v>171562.49999999997</v>
      </c>
      <c r="E7" s="300">
        <f t="shared" si="3"/>
        <v>25312.5</v>
      </c>
    </row>
    <row r="8" spans="1:5" x14ac:dyDescent="0.25">
      <c r="A8" s="299">
        <f t="shared" si="4"/>
        <v>21000</v>
      </c>
      <c r="B8" s="299">
        <f t="shared" si="0"/>
        <v>525000</v>
      </c>
      <c r="C8" s="299">
        <f t="shared" si="2"/>
        <v>460312.5</v>
      </c>
      <c r="D8" s="299">
        <f t="shared" si="1"/>
        <v>171562.49999999997</v>
      </c>
      <c r="E8" s="300">
        <f t="shared" si="3"/>
        <v>64687.5</v>
      </c>
    </row>
    <row r="9" spans="1:5" x14ac:dyDescent="0.25">
      <c r="A9" s="299">
        <f t="shared" si="4"/>
        <v>24500</v>
      </c>
      <c r="B9" s="299">
        <f t="shared" si="0"/>
        <v>612500</v>
      </c>
      <c r="C9" s="299">
        <f t="shared" si="2"/>
        <v>508437.5</v>
      </c>
      <c r="D9" s="299">
        <f t="shared" si="1"/>
        <v>171562.49999999997</v>
      </c>
      <c r="E9" s="300">
        <f t="shared" si="3"/>
        <v>104062.5</v>
      </c>
    </row>
    <row r="10" spans="1:5" x14ac:dyDescent="0.25">
      <c r="A10" s="299">
        <f t="shared" si="4"/>
        <v>28000</v>
      </c>
      <c r="B10" s="299">
        <f t="shared" si="0"/>
        <v>700000</v>
      </c>
      <c r="C10" s="299">
        <f t="shared" si="2"/>
        <v>556562.5</v>
      </c>
      <c r="D10" s="299">
        <f t="shared" si="1"/>
        <v>171562.49999999997</v>
      </c>
      <c r="E10" s="300">
        <f t="shared" si="3"/>
        <v>143437.5</v>
      </c>
    </row>
    <row r="12" spans="1:5" x14ac:dyDescent="0.25">
      <c r="A12" s="97" t="s">
        <v>1175</v>
      </c>
      <c r="B12" s="97"/>
    </row>
    <row r="13" spans="1:5" ht="30" x14ac:dyDescent="0.25">
      <c r="A13" s="72" t="s">
        <v>1176</v>
      </c>
      <c r="B13" s="22">
        <v>25</v>
      </c>
    </row>
    <row r="14" spans="1:5" x14ac:dyDescent="0.25">
      <c r="A14" s="72" t="s">
        <v>1177</v>
      </c>
      <c r="B14" s="289">
        <v>15250</v>
      </c>
    </row>
    <row r="15" spans="1:5" ht="75" x14ac:dyDescent="0.25">
      <c r="A15" s="72" t="s">
        <v>1178</v>
      </c>
      <c r="B15" s="8">
        <v>0.55000000000000004</v>
      </c>
    </row>
    <row r="16" spans="1:5" ht="60" x14ac:dyDescent="0.25">
      <c r="A16" s="72" t="s">
        <v>1179</v>
      </c>
      <c r="B16" s="23">
        <f>(B13*B14)*(1-B15)</f>
        <v>171562.49999999997</v>
      </c>
    </row>
    <row r="17" spans="1:2" ht="45" x14ac:dyDescent="0.25">
      <c r="A17" s="72" t="s">
        <v>1180</v>
      </c>
      <c r="B17" s="8">
        <v>0</v>
      </c>
    </row>
    <row r="18" spans="1:2" ht="30" x14ac:dyDescent="0.25">
      <c r="A18" s="72" t="s">
        <v>1181</v>
      </c>
      <c r="B18" s="8">
        <v>3500</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154">
    <tabColor rgb="FF0000FF"/>
  </sheetPr>
  <dimension ref="A1:C7"/>
  <sheetViews>
    <sheetView workbookViewId="0">
      <selection activeCell="B9" sqref="B9"/>
    </sheetView>
  </sheetViews>
  <sheetFormatPr defaultRowHeight="15" x14ac:dyDescent="0.25"/>
  <cols>
    <col min="3" max="3" width="9.28515625" customWidth="1"/>
  </cols>
  <sheetData>
    <row r="1" spans="1:3" x14ac:dyDescent="0.25">
      <c r="A1" s="14" t="s">
        <v>221</v>
      </c>
      <c r="B1" s="14" t="s">
        <v>37</v>
      </c>
      <c r="C1" s="14" t="s">
        <v>103</v>
      </c>
    </row>
    <row r="2" spans="1:3" x14ac:dyDescent="0.25">
      <c r="A2" s="8" t="s">
        <v>66</v>
      </c>
      <c r="B2" s="22">
        <v>100</v>
      </c>
      <c r="C2" s="22">
        <v>75</v>
      </c>
    </row>
    <row r="3" spans="1:3" x14ac:dyDescent="0.25">
      <c r="A3" s="8" t="s">
        <v>67</v>
      </c>
      <c r="B3" s="22">
        <v>150</v>
      </c>
      <c r="C3" s="22">
        <v>105</v>
      </c>
    </row>
    <row r="4" spans="1:3" x14ac:dyDescent="0.25">
      <c r="A4" s="8" t="s">
        <v>68</v>
      </c>
      <c r="B4" s="22">
        <v>210</v>
      </c>
      <c r="C4" s="22">
        <v>150</v>
      </c>
    </row>
    <row r="5" spans="1:3" x14ac:dyDescent="0.25">
      <c r="A5" s="8" t="s">
        <v>69</v>
      </c>
      <c r="B5" s="22">
        <v>190</v>
      </c>
      <c r="C5" s="22">
        <v>140</v>
      </c>
    </row>
    <row r="6" spans="1:3" x14ac:dyDescent="0.25">
      <c r="A6" s="8" t="s">
        <v>70</v>
      </c>
      <c r="B6" s="22">
        <v>150</v>
      </c>
      <c r="C6" s="22">
        <v>110</v>
      </c>
    </row>
    <row r="7" spans="1:3" x14ac:dyDescent="0.25">
      <c r="A7" s="8" t="s">
        <v>71</v>
      </c>
      <c r="B7" s="22">
        <v>230</v>
      </c>
      <c r="C7" s="22">
        <v>180</v>
      </c>
    </row>
  </sheetData>
  <pageMargins left="0.7" right="0.7" top="0.75" bottom="0.75" header="0.3" footer="0.3"/>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55">
    <tabColor rgb="FF0000FF"/>
  </sheetPr>
  <dimension ref="A1:G15"/>
  <sheetViews>
    <sheetView zoomScale="130" zoomScaleNormal="130" workbookViewId="0">
      <selection activeCell="B1" sqref="B1"/>
    </sheetView>
  </sheetViews>
  <sheetFormatPr defaultColWidth="9.140625" defaultRowHeight="15" x14ac:dyDescent="0.25"/>
  <cols>
    <col min="7" max="7" width="9.140625" customWidth="1"/>
  </cols>
  <sheetData>
    <row r="1" spans="1:7" ht="42" customHeight="1" x14ac:dyDescent="0.25">
      <c r="B1" s="8"/>
      <c r="C1" s="8"/>
      <c r="D1" s="8"/>
      <c r="E1" s="8"/>
      <c r="F1" s="8"/>
      <c r="G1" s="8"/>
    </row>
    <row r="2" spans="1:7" x14ac:dyDescent="0.25">
      <c r="A2" s="66"/>
      <c r="B2" s="226" t="s">
        <v>321</v>
      </c>
      <c r="C2" s="226" t="s">
        <v>315</v>
      </c>
      <c r="D2" s="226" t="s">
        <v>311</v>
      </c>
      <c r="E2" s="226" t="s">
        <v>1129</v>
      </c>
      <c r="F2" s="226" t="s">
        <v>317</v>
      </c>
      <c r="G2" s="226" t="s">
        <v>319</v>
      </c>
    </row>
    <row r="3" spans="1:7" x14ac:dyDescent="0.25">
      <c r="A3" s="226" t="s">
        <v>1210</v>
      </c>
      <c r="B3" s="66">
        <v>141</v>
      </c>
      <c r="C3" s="66">
        <v>179</v>
      </c>
      <c r="D3" s="66">
        <v>188</v>
      </c>
      <c r="E3" s="66">
        <v>196</v>
      </c>
      <c r="F3" s="66">
        <v>200</v>
      </c>
      <c r="G3" s="66">
        <v>174</v>
      </c>
    </row>
    <row r="4" spans="1:7" x14ac:dyDescent="0.25">
      <c r="A4" s="226" t="s">
        <v>1211</v>
      </c>
      <c r="B4" s="66">
        <v>174</v>
      </c>
      <c r="C4" s="66">
        <v>155</v>
      </c>
      <c r="D4" s="66">
        <v>129</v>
      </c>
      <c r="E4" s="66">
        <v>123</v>
      </c>
      <c r="F4" s="66">
        <v>129</v>
      </c>
      <c r="G4" s="66">
        <v>189</v>
      </c>
    </row>
    <row r="5" spans="1:7" x14ac:dyDescent="0.25">
      <c r="A5" s="226" t="s">
        <v>1212</v>
      </c>
      <c r="B5" s="66">
        <v>177</v>
      </c>
      <c r="C5" s="66">
        <v>163</v>
      </c>
      <c r="D5" s="66">
        <v>160</v>
      </c>
      <c r="E5" s="66">
        <v>136</v>
      </c>
      <c r="F5" s="66">
        <v>178</v>
      </c>
      <c r="G5" s="66">
        <v>190</v>
      </c>
    </row>
    <row r="6" spans="1:7" x14ac:dyDescent="0.25">
      <c r="A6" s="226" t="s">
        <v>1213</v>
      </c>
      <c r="B6" s="66">
        <v>168</v>
      </c>
      <c r="C6" s="66">
        <v>182</v>
      </c>
      <c r="D6" s="66">
        <v>121</v>
      </c>
      <c r="E6" s="66">
        <v>175</v>
      </c>
      <c r="F6" s="66">
        <v>171</v>
      </c>
      <c r="G6" s="66">
        <v>168</v>
      </c>
    </row>
    <row r="7" spans="1:7" x14ac:dyDescent="0.25">
      <c r="A7" s="226" t="s">
        <v>1214</v>
      </c>
      <c r="B7" s="66">
        <v>121</v>
      </c>
      <c r="C7" s="66">
        <v>178</v>
      </c>
      <c r="D7" s="66">
        <v>197</v>
      </c>
      <c r="E7" s="66">
        <v>175</v>
      </c>
      <c r="F7" s="66">
        <v>194</v>
      </c>
      <c r="G7" s="66">
        <v>144</v>
      </c>
    </row>
    <row r="9" spans="1:7" ht="38.25" customHeight="1" x14ac:dyDescent="0.25">
      <c r="B9" s="8"/>
      <c r="C9" s="8"/>
      <c r="D9" s="8"/>
      <c r="E9" s="8"/>
      <c r="F9" s="8"/>
      <c r="G9" s="8"/>
    </row>
    <row r="10" spans="1:7" x14ac:dyDescent="0.25">
      <c r="A10" s="66"/>
      <c r="B10" s="226" t="s">
        <v>321</v>
      </c>
      <c r="C10" s="226" t="s">
        <v>315</v>
      </c>
      <c r="D10" s="226" t="s">
        <v>311</v>
      </c>
      <c r="E10" s="226" t="s">
        <v>1129</v>
      </c>
      <c r="F10" s="226" t="s">
        <v>317</v>
      </c>
      <c r="G10" s="226" t="s">
        <v>319</v>
      </c>
    </row>
    <row r="11" spans="1:7" x14ac:dyDescent="0.25">
      <c r="A11" s="226" t="s">
        <v>1210</v>
      </c>
      <c r="B11" s="66">
        <v>141</v>
      </c>
      <c r="C11" s="66">
        <v>179</v>
      </c>
      <c r="D11" s="66">
        <v>188</v>
      </c>
      <c r="E11" s="66">
        <v>196</v>
      </c>
      <c r="F11" s="66">
        <v>200</v>
      </c>
      <c r="G11" s="66">
        <v>174</v>
      </c>
    </row>
    <row r="12" spans="1:7" x14ac:dyDescent="0.25">
      <c r="A12" s="226" t="s">
        <v>1211</v>
      </c>
      <c r="B12" s="66">
        <v>174</v>
      </c>
      <c r="C12" s="66">
        <v>155</v>
      </c>
      <c r="D12" s="66">
        <v>129</v>
      </c>
      <c r="E12" s="66">
        <v>123</v>
      </c>
      <c r="F12" s="66">
        <v>129</v>
      </c>
      <c r="G12" s="66">
        <v>189</v>
      </c>
    </row>
    <row r="13" spans="1:7" x14ac:dyDescent="0.25">
      <c r="A13" s="226" t="s">
        <v>1212</v>
      </c>
      <c r="B13" s="66">
        <v>177</v>
      </c>
      <c r="C13" s="66">
        <v>163</v>
      </c>
      <c r="D13" s="66">
        <v>160</v>
      </c>
      <c r="E13" s="66">
        <v>136</v>
      </c>
      <c r="F13" s="66">
        <v>178</v>
      </c>
      <c r="G13" s="66">
        <v>190</v>
      </c>
    </row>
    <row r="14" spans="1:7" x14ac:dyDescent="0.25">
      <c r="A14" s="226" t="s">
        <v>1213</v>
      </c>
      <c r="B14" s="66">
        <v>168</v>
      </c>
      <c r="C14" s="66">
        <v>182</v>
      </c>
      <c r="D14" s="66">
        <v>121</v>
      </c>
      <c r="E14" s="66">
        <v>175</v>
      </c>
      <c r="F14" s="66">
        <v>171</v>
      </c>
      <c r="G14" s="66">
        <v>168</v>
      </c>
    </row>
    <row r="15" spans="1:7" x14ac:dyDescent="0.25">
      <c r="A15" s="226" t="s">
        <v>1214</v>
      </c>
      <c r="B15" s="66">
        <v>121</v>
      </c>
      <c r="C15" s="66">
        <v>178</v>
      </c>
      <c r="D15" s="66">
        <v>197</v>
      </c>
      <c r="E15" s="66">
        <v>175</v>
      </c>
      <c r="F15" s="66">
        <v>194</v>
      </c>
      <c r="G15" s="66">
        <v>144</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38">
    <tabColor rgb="FF0000FF"/>
  </sheetPr>
  <dimension ref="A1:O13"/>
  <sheetViews>
    <sheetView workbookViewId="0">
      <selection activeCell="C8" sqref="C8"/>
    </sheetView>
  </sheetViews>
  <sheetFormatPr defaultRowHeight="15" x14ac:dyDescent="0.25"/>
  <cols>
    <col min="1" max="1" width="27.28515625" bestFit="1" customWidth="1"/>
    <col min="2" max="2" width="1.7109375" customWidth="1"/>
    <col min="3" max="3" width="14.5703125" bestFit="1" customWidth="1"/>
    <col min="4" max="4" width="1.7109375" customWidth="1"/>
    <col min="5" max="5" width="8.28515625" bestFit="1" customWidth="1"/>
    <col min="8" max="8" width="27.28515625" bestFit="1" customWidth="1"/>
    <col min="9" max="9" width="7.7109375" customWidth="1"/>
    <col min="10" max="10" width="1.7109375" customWidth="1"/>
    <col min="11" max="11" width="14.5703125" bestFit="1" customWidth="1"/>
    <col min="12" max="12" width="7.7109375" customWidth="1"/>
    <col min="13" max="13" width="1.7109375" customWidth="1"/>
    <col min="14" max="14" width="8.28515625" bestFit="1" customWidth="1"/>
    <col min="15" max="15" width="7.7109375" customWidth="1"/>
  </cols>
  <sheetData>
    <row r="1" spans="1:15" x14ac:dyDescent="0.25">
      <c r="A1" s="120" t="s">
        <v>1143</v>
      </c>
      <c r="C1" s="120" t="s">
        <v>1144</v>
      </c>
      <c r="E1" s="120" t="s">
        <v>1145</v>
      </c>
      <c r="H1" s="120" t="s">
        <v>1143</v>
      </c>
      <c r="K1" s="120" t="s">
        <v>1144</v>
      </c>
      <c r="N1" s="120" t="s">
        <v>1146</v>
      </c>
    </row>
    <row r="2" spans="1:15" x14ac:dyDescent="0.25">
      <c r="A2" s="5" t="s">
        <v>304</v>
      </c>
      <c r="C2" s="5" t="s">
        <v>37</v>
      </c>
      <c r="E2" s="5" t="s">
        <v>37</v>
      </c>
      <c r="H2" s="5" t="s">
        <v>304</v>
      </c>
      <c r="K2" s="5" t="s">
        <v>37</v>
      </c>
      <c r="N2" s="5" t="s">
        <v>37</v>
      </c>
    </row>
    <row r="3" spans="1:15" x14ac:dyDescent="0.25">
      <c r="A3" s="8" t="s">
        <v>1094</v>
      </c>
      <c r="C3" s="8">
        <v>3.04</v>
      </c>
      <c r="E3" s="8">
        <v>3.04</v>
      </c>
      <c r="H3" s="8" t="s">
        <v>1094</v>
      </c>
      <c r="I3" t="b">
        <f t="shared" ref="I3:I13" si="0">COUNTIF($A$3:$A$13,H3)&gt;1</f>
        <v>0</v>
      </c>
      <c r="K3" s="8">
        <v>3.04</v>
      </c>
      <c r="L3" t="b">
        <f t="shared" ref="L3:L13" si="1">K3&gt;AVERAGE($C$3:$C$13)</f>
        <v>0</v>
      </c>
      <c r="N3" s="8">
        <v>3.04</v>
      </c>
      <c r="O3" s="266" t="b">
        <f t="shared" ref="O3:O13" si="2">N3&gt;_xlfn.PERCENTILE.EXC($E$3:$E$13,0.8)</f>
        <v>0</v>
      </c>
    </row>
    <row r="4" spans="1:15" x14ac:dyDescent="0.25">
      <c r="A4" s="8" t="s">
        <v>1095</v>
      </c>
      <c r="C4" s="8">
        <v>19.41</v>
      </c>
      <c r="E4" s="8">
        <v>19.41</v>
      </c>
      <c r="H4" s="8" t="s">
        <v>1095</v>
      </c>
      <c r="I4" t="b">
        <f t="shared" si="0"/>
        <v>1</v>
      </c>
      <c r="K4" s="8">
        <v>19.41</v>
      </c>
      <c r="L4" t="b">
        <f t="shared" si="1"/>
        <v>1</v>
      </c>
      <c r="N4" s="8">
        <v>19.41</v>
      </c>
      <c r="O4" s="266" t="b">
        <f t="shared" si="2"/>
        <v>1</v>
      </c>
    </row>
    <row r="5" spans="1:15" x14ac:dyDescent="0.25">
      <c r="A5" s="8" t="s">
        <v>1095</v>
      </c>
      <c r="C5" s="8">
        <v>18.87</v>
      </c>
      <c r="E5" s="8">
        <v>18.87</v>
      </c>
      <c r="H5" s="8" t="s">
        <v>1095</v>
      </c>
      <c r="I5" t="b">
        <f t="shared" si="0"/>
        <v>1</v>
      </c>
      <c r="K5" s="8">
        <v>18.87</v>
      </c>
      <c r="L5" t="b">
        <f t="shared" si="1"/>
        <v>1</v>
      </c>
      <c r="N5" s="8">
        <v>18.87</v>
      </c>
      <c r="O5" s="266" t="b">
        <f t="shared" si="2"/>
        <v>0</v>
      </c>
    </row>
    <row r="6" spans="1:15" x14ac:dyDescent="0.25">
      <c r="A6" s="8" t="s">
        <v>1096</v>
      </c>
      <c r="C6" s="8">
        <v>6.9</v>
      </c>
      <c r="E6" s="8">
        <v>6.9</v>
      </c>
      <c r="H6" s="8" t="s">
        <v>1096</v>
      </c>
      <c r="I6" t="b">
        <f t="shared" si="0"/>
        <v>0</v>
      </c>
      <c r="K6" s="8">
        <v>6.9</v>
      </c>
      <c r="L6" t="b">
        <f t="shared" si="1"/>
        <v>0</v>
      </c>
      <c r="N6" s="8">
        <v>6.9</v>
      </c>
      <c r="O6" s="266" t="b">
        <f t="shared" si="2"/>
        <v>0</v>
      </c>
    </row>
    <row r="7" spans="1:15" x14ac:dyDescent="0.25">
      <c r="A7" s="8" t="s">
        <v>1097</v>
      </c>
      <c r="C7" s="8">
        <v>11.37</v>
      </c>
      <c r="E7" s="8">
        <v>11.37</v>
      </c>
      <c r="H7" s="8" t="s">
        <v>1097</v>
      </c>
      <c r="I7" t="b">
        <f t="shared" si="0"/>
        <v>0</v>
      </c>
      <c r="K7" s="8">
        <v>11.37</v>
      </c>
      <c r="L7" t="b">
        <f t="shared" si="1"/>
        <v>0</v>
      </c>
      <c r="N7" s="8">
        <v>11.37</v>
      </c>
      <c r="O7" s="266" t="b">
        <f t="shared" si="2"/>
        <v>0</v>
      </c>
    </row>
    <row r="8" spans="1:15" x14ac:dyDescent="0.25">
      <c r="A8" s="8" t="s">
        <v>1098</v>
      </c>
      <c r="C8" s="8">
        <v>18.89</v>
      </c>
      <c r="E8" s="8">
        <v>18.89</v>
      </c>
      <c r="H8" s="8" t="s">
        <v>1098</v>
      </c>
      <c r="I8" t="b">
        <f t="shared" si="0"/>
        <v>1</v>
      </c>
      <c r="K8" s="8">
        <v>18.89</v>
      </c>
      <c r="L8" t="b">
        <f t="shared" si="1"/>
        <v>1</v>
      </c>
      <c r="N8" s="8">
        <v>18.89</v>
      </c>
      <c r="O8" s="266" t="b">
        <f t="shared" si="2"/>
        <v>1</v>
      </c>
    </row>
    <row r="9" spans="1:15" x14ac:dyDescent="0.25">
      <c r="A9" s="8" t="s">
        <v>1098</v>
      </c>
      <c r="C9" s="8">
        <v>18.59</v>
      </c>
      <c r="E9" s="8">
        <v>18.59</v>
      </c>
      <c r="H9" s="8" t="s">
        <v>1098</v>
      </c>
      <c r="I9" t="b">
        <f t="shared" si="0"/>
        <v>1</v>
      </c>
      <c r="K9" s="8">
        <v>18.59</v>
      </c>
      <c r="L9" t="b">
        <f t="shared" si="1"/>
        <v>1</v>
      </c>
      <c r="N9" s="8">
        <v>18.59</v>
      </c>
      <c r="O9" s="266" t="b">
        <f t="shared" si="2"/>
        <v>0</v>
      </c>
    </row>
    <row r="10" spans="1:15" x14ac:dyDescent="0.25">
      <c r="A10" s="8" t="s">
        <v>1099</v>
      </c>
      <c r="C10" s="8">
        <v>7.36</v>
      </c>
      <c r="E10" s="8">
        <v>7.36</v>
      </c>
      <c r="H10" s="8" t="s">
        <v>1099</v>
      </c>
      <c r="I10" t="b">
        <f t="shared" si="0"/>
        <v>0</v>
      </c>
      <c r="K10" s="8">
        <v>7.36</v>
      </c>
      <c r="L10" t="b">
        <f t="shared" si="1"/>
        <v>0</v>
      </c>
      <c r="N10" s="8">
        <v>7.36</v>
      </c>
      <c r="O10" s="266" t="b">
        <f t="shared" si="2"/>
        <v>0</v>
      </c>
    </row>
    <row r="11" spans="1:15" x14ac:dyDescent="0.25">
      <c r="A11" s="8" t="s">
        <v>1100</v>
      </c>
      <c r="C11" s="8">
        <v>13.05</v>
      </c>
      <c r="E11" s="8">
        <v>13.05</v>
      </c>
      <c r="H11" s="8" t="s">
        <v>1100</v>
      </c>
      <c r="I11" t="b">
        <f t="shared" si="0"/>
        <v>0</v>
      </c>
      <c r="K11" s="8">
        <v>13.05</v>
      </c>
      <c r="L11" t="b">
        <f t="shared" si="1"/>
        <v>1</v>
      </c>
      <c r="N11" s="8">
        <v>13.05</v>
      </c>
      <c r="O11" s="266" t="b">
        <f t="shared" si="2"/>
        <v>0</v>
      </c>
    </row>
    <row r="12" spans="1:15" x14ac:dyDescent="0.25">
      <c r="A12" s="8" t="s">
        <v>1101</v>
      </c>
      <c r="C12" s="8">
        <v>4.29</v>
      </c>
      <c r="E12" s="8">
        <v>4.29</v>
      </c>
      <c r="H12" s="8" t="s">
        <v>1101</v>
      </c>
      <c r="I12" t="b">
        <f t="shared" si="0"/>
        <v>0</v>
      </c>
      <c r="K12" s="8">
        <v>4.29</v>
      </c>
      <c r="L12" t="b">
        <f t="shared" si="1"/>
        <v>0</v>
      </c>
      <c r="N12" s="8">
        <v>4.29</v>
      </c>
      <c r="O12" s="266" t="b">
        <f t="shared" si="2"/>
        <v>0</v>
      </c>
    </row>
    <row r="13" spans="1:15" x14ac:dyDescent="0.25">
      <c r="A13" s="8" t="s">
        <v>1098</v>
      </c>
      <c r="C13" s="8">
        <v>11.24</v>
      </c>
      <c r="E13" s="8">
        <v>11.24</v>
      </c>
      <c r="H13" s="8" t="s">
        <v>1098</v>
      </c>
      <c r="I13" t="b">
        <f t="shared" si="0"/>
        <v>1</v>
      </c>
      <c r="K13" s="8">
        <v>11.24</v>
      </c>
      <c r="L13" t="b">
        <f t="shared" si="1"/>
        <v>0</v>
      </c>
      <c r="N13" s="8">
        <v>11.24</v>
      </c>
      <c r="O13" s="266" t="b">
        <f t="shared" si="2"/>
        <v>0</v>
      </c>
    </row>
  </sheetData>
  <conditionalFormatting sqref="A3:A13">
    <cfRule type="duplicateValues" dxfId="18" priority="12"/>
  </conditionalFormatting>
  <conditionalFormatting sqref="C3:C13">
    <cfRule type="aboveAverage" dxfId="17" priority="9"/>
    <cfRule type="aboveAverage" dxfId="16" priority="10"/>
    <cfRule type="aboveAverage" dxfId="15" priority="11"/>
  </conditionalFormatting>
  <conditionalFormatting sqref="H3:H13">
    <cfRule type="duplicateValues" dxfId="14" priority="6"/>
  </conditionalFormatting>
  <conditionalFormatting sqref="K3:K13">
    <cfRule type="aboveAverage" dxfId="13" priority="3"/>
    <cfRule type="aboveAverage" dxfId="12" priority="4"/>
    <cfRule type="aboveAverage" dxfId="11" priority="5"/>
  </conditionalFormatting>
  <conditionalFormatting sqref="N3:N13">
    <cfRule type="top10" dxfId="10" priority="7" percent="1" rank="20"/>
    <cfRule type="top10" dxfId="9" priority="8" percent="1" rank="10"/>
  </conditionalFormatting>
  <conditionalFormatting sqref="I3:I13 L3:L13 O3:O13">
    <cfRule type="expression" dxfId="8" priority="2">
      <formula>I3=TRUE</formula>
    </cfRule>
  </conditionalFormatting>
  <conditionalFormatting sqref="E3:E13">
    <cfRule type="top10" dxfId="7" priority="1" percent="1" rank="10"/>
  </conditionalFormatting>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39">
    <tabColor rgb="FF0000FF"/>
  </sheetPr>
  <dimension ref="A1:I13"/>
  <sheetViews>
    <sheetView workbookViewId="0"/>
  </sheetViews>
  <sheetFormatPr defaultColWidth="9.140625" defaultRowHeight="15" x14ac:dyDescent="0.25"/>
  <cols>
    <col min="1" max="1" width="25" bestFit="1" customWidth="1"/>
    <col min="2" max="2" width="2.85546875" customWidth="1"/>
    <col min="3" max="3" width="14.5703125" bestFit="1" customWidth="1"/>
    <col min="4" max="4" width="2.85546875" customWidth="1"/>
    <col min="5" max="5" width="8.28515625" bestFit="1" customWidth="1"/>
    <col min="6" max="6" width="2.85546875" customWidth="1"/>
    <col min="8" max="8" width="2.85546875" customWidth="1"/>
  </cols>
  <sheetData>
    <row r="1" spans="1:9" x14ac:dyDescent="0.25">
      <c r="A1" s="120" t="s">
        <v>1143</v>
      </c>
      <c r="C1" s="120" t="s">
        <v>1144</v>
      </c>
      <c r="E1" s="120" t="s">
        <v>1145</v>
      </c>
      <c r="G1" s="120" t="s">
        <v>1147</v>
      </c>
      <c r="I1" s="120" t="s">
        <v>1148</v>
      </c>
    </row>
    <row r="2" spans="1:9" x14ac:dyDescent="0.25">
      <c r="A2" s="5" t="s">
        <v>304</v>
      </c>
      <c r="C2" s="5" t="s">
        <v>37</v>
      </c>
      <c r="E2" s="5" t="s">
        <v>37</v>
      </c>
      <c r="G2" s="5" t="s">
        <v>37</v>
      </c>
      <c r="I2" s="5" t="s">
        <v>37</v>
      </c>
    </row>
    <row r="3" spans="1:9" x14ac:dyDescent="0.25">
      <c r="A3" s="8" t="s">
        <v>1094</v>
      </c>
      <c r="C3" s="8">
        <v>3.04</v>
      </c>
      <c r="E3" s="8">
        <v>3.04</v>
      </c>
      <c r="G3" s="8">
        <v>3.04</v>
      </c>
      <c r="I3" s="8">
        <v>3.04</v>
      </c>
    </row>
    <row r="4" spans="1:9" x14ac:dyDescent="0.25">
      <c r="A4" s="8" t="s">
        <v>1095</v>
      </c>
      <c r="C4" s="8">
        <v>19.41</v>
      </c>
      <c r="E4" s="8">
        <v>19.41</v>
      </c>
      <c r="G4" s="8">
        <v>19.41</v>
      </c>
      <c r="I4" s="8">
        <v>19.41</v>
      </c>
    </row>
    <row r="5" spans="1:9" x14ac:dyDescent="0.25">
      <c r="A5" s="8" t="s">
        <v>1095</v>
      </c>
      <c r="C5" s="8">
        <v>18.87</v>
      </c>
      <c r="E5" s="8">
        <v>18.87</v>
      </c>
      <c r="G5" s="8">
        <v>18.87</v>
      </c>
      <c r="I5" s="8">
        <v>18.87</v>
      </c>
    </row>
    <row r="6" spans="1:9" x14ac:dyDescent="0.25">
      <c r="A6" s="8" t="s">
        <v>1096</v>
      </c>
      <c r="C6" s="8">
        <v>6.9</v>
      </c>
      <c r="E6" s="8">
        <v>6.9</v>
      </c>
      <c r="G6" s="8">
        <v>6.9</v>
      </c>
      <c r="I6" s="8">
        <v>6.9</v>
      </c>
    </row>
    <row r="7" spans="1:9" x14ac:dyDescent="0.25">
      <c r="A7" s="8" t="s">
        <v>1097</v>
      </c>
      <c r="C7" s="8">
        <v>11.37</v>
      </c>
      <c r="E7" s="8">
        <v>11.37</v>
      </c>
      <c r="G7" s="8">
        <v>11.37</v>
      </c>
      <c r="I7" s="8">
        <v>11.37</v>
      </c>
    </row>
    <row r="8" spans="1:9" x14ac:dyDescent="0.25">
      <c r="A8" s="8" t="s">
        <v>1098</v>
      </c>
      <c r="C8" s="8">
        <v>18.89</v>
      </c>
      <c r="E8" s="8">
        <v>18.89</v>
      </c>
      <c r="G8" s="8">
        <v>18.89</v>
      </c>
      <c r="I8" s="8">
        <v>18.89</v>
      </c>
    </row>
    <row r="9" spans="1:9" x14ac:dyDescent="0.25">
      <c r="A9" s="8" t="s">
        <v>1098</v>
      </c>
      <c r="C9" s="8">
        <v>18.59</v>
      </c>
      <c r="E9" s="8">
        <v>18.59</v>
      </c>
      <c r="G9" s="8">
        <v>18.59</v>
      </c>
      <c r="I9" s="8">
        <v>18.59</v>
      </c>
    </row>
    <row r="10" spans="1:9" x14ac:dyDescent="0.25">
      <c r="A10" s="8" t="s">
        <v>1099</v>
      </c>
      <c r="C10" s="8">
        <v>7.36</v>
      </c>
      <c r="E10" s="8">
        <v>7.36</v>
      </c>
      <c r="G10" s="8">
        <v>7.36</v>
      </c>
      <c r="I10" s="8">
        <v>7.36</v>
      </c>
    </row>
    <row r="11" spans="1:9" x14ac:dyDescent="0.25">
      <c r="A11" s="8" t="s">
        <v>1100</v>
      </c>
      <c r="C11" s="8">
        <v>13.05</v>
      </c>
      <c r="E11" s="8">
        <v>13.05</v>
      </c>
      <c r="G11" s="8">
        <v>13.05</v>
      </c>
      <c r="I11" s="8">
        <v>13.05</v>
      </c>
    </row>
    <row r="12" spans="1:9" x14ac:dyDescent="0.25">
      <c r="A12" s="8" t="s">
        <v>1101</v>
      </c>
      <c r="C12" s="8">
        <v>4.29</v>
      </c>
      <c r="E12" s="8">
        <v>4.29</v>
      </c>
      <c r="G12" s="8">
        <v>4.29</v>
      </c>
      <c r="I12" s="8">
        <v>4.29</v>
      </c>
    </row>
    <row r="13" spans="1:9" x14ac:dyDescent="0.25">
      <c r="A13" s="8" t="s">
        <v>1098</v>
      </c>
      <c r="C13" s="8">
        <v>11.24</v>
      </c>
      <c r="E13" s="8">
        <v>11.24</v>
      </c>
      <c r="G13" s="8">
        <v>11.24</v>
      </c>
      <c r="I13" s="8">
        <v>11.24</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40">
    <tabColor rgb="FF0000FF"/>
  </sheetPr>
  <dimension ref="A1:F7"/>
  <sheetViews>
    <sheetView workbookViewId="0">
      <selection activeCell="F9" sqref="F9"/>
    </sheetView>
  </sheetViews>
  <sheetFormatPr defaultRowHeight="15" x14ac:dyDescent="0.25"/>
  <cols>
    <col min="1" max="1" width="26.28515625" bestFit="1" customWidth="1"/>
    <col min="2" max="2" width="4.28515625" customWidth="1"/>
    <col min="3" max="3" width="11" bestFit="1" customWidth="1"/>
    <col min="4" max="4" width="11.7109375" bestFit="1" customWidth="1"/>
    <col min="5" max="5" width="21" bestFit="1" customWidth="1"/>
    <col min="6" max="6" width="14.85546875" bestFit="1" customWidth="1"/>
  </cols>
  <sheetData>
    <row r="1" spans="1:6" x14ac:dyDescent="0.25">
      <c r="A1" s="65" t="s">
        <v>164</v>
      </c>
      <c r="C1" s="14" t="s">
        <v>1149</v>
      </c>
      <c r="D1" s="14" t="s">
        <v>1150</v>
      </c>
      <c r="E1" s="14" t="s">
        <v>1151</v>
      </c>
      <c r="F1" s="14" t="s">
        <v>1152</v>
      </c>
    </row>
    <row r="2" spans="1:6" x14ac:dyDescent="0.25">
      <c r="A2" s="8" t="s">
        <v>165</v>
      </c>
      <c r="C2" s="8">
        <v>34</v>
      </c>
      <c r="D2" s="8">
        <v>43</v>
      </c>
      <c r="E2" s="10" t="b">
        <f>C2&gt;D2</f>
        <v>0</v>
      </c>
      <c r="F2" s="8" t="str">
        <f>" "&amp;TextFormula</f>
        <v xml:space="preserve"> =C2&gt;D2</v>
      </c>
    </row>
    <row r="3" spans="1:6" x14ac:dyDescent="0.25">
      <c r="A3" s="8" t="s">
        <v>166</v>
      </c>
      <c r="C3" s="8">
        <v>34</v>
      </c>
      <c r="D3" s="8">
        <v>34</v>
      </c>
      <c r="E3" s="10" t="b">
        <f>C3&gt;=D3</f>
        <v>1</v>
      </c>
      <c r="F3" s="8" t="str">
        <f>" "&amp;TextFormula</f>
        <v xml:space="preserve"> =C3&gt;=D3</v>
      </c>
    </row>
    <row r="4" spans="1:6" x14ac:dyDescent="0.25">
      <c r="A4" s="8" t="s">
        <v>167</v>
      </c>
      <c r="C4" s="8">
        <v>500</v>
      </c>
      <c r="D4" s="8">
        <v>100</v>
      </c>
      <c r="E4" s="10" t="b">
        <f>C4&lt;D4</f>
        <v>0</v>
      </c>
      <c r="F4" s="8" t="str">
        <f>" "&amp;TextFormula</f>
        <v xml:space="preserve"> =C4&lt;D4</v>
      </c>
    </row>
    <row r="5" spans="1:6" x14ac:dyDescent="0.25">
      <c r="A5" s="8" t="s">
        <v>168</v>
      </c>
      <c r="C5" s="8" t="s">
        <v>783</v>
      </c>
      <c r="D5" s="8" t="s">
        <v>784</v>
      </c>
      <c r="E5" s="10" t="b">
        <f t="shared" ref="E5:E6" si="0">C5=D5</f>
        <v>0</v>
      </c>
      <c r="F5" s="8" t="str">
        <f>" "&amp;TextFormula</f>
        <v xml:space="preserve"> =C5=D5</v>
      </c>
    </row>
    <row r="6" spans="1:6" x14ac:dyDescent="0.25">
      <c r="A6" s="8" t="s">
        <v>169</v>
      </c>
      <c r="C6" s="8" t="s">
        <v>783</v>
      </c>
      <c r="D6" s="8" t="s">
        <v>783</v>
      </c>
      <c r="E6" s="10" t="b">
        <f t="shared" si="0"/>
        <v>1</v>
      </c>
      <c r="F6" s="8" t="str">
        <f>" "&amp;TextFormula</f>
        <v xml:space="preserve"> =C6=D6</v>
      </c>
    </row>
    <row r="7" spans="1:6" x14ac:dyDescent="0.25">
      <c r="A7" s="8" t="s">
        <v>170</v>
      </c>
      <c r="C7" s="8" t="s">
        <v>783</v>
      </c>
      <c r="D7" s="8" t="s">
        <v>783</v>
      </c>
      <c r="E7" s="10" t="b">
        <f>C7&lt;&gt;D7</f>
        <v>0</v>
      </c>
      <c r="F7" s="8" t="str">
        <f>" "&amp;TextFormula</f>
        <v xml:space="preserve"> =C7&lt;&gt;D7</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141">
    <tabColor rgb="FF0000FF"/>
  </sheetPr>
  <dimension ref="A1:D13"/>
  <sheetViews>
    <sheetView workbookViewId="0">
      <selection activeCell="D5" sqref="D5:D13"/>
    </sheetView>
  </sheetViews>
  <sheetFormatPr defaultRowHeight="15" x14ac:dyDescent="0.25"/>
  <cols>
    <col min="1" max="1" width="16" customWidth="1"/>
    <col min="2" max="2" width="17" customWidth="1"/>
    <col min="3" max="3" width="8.28515625" customWidth="1"/>
    <col min="4" max="4" width="16" customWidth="1"/>
    <col min="5" max="5" width="17" customWidth="1"/>
    <col min="6" max="6" width="8.5703125" customWidth="1"/>
    <col min="7" max="7" width="4.85546875" customWidth="1"/>
    <col min="8" max="8" width="19.140625" bestFit="1" customWidth="1"/>
    <col min="9" max="9" width="17" customWidth="1"/>
    <col min="10" max="11" width="6.140625" bestFit="1" customWidth="1"/>
    <col min="12" max="12" width="4.85546875" customWidth="1"/>
    <col min="13" max="13" width="12.85546875" bestFit="1" customWidth="1"/>
    <col min="14" max="14" width="9.85546875" bestFit="1" customWidth="1"/>
    <col min="17" max="17" width="2.28515625" customWidth="1"/>
    <col min="18" max="18" width="10.7109375" bestFit="1" customWidth="1"/>
  </cols>
  <sheetData>
    <row r="1" spans="1:4" ht="30" x14ac:dyDescent="0.25">
      <c r="A1" s="267" t="s">
        <v>1153</v>
      </c>
      <c r="B1" s="268"/>
    </row>
    <row r="2" spans="1:4" x14ac:dyDescent="0.25">
      <c r="A2" s="14" t="s">
        <v>1154</v>
      </c>
      <c r="B2" s="7">
        <v>40246</v>
      </c>
    </row>
    <row r="4" spans="1:4" x14ac:dyDescent="0.25">
      <c r="A4" s="5" t="s">
        <v>0</v>
      </c>
      <c r="B4" s="5" t="s">
        <v>37</v>
      </c>
    </row>
    <row r="5" spans="1:4" x14ac:dyDescent="0.25">
      <c r="A5" s="269">
        <v>40609</v>
      </c>
      <c r="B5" s="270">
        <v>8336</v>
      </c>
      <c r="D5" s="8"/>
    </row>
    <row r="6" spans="1:4" x14ac:dyDescent="0.25">
      <c r="A6" s="7">
        <v>40248</v>
      </c>
      <c r="B6" s="22">
        <v>9894</v>
      </c>
      <c r="D6" s="8"/>
    </row>
    <row r="7" spans="1:4" x14ac:dyDescent="0.25">
      <c r="A7" s="7">
        <v>40609</v>
      </c>
      <c r="B7" s="22">
        <v>11686</v>
      </c>
      <c r="D7" s="8"/>
    </row>
    <row r="8" spans="1:4" x14ac:dyDescent="0.25">
      <c r="A8" s="7">
        <v>40248</v>
      </c>
      <c r="B8" s="22">
        <v>7599</v>
      </c>
      <c r="D8" s="8"/>
    </row>
    <row r="9" spans="1:4" x14ac:dyDescent="0.25">
      <c r="A9" s="7">
        <v>40609</v>
      </c>
      <c r="B9" s="22">
        <v>9609</v>
      </c>
      <c r="D9" s="8"/>
    </row>
    <row r="10" spans="1:4" x14ac:dyDescent="0.25">
      <c r="A10" s="7">
        <v>40246</v>
      </c>
      <c r="B10" s="22">
        <v>11210</v>
      </c>
      <c r="D10" s="8"/>
    </row>
    <row r="11" spans="1:4" x14ac:dyDescent="0.25">
      <c r="A11" s="7">
        <v>40246</v>
      </c>
      <c r="B11" s="22">
        <v>12561</v>
      </c>
      <c r="D11" s="8"/>
    </row>
    <row r="12" spans="1:4" x14ac:dyDescent="0.25">
      <c r="A12" s="7">
        <v>40609</v>
      </c>
      <c r="B12" s="22">
        <v>7125</v>
      </c>
      <c r="D12" s="8"/>
    </row>
    <row r="13" spans="1:4" x14ac:dyDescent="0.25">
      <c r="A13" s="7">
        <v>40246</v>
      </c>
      <c r="B13" s="22">
        <v>11140</v>
      </c>
      <c r="D13" s="8"/>
    </row>
  </sheetData>
  <conditionalFormatting sqref="D5:D13">
    <cfRule type="expression" dxfId="6" priority="1">
      <formula>D5=TRUE</formula>
    </cfRule>
  </conditionalFormatting>
  <pageMargins left="0.7" right="0.7" top="0.75" bottom="0.75" header="0.3" footer="0.3"/>
  <pageSetup orientation="portrait"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42">
    <tabColor rgb="FF0000FF"/>
  </sheetPr>
  <dimension ref="A1:E13"/>
  <sheetViews>
    <sheetView workbookViewId="0"/>
  </sheetViews>
  <sheetFormatPr defaultRowHeight="15" x14ac:dyDescent="0.25"/>
  <cols>
    <col min="1" max="1" width="16" customWidth="1"/>
    <col min="2" max="2" width="17" customWidth="1"/>
    <col min="3" max="3" width="4.85546875" customWidth="1"/>
    <col min="4" max="5" width="8.5703125" customWidth="1"/>
    <col min="6" max="6" width="4.85546875" customWidth="1"/>
    <col min="7" max="7" width="19.140625" bestFit="1" customWidth="1"/>
    <col min="8" max="8" width="17" customWidth="1"/>
    <col min="9" max="10" width="6.140625" bestFit="1" customWidth="1"/>
    <col min="11" max="11" width="4.85546875" customWidth="1"/>
    <col min="12" max="12" width="12.85546875" bestFit="1" customWidth="1"/>
    <col min="13" max="13" width="9.85546875" bestFit="1" customWidth="1"/>
    <col min="16" max="16" width="2.28515625" customWidth="1"/>
    <col min="17" max="17" width="10.7109375" bestFit="1" customWidth="1"/>
  </cols>
  <sheetData>
    <row r="1" spans="1:5" ht="30" x14ac:dyDescent="0.25">
      <c r="A1" s="267" t="s">
        <v>1155</v>
      </c>
      <c r="B1" s="268"/>
      <c r="D1" s="271"/>
      <c r="E1" s="271"/>
    </row>
    <row r="2" spans="1:5" x14ac:dyDescent="0.25">
      <c r="A2" s="14" t="s">
        <v>1154</v>
      </c>
      <c r="B2" s="7">
        <v>40609</v>
      </c>
    </row>
    <row r="4" spans="1:5" x14ac:dyDescent="0.25">
      <c r="A4" s="5" t="s">
        <v>0</v>
      </c>
      <c r="B4" s="5" t="s">
        <v>37</v>
      </c>
    </row>
    <row r="5" spans="1:5" x14ac:dyDescent="0.25">
      <c r="A5" s="269">
        <v>40609</v>
      </c>
      <c r="B5" s="270">
        <v>8336</v>
      </c>
      <c r="D5" s="8"/>
      <c r="E5" s="8"/>
    </row>
    <row r="6" spans="1:5" x14ac:dyDescent="0.25">
      <c r="A6" s="7">
        <v>40248</v>
      </c>
      <c r="B6" s="22">
        <v>9894</v>
      </c>
      <c r="D6" s="8"/>
      <c r="E6" s="8"/>
    </row>
    <row r="7" spans="1:5" x14ac:dyDescent="0.25">
      <c r="A7" s="7">
        <v>40609</v>
      </c>
      <c r="B7" s="22">
        <v>11686</v>
      </c>
      <c r="D7" s="8"/>
      <c r="E7" s="8"/>
    </row>
    <row r="8" spans="1:5" x14ac:dyDescent="0.25">
      <c r="A8" s="7">
        <v>40248</v>
      </c>
      <c r="B8" s="22">
        <v>7599</v>
      </c>
      <c r="D8" s="8"/>
      <c r="E8" s="8"/>
    </row>
    <row r="9" spans="1:5" x14ac:dyDescent="0.25">
      <c r="A9" s="7">
        <v>40609</v>
      </c>
      <c r="B9" s="22">
        <v>9609</v>
      </c>
      <c r="D9" s="8"/>
      <c r="E9" s="8"/>
    </row>
    <row r="10" spans="1:5" x14ac:dyDescent="0.25">
      <c r="A10" s="7">
        <v>40246</v>
      </c>
      <c r="B10" s="22">
        <v>11210</v>
      </c>
      <c r="D10" s="8"/>
      <c r="E10" s="8"/>
    </row>
    <row r="11" spans="1:5" x14ac:dyDescent="0.25">
      <c r="A11" s="7">
        <v>40246</v>
      </c>
      <c r="B11" s="22">
        <v>12561</v>
      </c>
      <c r="D11" s="8"/>
      <c r="E11" s="8"/>
    </row>
    <row r="12" spans="1:5" x14ac:dyDescent="0.25">
      <c r="A12" s="7">
        <v>40609</v>
      </c>
      <c r="B12" s="22">
        <v>7125</v>
      </c>
      <c r="D12" s="8"/>
      <c r="E12" s="8"/>
    </row>
    <row r="13" spans="1:5" x14ac:dyDescent="0.25">
      <c r="A13" s="7">
        <v>40246</v>
      </c>
      <c r="B13" s="22">
        <v>11140</v>
      </c>
      <c r="D13" s="8"/>
      <c r="E13" s="8"/>
    </row>
  </sheetData>
  <conditionalFormatting sqref="D5:E13">
    <cfRule type="expression" dxfId="5" priority="2">
      <formula>D5=TRUE</formula>
    </cfRule>
  </conditionalFormatting>
  <pageMargins left="0.7" right="0.7" top="0.75" bottom="0.75" header="0.3" footer="0.3"/>
  <pageSetup orientation="portrait"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143">
    <tabColor rgb="FF0000FF"/>
  </sheetPr>
  <dimension ref="A1:H25"/>
  <sheetViews>
    <sheetView workbookViewId="0">
      <selection activeCell="B2" sqref="B2"/>
    </sheetView>
  </sheetViews>
  <sheetFormatPr defaultRowHeight="15" x14ac:dyDescent="0.25"/>
  <cols>
    <col min="1" max="1" width="19.140625" bestFit="1" customWidth="1"/>
    <col min="2" max="2" width="17" customWidth="1"/>
    <col min="3" max="5" width="6.140625" bestFit="1" customWidth="1"/>
    <col min="6" max="6" width="12.85546875" bestFit="1" customWidth="1"/>
    <col min="7" max="7" width="9.85546875" bestFit="1" customWidth="1"/>
    <col min="10" max="10" width="2.28515625" customWidth="1"/>
    <col min="11" max="11" width="10.7109375" bestFit="1" customWidth="1"/>
  </cols>
  <sheetData>
    <row r="1" spans="1:5" ht="30" x14ac:dyDescent="0.25">
      <c r="A1" s="267" t="s">
        <v>1156</v>
      </c>
      <c r="B1" s="268"/>
      <c r="C1" s="271"/>
      <c r="D1" s="271"/>
    </row>
    <row r="2" spans="1:5" x14ac:dyDescent="0.25">
      <c r="A2" s="14" t="s">
        <v>1157</v>
      </c>
      <c r="B2" s="22">
        <v>5555</v>
      </c>
    </row>
    <row r="4" spans="1:5" x14ac:dyDescent="0.25">
      <c r="A4" s="5" t="s">
        <v>1158</v>
      </c>
      <c r="B4" s="5" t="s">
        <v>779</v>
      </c>
    </row>
    <row r="5" spans="1:5" x14ac:dyDescent="0.25">
      <c r="A5" s="270">
        <v>0</v>
      </c>
      <c r="B5" s="272">
        <v>0</v>
      </c>
      <c r="D5" s="8"/>
      <c r="E5" s="8"/>
    </row>
    <row r="6" spans="1:5" x14ac:dyDescent="0.25">
      <c r="A6" s="22">
        <v>500</v>
      </c>
      <c r="B6" s="124">
        <v>5.0000000000000001E-3</v>
      </c>
      <c r="D6" s="8"/>
      <c r="E6" s="8"/>
    </row>
    <row r="7" spans="1:5" x14ac:dyDescent="0.25">
      <c r="A7" s="22">
        <v>1000</v>
      </c>
      <c r="B7" s="124">
        <v>0.01</v>
      </c>
      <c r="D7" s="8"/>
      <c r="E7" s="8"/>
    </row>
    <row r="8" spans="1:5" x14ac:dyDescent="0.25">
      <c r="A8" s="22">
        <v>2000</v>
      </c>
      <c r="B8" s="124">
        <v>1.2500000000000001E-2</v>
      </c>
      <c r="D8" s="8"/>
      <c r="E8" s="8"/>
    </row>
    <row r="9" spans="1:5" x14ac:dyDescent="0.25">
      <c r="A9" s="22">
        <v>3000</v>
      </c>
      <c r="B9" s="124">
        <v>1.7500000000000002E-2</v>
      </c>
      <c r="D9" s="8"/>
      <c r="E9" s="8"/>
    </row>
    <row r="10" spans="1:5" x14ac:dyDescent="0.25">
      <c r="A10" s="22">
        <v>5000</v>
      </c>
      <c r="B10" s="124">
        <v>0.02</v>
      </c>
      <c r="D10" s="8"/>
      <c r="E10" s="8"/>
    </row>
    <row r="11" spans="1:5" x14ac:dyDescent="0.25">
      <c r="A11" s="22">
        <v>10000</v>
      </c>
      <c r="B11" s="124">
        <v>0.03</v>
      </c>
      <c r="D11" s="8"/>
      <c r="E11" s="8"/>
    </row>
    <row r="12" spans="1:5" x14ac:dyDescent="0.25">
      <c r="A12" s="22">
        <v>20000</v>
      </c>
      <c r="B12" s="124">
        <v>0.04</v>
      </c>
      <c r="D12" s="8"/>
      <c r="E12" s="8"/>
    </row>
    <row r="13" spans="1:5" x14ac:dyDescent="0.25">
      <c r="A13" s="22">
        <v>30000</v>
      </c>
      <c r="B13" s="124">
        <v>0.05</v>
      </c>
      <c r="D13" s="8"/>
      <c r="E13" s="8"/>
    </row>
    <row r="16" spans="1:5" x14ac:dyDescent="0.25">
      <c r="C16" s="18" t="s">
        <v>743</v>
      </c>
      <c r="D16" s="8" t="s">
        <v>1399</v>
      </c>
    </row>
    <row r="17" spans="3:8" x14ac:dyDescent="0.25">
      <c r="C17" s="18" t="s">
        <v>1615</v>
      </c>
      <c r="D17" s="8">
        <v>2011</v>
      </c>
    </row>
    <row r="19" spans="3:8" x14ac:dyDescent="0.25">
      <c r="D19" s="73">
        <v>2008</v>
      </c>
      <c r="E19" s="73">
        <v>2009</v>
      </c>
      <c r="F19" s="73">
        <v>2010</v>
      </c>
      <c r="G19" s="73">
        <v>2011</v>
      </c>
      <c r="H19" s="73">
        <v>2012</v>
      </c>
    </row>
    <row r="20" spans="3:8" x14ac:dyDescent="0.25">
      <c r="C20" s="73" t="s">
        <v>1397</v>
      </c>
      <c r="D20" s="8">
        <v>15</v>
      </c>
      <c r="E20" s="8">
        <v>15</v>
      </c>
      <c r="F20" s="8">
        <v>29</v>
      </c>
      <c r="G20" s="8">
        <v>19</v>
      </c>
      <c r="H20" s="8">
        <v>45</v>
      </c>
    </row>
    <row r="21" spans="3:8" x14ac:dyDescent="0.25">
      <c r="C21" s="73" t="s">
        <v>1398</v>
      </c>
      <c r="D21" s="8">
        <v>47</v>
      </c>
      <c r="E21" s="8">
        <v>29</v>
      </c>
      <c r="F21" s="8">
        <v>42</v>
      </c>
      <c r="G21" s="8">
        <v>44</v>
      </c>
      <c r="H21" s="8">
        <v>31</v>
      </c>
    </row>
    <row r="22" spans="3:8" x14ac:dyDescent="0.25">
      <c r="C22" s="73" t="s">
        <v>1399</v>
      </c>
      <c r="D22" s="8">
        <v>17</v>
      </c>
      <c r="E22" s="8">
        <v>50</v>
      </c>
      <c r="F22" s="8">
        <v>38</v>
      </c>
      <c r="G22" s="8">
        <v>21</v>
      </c>
      <c r="H22" s="8">
        <v>34</v>
      </c>
    </row>
    <row r="23" spans="3:8" x14ac:dyDescent="0.25">
      <c r="C23" s="73" t="s">
        <v>1400</v>
      </c>
      <c r="D23" s="8">
        <v>11</v>
      </c>
      <c r="E23" s="8">
        <v>24</v>
      </c>
      <c r="F23" s="8">
        <v>23</v>
      </c>
      <c r="G23" s="8">
        <v>13</v>
      </c>
      <c r="H23" s="8">
        <v>47</v>
      </c>
    </row>
    <row r="24" spans="3:8" x14ac:dyDescent="0.25">
      <c r="C24" s="73" t="s">
        <v>1401</v>
      </c>
      <c r="D24" s="8">
        <v>23</v>
      </c>
      <c r="E24" s="8">
        <v>11</v>
      </c>
      <c r="F24" s="8">
        <v>15</v>
      </c>
      <c r="G24" s="8">
        <v>25</v>
      </c>
      <c r="H24" s="8">
        <v>48</v>
      </c>
    </row>
    <row r="25" spans="3:8" x14ac:dyDescent="0.25">
      <c r="C25" s="73" t="s">
        <v>1402</v>
      </c>
      <c r="D25" s="8">
        <v>45</v>
      </c>
      <c r="E25" s="8">
        <v>48</v>
      </c>
      <c r="F25" s="8">
        <v>17</v>
      </c>
      <c r="G25" s="8">
        <v>27</v>
      </c>
      <c r="H25" s="8">
        <v>25</v>
      </c>
    </row>
  </sheetData>
  <conditionalFormatting sqref="D5:E13">
    <cfRule type="expression" dxfId="4" priority="4">
      <formula>D5=TRUE</formula>
    </cfRule>
  </conditionalFormatting>
  <dataValidations count="2">
    <dataValidation type="list" allowBlank="1" showInputMessage="1" showErrorMessage="1" sqref="D17" xr:uid="{00000000-0002-0000-9000-000000000000}">
      <formula1>$D$19:$H$19</formula1>
    </dataValidation>
    <dataValidation type="list" allowBlank="1" showInputMessage="1" showErrorMessage="1" sqref="D16" xr:uid="{00000000-0002-0000-9000-000001000000}">
      <formula1>$C$20:$C$25</formula1>
    </dataValidation>
  </dataValidations>
  <pageMargins left="0.7" right="0.7" top="0.75" bottom="0.75" header="0.3" footer="0.3"/>
  <pageSetup orientation="portrait"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44">
    <tabColor rgb="FF0000FF"/>
  </sheetPr>
  <dimension ref="A1:G16"/>
  <sheetViews>
    <sheetView workbookViewId="0">
      <selection activeCell="D1" sqref="D1"/>
    </sheetView>
  </sheetViews>
  <sheetFormatPr defaultColWidth="9.140625" defaultRowHeight="15" x14ac:dyDescent="0.25"/>
  <cols>
    <col min="1" max="1" width="12.85546875" bestFit="1" customWidth="1"/>
    <col min="2" max="2" width="9.85546875" bestFit="1" customWidth="1"/>
    <col min="3" max="3" width="5" customWidth="1"/>
    <col min="6" max="6" width="2.28515625" customWidth="1"/>
    <col min="7" max="7" width="10.7109375" bestFit="1" customWidth="1"/>
  </cols>
  <sheetData>
    <row r="1" spans="1:7" ht="30" x14ac:dyDescent="0.25">
      <c r="A1" s="342" t="s">
        <v>1159</v>
      </c>
      <c r="B1" s="342"/>
    </row>
    <row r="4" spans="1:7" x14ac:dyDescent="0.25">
      <c r="A4" s="273" t="s">
        <v>0</v>
      </c>
      <c r="B4" s="273" t="s">
        <v>465</v>
      </c>
      <c r="G4" s="247" t="s">
        <v>1160</v>
      </c>
    </row>
    <row r="5" spans="1:7" x14ac:dyDescent="0.25">
      <c r="A5" s="274">
        <v>40244</v>
      </c>
      <c r="B5" s="274" t="str">
        <f ca="1">CHOOSE(INT(RAND()*3+1),"Jo","Sioux","Mary")</f>
        <v>Sioux</v>
      </c>
      <c r="D5" s="8"/>
      <c r="E5" s="8"/>
      <c r="G5" s="7">
        <v>40249</v>
      </c>
    </row>
    <row r="6" spans="1:7" x14ac:dyDescent="0.25">
      <c r="A6" s="274">
        <v>40245</v>
      </c>
      <c r="B6" s="274" t="str">
        <f t="shared" ref="B6:B16" ca="1" si="0">CHOOSE(INT(RAND()*3+1),"Jo","Sioux","Mary")</f>
        <v>Sioux</v>
      </c>
      <c r="D6" s="8"/>
      <c r="E6" s="8"/>
      <c r="G6" s="7"/>
    </row>
    <row r="7" spans="1:7" x14ac:dyDescent="0.25">
      <c r="A7" s="274">
        <v>40246</v>
      </c>
      <c r="B7" s="274" t="str">
        <f t="shared" ca="1" si="0"/>
        <v>Sioux</v>
      </c>
      <c r="D7" s="8"/>
      <c r="E7" s="8"/>
      <c r="G7" s="8"/>
    </row>
    <row r="8" spans="1:7" x14ac:dyDescent="0.25">
      <c r="A8" s="274">
        <v>40247</v>
      </c>
      <c r="B8" s="274" t="str">
        <f t="shared" ca="1" si="0"/>
        <v>Jo</v>
      </c>
      <c r="D8" s="8"/>
      <c r="E8" s="8"/>
      <c r="G8" s="8"/>
    </row>
    <row r="9" spans="1:7" x14ac:dyDescent="0.25">
      <c r="A9" s="274">
        <v>40248</v>
      </c>
      <c r="B9" s="274" t="str">
        <f t="shared" ca="1" si="0"/>
        <v>Jo</v>
      </c>
      <c r="D9" s="8"/>
      <c r="E9" s="8"/>
      <c r="G9" s="8"/>
    </row>
    <row r="10" spans="1:7" x14ac:dyDescent="0.25">
      <c r="A10" s="274">
        <v>40249</v>
      </c>
      <c r="B10" s="274" t="str">
        <f t="shared" ca="1" si="0"/>
        <v>Sioux</v>
      </c>
      <c r="D10" s="8"/>
      <c r="E10" s="8"/>
      <c r="G10" s="8"/>
    </row>
    <row r="11" spans="1:7" x14ac:dyDescent="0.25">
      <c r="A11" s="274">
        <v>40250</v>
      </c>
      <c r="B11" s="274" t="str">
        <f t="shared" ca="1" si="0"/>
        <v>Sioux</v>
      </c>
      <c r="D11" s="8"/>
      <c r="E11" s="8"/>
      <c r="G11" s="8"/>
    </row>
    <row r="12" spans="1:7" x14ac:dyDescent="0.25">
      <c r="A12" s="274">
        <v>40251</v>
      </c>
      <c r="B12" s="274" t="str">
        <f t="shared" ca="1" si="0"/>
        <v>Jo</v>
      </c>
      <c r="D12" s="8"/>
      <c r="E12" s="8"/>
    </row>
    <row r="13" spans="1:7" x14ac:dyDescent="0.25">
      <c r="A13" s="274">
        <v>40252</v>
      </c>
      <c r="B13" s="274" t="str">
        <f t="shared" ca="1" si="0"/>
        <v>Mary</v>
      </c>
      <c r="D13" s="8"/>
      <c r="E13" s="8"/>
    </row>
    <row r="14" spans="1:7" x14ac:dyDescent="0.25">
      <c r="A14" s="274">
        <v>40253</v>
      </c>
      <c r="B14" s="274" t="str">
        <f t="shared" ca="1" si="0"/>
        <v>Mary</v>
      </c>
      <c r="D14" s="8"/>
      <c r="E14" s="8"/>
    </row>
    <row r="15" spans="1:7" x14ac:dyDescent="0.25">
      <c r="A15" s="274">
        <v>40254</v>
      </c>
      <c r="B15" s="274" t="str">
        <f t="shared" ca="1" si="0"/>
        <v>Mary</v>
      </c>
      <c r="D15" s="8"/>
      <c r="E15" s="8"/>
    </row>
    <row r="16" spans="1:7" x14ac:dyDescent="0.25">
      <c r="A16" s="274">
        <v>40255</v>
      </c>
      <c r="B16" s="274" t="str">
        <f t="shared" ca="1" si="0"/>
        <v>Sioux</v>
      </c>
      <c r="D16" s="8"/>
      <c r="E16" s="8"/>
    </row>
  </sheetData>
  <conditionalFormatting sqref="D5:E16">
    <cfRule type="expression" dxfId="3" priority="1">
      <formula>D5=TRUE</formula>
    </cfRule>
  </conditionalFormatting>
  <pageMargins left="0.7" right="0.7" top="0.75" bottom="0.75" header="0.3" footer="0.3"/>
  <pageSetup orientation="portrait"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56">
    <tabColor rgb="FF0000FF"/>
  </sheetPr>
  <dimension ref="A1:F14"/>
  <sheetViews>
    <sheetView workbookViewId="0">
      <selection activeCell="B2" sqref="B2:E14"/>
    </sheetView>
  </sheetViews>
  <sheetFormatPr defaultRowHeight="15" x14ac:dyDescent="0.25"/>
  <sheetData>
    <row r="1" spans="1:6" x14ac:dyDescent="0.25">
      <c r="A1" s="5" t="s">
        <v>397</v>
      </c>
      <c r="B1" s="5" t="s">
        <v>37</v>
      </c>
      <c r="C1" s="5" t="s">
        <v>37</v>
      </c>
      <c r="D1" s="5" t="s">
        <v>37</v>
      </c>
      <c r="E1" s="5" t="s">
        <v>37</v>
      </c>
      <c r="F1" s="27"/>
    </row>
    <row r="2" spans="1:6" x14ac:dyDescent="0.25">
      <c r="A2" s="8" t="s">
        <v>134</v>
      </c>
      <c r="B2" s="8">
        <v>80</v>
      </c>
      <c r="C2" s="8">
        <v>53</v>
      </c>
      <c r="D2" s="8">
        <v>96</v>
      </c>
      <c r="E2" s="8">
        <v>91</v>
      </c>
    </row>
    <row r="3" spans="1:6" x14ac:dyDescent="0.25">
      <c r="A3" s="8" t="s">
        <v>134</v>
      </c>
      <c r="B3" s="8"/>
      <c r="C3" s="8">
        <v>79</v>
      </c>
      <c r="D3" s="8">
        <v>128</v>
      </c>
      <c r="E3" s="8">
        <v>98</v>
      </c>
    </row>
    <row r="4" spans="1:6" x14ac:dyDescent="0.25">
      <c r="A4" s="8" t="s">
        <v>784</v>
      </c>
      <c r="B4" s="8">
        <v>72</v>
      </c>
      <c r="C4" s="8">
        <v>54</v>
      </c>
      <c r="D4" s="8">
        <v>129</v>
      </c>
      <c r="E4" s="8">
        <v>15</v>
      </c>
    </row>
    <row r="5" spans="1:6" x14ac:dyDescent="0.25">
      <c r="A5" s="8" t="s">
        <v>784</v>
      </c>
      <c r="B5" s="8">
        <v>61</v>
      </c>
      <c r="C5" s="8">
        <v>125</v>
      </c>
      <c r="D5" s="8"/>
      <c r="E5" s="8">
        <v>94</v>
      </c>
    </row>
    <row r="6" spans="1:6" x14ac:dyDescent="0.25">
      <c r="A6" s="8" t="s">
        <v>1215</v>
      </c>
      <c r="B6" s="8">
        <v>12</v>
      </c>
      <c r="C6" s="8">
        <v>112</v>
      </c>
      <c r="D6" s="8">
        <v>127</v>
      </c>
      <c r="E6" s="8">
        <v>9</v>
      </c>
    </row>
    <row r="7" spans="1:6" x14ac:dyDescent="0.25">
      <c r="A7" s="8" t="s">
        <v>1216</v>
      </c>
      <c r="B7" s="8">
        <v>121</v>
      </c>
      <c r="C7" s="8"/>
      <c r="D7" s="8">
        <v>95</v>
      </c>
      <c r="E7" s="8">
        <v>6</v>
      </c>
    </row>
    <row r="8" spans="1:6" x14ac:dyDescent="0.25">
      <c r="A8" s="8" t="s">
        <v>7</v>
      </c>
      <c r="B8" s="8">
        <v>96</v>
      </c>
      <c r="C8" s="8">
        <v>17</v>
      </c>
      <c r="D8" s="8">
        <v>125</v>
      </c>
      <c r="E8" s="8">
        <v>63</v>
      </c>
    </row>
    <row r="9" spans="1:6" x14ac:dyDescent="0.25">
      <c r="A9" s="8" t="s">
        <v>1216</v>
      </c>
      <c r="B9" s="8">
        <v>5</v>
      </c>
      <c r="C9" s="8">
        <v>111</v>
      </c>
      <c r="D9" s="8">
        <v>75</v>
      </c>
      <c r="E9" s="8">
        <v>127</v>
      </c>
    </row>
    <row r="10" spans="1:6" x14ac:dyDescent="0.25">
      <c r="A10" s="8" t="s">
        <v>7</v>
      </c>
      <c r="B10" s="8">
        <v>94</v>
      </c>
      <c r="C10" s="8">
        <v>57</v>
      </c>
      <c r="D10" s="8"/>
      <c r="E10" s="8">
        <v>67</v>
      </c>
    </row>
    <row r="11" spans="1:6" x14ac:dyDescent="0.25">
      <c r="A11" s="8" t="s">
        <v>134</v>
      </c>
      <c r="B11" s="8">
        <v>76</v>
      </c>
      <c r="C11" s="8">
        <v>75</v>
      </c>
      <c r="D11" s="8">
        <v>71</v>
      </c>
      <c r="E11" s="8">
        <v>14</v>
      </c>
    </row>
    <row r="12" spans="1:6" x14ac:dyDescent="0.25">
      <c r="A12" s="8" t="s">
        <v>1215</v>
      </c>
      <c r="B12" s="8">
        <v>17</v>
      </c>
      <c r="C12" s="8"/>
      <c r="D12" s="8">
        <v>87</v>
      </c>
      <c r="E12" s="8">
        <v>94</v>
      </c>
    </row>
    <row r="13" spans="1:6" x14ac:dyDescent="0.25">
      <c r="A13" s="8" t="s">
        <v>1215</v>
      </c>
      <c r="B13" s="8">
        <v>5</v>
      </c>
      <c r="C13" s="8">
        <v>64</v>
      </c>
      <c r="D13" s="8">
        <v>95</v>
      </c>
      <c r="E13" s="8"/>
    </row>
    <row r="14" spans="1:6" x14ac:dyDescent="0.25">
      <c r="A14" s="8" t="s">
        <v>7</v>
      </c>
      <c r="B14" s="8"/>
      <c r="C14" s="8">
        <v>51</v>
      </c>
      <c r="D14" s="8">
        <v>62</v>
      </c>
      <c r="E14" s="8">
        <v>68</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74">
    <tabColor theme="9" tint="-0.249977111117893"/>
  </sheetPr>
  <dimension ref="A1:B22"/>
  <sheetViews>
    <sheetView zoomScaleNormal="100" workbookViewId="0">
      <selection activeCell="B16" sqref="B16"/>
    </sheetView>
  </sheetViews>
  <sheetFormatPr defaultRowHeight="15" x14ac:dyDescent="0.25"/>
  <cols>
    <col min="2" max="2" width="93.42578125" customWidth="1"/>
    <col min="258" max="258" width="93.42578125" customWidth="1"/>
    <col min="514" max="514" width="93.42578125" customWidth="1"/>
    <col min="770" max="770" width="93.42578125" customWidth="1"/>
    <col min="1026" max="1026" width="93.42578125" customWidth="1"/>
    <col min="1282" max="1282" width="93.42578125" customWidth="1"/>
    <col min="1538" max="1538" width="93.42578125" customWidth="1"/>
    <col min="1794" max="1794" width="93.42578125" customWidth="1"/>
    <col min="2050" max="2050" width="93.42578125" customWidth="1"/>
    <col min="2306" max="2306" width="93.42578125" customWidth="1"/>
    <col min="2562" max="2562" width="93.42578125" customWidth="1"/>
    <col min="2818" max="2818" width="93.42578125" customWidth="1"/>
    <col min="3074" max="3074" width="93.42578125" customWidth="1"/>
    <col min="3330" max="3330" width="93.42578125" customWidth="1"/>
    <col min="3586" max="3586" width="93.42578125" customWidth="1"/>
    <col min="3842" max="3842" width="93.42578125" customWidth="1"/>
    <col min="4098" max="4098" width="93.42578125" customWidth="1"/>
    <col min="4354" max="4354" width="93.42578125" customWidth="1"/>
    <col min="4610" max="4610" width="93.42578125" customWidth="1"/>
    <col min="4866" max="4866" width="93.42578125" customWidth="1"/>
    <col min="5122" max="5122" width="93.42578125" customWidth="1"/>
    <col min="5378" max="5378" width="93.42578125" customWidth="1"/>
    <col min="5634" max="5634" width="93.42578125" customWidth="1"/>
    <col min="5890" max="5890" width="93.42578125" customWidth="1"/>
    <col min="6146" max="6146" width="93.42578125" customWidth="1"/>
    <col min="6402" max="6402" width="93.42578125" customWidth="1"/>
    <col min="6658" max="6658" width="93.42578125" customWidth="1"/>
    <col min="6914" max="6914" width="93.42578125" customWidth="1"/>
    <col min="7170" max="7170" width="93.42578125" customWidth="1"/>
    <col min="7426" max="7426" width="93.42578125" customWidth="1"/>
    <col min="7682" max="7682" width="93.42578125" customWidth="1"/>
    <col min="7938" max="7938" width="93.42578125" customWidth="1"/>
    <col min="8194" max="8194" width="93.42578125" customWidth="1"/>
    <col min="8450" max="8450" width="93.42578125" customWidth="1"/>
    <col min="8706" max="8706" width="93.42578125" customWidth="1"/>
    <col min="8962" max="8962" width="93.42578125" customWidth="1"/>
    <col min="9218" max="9218" width="93.42578125" customWidth="1"/>
    <col min="9474" max="9474" width="93.42578125" customWidth="1"/>
    <col min="9730" max="9730" width="93.42578125" customWidth="1"/>
    <col min="9986" max="9986" width="93.42578125" customWidth="1"/>
    <col min="10242" max="10242" width="93.42578125" customWidth="1"/>
    <col min="10498" max="10498" width="93.42578125" customWidth="1"/>
    <col min="10754" max="10754" width="93.42578125" customWidth="1"/>
    <col min="11010" max="11010" width="93.42578125" customWidth="1"/>
    <col min="11266" max="11266" width="93.42578125" customWidth="1"/>
    <col min="11522" max="11522" width="93.42578125" customWidth="1"/>
    <col min="11778" max="11778" width="93.42578125" customWidth="1"/>
    <col min="12034" max="12034" width="93.42578125" customWidth="1"/>
    <col min="12290" max="12290" width="93.42578125" customWidth="1"/>
    <col min="12546" max="12546" width="93.42578125" customWidth="1"/>
    <col min="12802" max="12802" width="93.42578125" customWidth="1"/>
    <col min="13058" max="13058" width="93.42578125" customWidth="1"/>
    <col min="13314" max="13314" width="93.42578125" customWidth="1"/>
    <col min="13570" max="13570" width="93.42578125" customWidth="1"/>
    <col min="13826" max="13826" width="93.42578125" customWidth="1"/>
    <col min="14082" max="14082" width="93.42578125" customWidth="1"/>
    <col min="14338" max="14338" width="93.42578125" customWidth="1"/>
    <col min="14594" max="14594" width="93.42578125" customWidth="1"/>
    <col min="14850" max="14850" width="93.42578125" customWidth="1"/>
    <col min="15106" max="15106" width="93.42578125" customWidth="1"/>
    <col min="15362" max="15362" width="93.42578125" customWidth="1"/>
    <col min="15618" max="15618" width="93.42578125" customWidth="1"/>
    <col min="15874" max="15874" width="93.42578125" customWidth="1"/>
    <col min="16130" max="16130" width="93.42578125" customWidth="1"/>
  </cols>
  <sheetData>
    <row r="1" spans="1:2" x14ac:dyDescent="0.25">
      <c r="A1">
        <f>ROWS(A$1:A1)</f>
        <v>1</v>
      </c>
      <c r="B1" s="227" t="s">
        <v>1515</v>
      </c>
    </row>
    <row r="2" spans="1:2" x14ac:dyDescent="0.25">
      <c r="A2">
        <f>ROWS(A$1:A2)</f>
        <v>2</v>
      </c>
      <c r="B2" s="227" t="s">
        <v>1516</v>
      </c>
    </row>
    <row r="3" spans="1:2" x14ac:dyDescent="0.25">
      <c r="A3">
        <f>ROWS(A$1:A3)</f>
        <v>3</v>
      </c>
      <c r="B3" t="s">
        <v>1517</v>
      </c>
    </row>
    <row r="4" spans="1:2" x14ac:dyDescent="0.25">
      <c r="A4">
        <f>ROWS(A$1:A4)</f>
        <v>4</v>
      </c>
      <c r="B4" t="s">
        <v>1518</v>
      </c>
    </row>
    <row r="5" spans="1:2" x14ac:dyDescent="0.25">
      <c r="A5">
        <f>ROWS(A$1:A5)</f>
        <v>5</v>
      </c>
      <c r="B5" t="s">
        <v>1519</v>
      </c>
    </row>
    <row r="6" spans="1:2" x14ac:dyDescent="0.25">
      <c r="A6">
        <f>ROWS(A$1:A6)</f>
        <v>6</v>
      </c>
      <c r="B6" t="s">
        <v>1520</v>
      </c>
    </row>
    <row r="7" spans="1:2" x14ac:dyDescent="0.25">
      <c r="A7">
        <f>ROWS(A$1:A7)</f>
        <v>7</v>
      </c>
      <c r="B7" t="s">
        <v>1521</v>
      </c>
    </row>
    <row r="8" spans="1:2" x14ac:dyDescent="0.25">
      <c r="A8">
        <f>ROWS(A$1:A8)</f>
        <v>8</v>
      </c>
      <c r="B8" t="s">
        <v>1522</v>
      </c>
    </row>
    <row r="9" spans="1:2" x14ac:dyDescent="0.25">
      <c r="A9">
        <f>ROWS(A$1:A9)</f>
        <v>9</v>
      </c>
      <c r="B9" t="s">
        <v>1523</v>
      </c>
    </row>
    <row r="10" spans="1:2" x14ac:dyDescent="0.25">
      <c r="A10">
        <f>ROWS(A$1:A10)</f>
        <v>10</v>
      </c>
      <c r="B10" t="s">
        <v>1524</v>
      </c>
    </row>
    <row r="11" spans="1:2" x14ac:dyDescent="0.25">
      <c r="A11">
        <f>ROWS(A$1:A11)</f>
        <v>11</v>
      </c>
      <c r="B11" t="s">
        <v>1525</v>
      </c>
    </row>
    <row r="12" spans="1:2" x14ac:dyDescent="0.25">
      <c r="A12">
        <f>ROWS(A$1:A12)</f>
        <v>12</v>
      </c>
      <c r="B12" t="s">
        <v>1526</v>
      </c>
    </row>
    <row r="13" spans="1:2" x14ac:dyDescent="0.25">
      <c r="A13">
        <f>ROWS(A$1:A13)</f>
        <v>13</v>
      </c>
      <c r="B13" t="s">
        <v>1527</v>
      </c>
    </row>
    <row r="14" spans="1:2" x14ac:dyDescent="0.25">
      <c r="A14">
        <f>ROWS(A$1:A14)</f>
        <v>14</v>
      </c>
      <c r="B14" t="s">
        <v>1528</v>
      </c>
    </row>
    <row r="15" spans="1:2" x14ac:dyDescent="0.25">
      <c r="A15">
        <f>ROWS(A$1:A15)</f>
        <v>15</v>
      </c>
      <c r="B15" t="s">
        <v>1529</v>
      </c>
    </row>
    <row r="16" spans="1:2" x14ac:dyDescent="0.25">
      <c r="A16">
        <f>ROWS(A$1:A16)</f>
        <v>16</v>
      </c>
      <c r="B16" t="s">
        <v>1530</v>
      </c>
    </row>
    <row r="17" spans="1:2" x14ac:dyDescent="0.25">
      <c r="A17">
        <f>ROWS(A$1:A17)</f>
        <v>17</v>
      </c>
      <c r="B17" t="s">
        <v>1531</v>
      </c>
    </row>
    <row r="18" spans="1:2" x14ac:dyDescent="0.25">
      <c r="A18">
        <f>ROWS(A$1:A18)</f>
        <v>18</v>
      </c>
      <c r="B18" t="s">
        <v>1532</v>
      </c>
    </row>
    <row r="19" spans="1:2" x14ac:dyDescent="0.25">
      <c r="A19">
        <f>ROWS(A$1:A19)</f>
        <v>19</v>
      </c>
      <c r="B19" t="s">
        <v>1533</v>
      </c>
    </row>
    <row r="20" spans="1:2" x14ac:dyDescent="0.25">
      <c r="A20">
        <f>ROWS(A$1:A20)</f>
        <v>20</v>
      </c>
      <c r="B20" t="s">
        <v>1534</v>
      </c>
    </row>
    <row r="21" spans="1:2" x14ac:dyDescent="0.25">
      <c r="A21">
        <f>ROWS(A$1:A21)</f>
        <v>21</v>
      </c>
      <c r="B21" t="s">
        <v>1535</v>
      </c>
    </row>
    <row r="22" spans="1:2" x14ac:dyDescent="0.25">
      <c r="A22">
        <f>ROWS(A$1:A22)</f>
        <v>22</v>
      </c>
      <c r="B22" t="s">
        <v>1536</v>
      </c>
    </row>
  </sheetData>
  <pageMargins left="0.7" right="0.7" top="0.75" bottom="0.75" header="0.3" footer="0.3"/>
  <pageSetup orientation="portrait"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75">
    <tabColor theme="9" tint="-0.249977111117893"/>
  </sheetPr>
  <dimension ref="A1:K38"/>
  <sheetViews>
    <sheetView zoomScale="85" zoomScaleNormal="85" workbookViewId="0">
      <selection activeCell="B16" sqref="B16"/>
    </sheetView>
  </sheetViews>
  <sheetFormatPr defaultColWidth="9.140625" defaultRowHeight="15" x14ac:dyDescent="0.25"/>
  <cols>
    <col min="1" max="1" width="3.7109375" style="408" bestFit="1" customWidth="1"/>
    <col min="2" max="4" width="43.42578125" style="408" customWidth="1"/>
    <col min="5" max="5" width="2.5703125" customWidth="1"/>
    <col min="6" max="6" width="2.7109375" customWidth="1"/>
    <col min="7" max="7" width="31.5703125" style="408" customWidth="1"/>
    <col min="8" max="8" width="6.28515625" style="408" bestFit="1" customWidth="1"/>
    <col min="9" max="256" width="9.140625" style="408"/>
    <col min="257" max="257" width="3.7109375" style="408" bestFit="1" customWidth="1"/>
    <col min="258" max="260" width="43.42578125" style="408" customWidth="1"/>
    <col min="261" max="261" width="2.5703125" style="408" customWidth="1"/>
    <col min="262" max="262" width="2.7109375" style="408" customWidth="1"/>
    <col min="263" max="263" width="31.5703125" style="408" customWidth="1"/>
    <col min="264" max="264" width="6.28515625" style="408" bestFit="1" customWidth="1"/>
    <col min="265" max="512" width="9.140625" style="408"/>
    <col min="513" max="513" width="3.7109375" style="408" bestFit="1" customWidth="1"/>
    <col min="514" max="516" width="43.42578125" style="408" customWidth="1"/>
    <col min="517" max="517" width="2.5703125" style="408" customWidth="1"/>
    <col min="518" max="518" width="2.7109375" style="408" customWidth="1"/>
    <col min="519" max="519" width="31.5703125" style="408" customWidth="1"/>
    <col min="520" max="520" width="6.28515625" style="408" bestFit="1" customWidth="1"/>
    <col min="521" max="768" width="9.140625" style="408"/>
    <col min="769" max="769" width="3.7109375" style="408" bestFit="1" customWidth="1"/>
    <col min="770" max="772" width="43.42578125" style="408" customWidth="1"/>
    <col min="773" max="773" width="2.5703125" style="408" customWidth="1"/>
    <col min="774" max="774" width="2.7109375" style="408" customWidth="1"/>
    <col min="775" max="775" width="31.5703125" style="408" customWidth="1"/>
    <col min="776" max="776" width="6.28515625" style="408" bestFit="1" customWidth="1"/>
    <col min="777" max="1024" width="9.140625" style="408"/>
    <col min="1025" max="1025" width="3.7109375" style="408" bestFit="1" customWidth="1"/>
    <col min="1026" max="1028" width="43.42578125" style="408" customWidth="1"/>
    <col min="1029" max="1029" width="2.5703125" style="408" customWidth="1"/>
    <col min="1030" max="1030" width="2.7109375" style="408" customWidth="1"/>
    <col min="1031" max="1031" width="31.5703125" style="408" customWidth="1"/>
    <col min="1032" max="1032" width="6.28515625" style="408" bestFit="1" customWidth="1"/>
    <col min="1033" max="1280" width="9.140625" style="408"/>
    <col min="1281" max="1281" width="3.7109375" style="408" bestFit="1" customWidth="1"/>
    <col min="1282" max="1284" width="43.42578125" style="408" customWidth="1"/>
    <col min="1285" max="1285" width="2.5703125" style="408" customWidth="1"/>
    <col min="1286" max="1286" width="2.7109375" style="408" customWidth="1"/>
    <col min="1287" max="1287" width="31.5703125" style="408" customWidth="1"/>
    <col min="1288" max="1288" width="6.28515625" style="408" bestFit="1" customWidth="1"/>
    <col min="1289" max="1536" width="9.140625" style="408"/>
    <col min="1537" max="1537" width="3.7109375" style="408" bestFit="1" customWidth="1"/>
    <col min="1538" max="1540" width="43.42578125" style="408" customWidth="1"/>
    <col min="1541" max="1541" width="2.5703125" style="408" customWidth="1"/>
    <col min="1542" max="1542" width="2.7109375" style="408" customWidth="1"/>
    <col min="1543" max="1543" width="31.5703125" style="408" customWidth="1"/>
    <col min="1544" max="1544" width="6.28515625" style="408" bestFit="1" customWidth="1"/>
    <col min="1545" max="1792" width="9.140625" style="408"/>
    <col min="1793" max="1793" width="3.7109375" style="408" bestFit="1" customWidth="1"/>
    <col min="1794" max="1796" width="43.42578125" style="408" customWidth="1"/>
    <col min="1797" max="1797" width="2.5703125" style="408" customWidth="1"/>
    <col min="1798" max="1798" width="2.7109375" style="408" customWidth="1"/>
    <col min="1799" max="1799" width="31.5703125" style="408" customWidth="1"/>
    <col min="1800" max="1800" width="6.28515625" style="408" bestFit="1" customWidth="1"/>
    <col min="1801" max="2048" width="9.140625" style="408"/>
    <col min="2049" max="2049" width="3.7109375" style="408" bestFit="1" customWidth="1"/>
    <col min="2050" max="2052" width="43.42578125" style="408" customWidth="1"/>
    <col min="2053" max="2053" width="2.5703125" style="408" customWidth="1"/>
    <col min="2054" max="2054" width="2.7109375" style="408" customWidth="1"/>
    <col min="2055" max="2055" width="31.5703125" style="408" customWidth="1"/>
    <col min="2056" max="2056" width="6.28515625" style="408" bestFit="1" customWidth="1"/>
    <col min="2057" max="2304" width="9.140625" style="408"/>
    <col min="2305" max="2305" width="3.7109375" style="408" bestFit="1" customWidth="1"/>
    <col min="2306" max="2308" width="43.42578125" style="408" customWidth="1"/>
    <col min="2309" max="2309" width="2.5703125" style="408" customWidth="1"/>
    <col min="2310" max="2310" width="2.7109375" style="408" customWidth="1"/>
    <col min="2311" max="2311" width="31.5703125" style="408" customWidth="1"/>
    <col min="2312" max="2312" width="6.28515625" style="408" bestFit="1" customWidth="1"/>
    <col min="2313" max="2560" width="9.140625" style="408"/>
    <col min="2561" max="2561" width="3.7109375" style="408" bestFit="1" customWidth="1"/>
    <col min="2562" max="2564" width="43.42578125" style="408" customWidth="1"/>
    <col min="2565" max="2565" width="2.5703125" style="408" customWidth="1"/>
    <col min="2566" max="2566" width="2.7109375" style="408" customWidth="1"/>
    <col min="2567" max="2567" width="31.5703125" style="408" customWidth="1"/>
    <col min="2568" max="2568" width="6.28515625" style="408" bestFit="1" customWidth="1"/>
    <col min="2569" max="2816" width="9.140625" style="408"/>
    <col min="2817" max="2817" width="3.7109375" style="408" bestFit="1" customWidth="1"/>
    <col min="2818" max="2820" width="43.42578125" style="408" customWidth="1"/>
    <col min="2821" max="2821" width="2.5703125" style="408" customWidth="1"/>
    <col min="2822" max="2822" width="2.7109375" style="408" customWidth="1"/>
    <col min="2823" max="2823" width="31.5703125" style="408" customWidth="1"/>
    <col min="2824" max="2824" width="6.28515625" style="408" bestFit="1" customWidth="1"/>
    <col min="2825" max="3072" width="9.140625" style="408"/>
    <col min="3073" max="3073" width="3.7109375" style="408" bestFit="1" customWidth="1"/>
    <col min="3074" max="3076" width="43.42578125" style="408" customWidth="1"/>
    <col min="3077" max="3077" width="2.5703125" style="408" customWidth="1"/>
    <col min="3078" max="3078" width="2.7109375" style="408" customWidth="1"/>
    <col min="3079" max="3079" width="31.5703125" style="408" customWidth="1"/>
    <col min="3080" max="3080" width="6.28515625" style="408" bestFit="1" customWidth="1"/>
    <col min="3081" max="3328" width="9.140625" style="408"/>
    <col min="3329" max="3329" width="3.7109375" style="408" bestFit="1" customWidth="1"/>
    <col min="3330" max="3332" width="43.42578125" style="408" customWidth="1"/>
    <col min="3333" max="3333" width="2.5703125" style="408" customWidth="1"/>
    <col min="3334" max="3334" width="2.7109375" style="408" customWidth="1"/>
    <col min="3335" max="3335" width="31.5703125" style="408" customWidth="1"/>
    <col min="3336" max="3336" width="6.28515625" style="408" bestFit="1" customWidth="1"/>
    <col min="3337" max="3584" width="9.140625" style="408"/>
    <col min="3585" max="3585" width="3.7109375" style="408" bestFit="1" customWidth="1"/>
    <col min="3586" max="3588" width="43.42578125" style="408" customWidth="1"/>
    <col min="3589" max="3589" width="2.5703125" style="408" customWidth="1"/>
    <col min="3590" max="3590" width="2.7109375" style="408" customWidth="1"/>
    <col min="3591" max="3591" width="31.5703125" style="408" customWidth="1"/>
    <col min="3592" max="3592" width="6.28515625" style="408" bestFit="1" customWidth="1"/>
    <col min="3593" max="3840" width="9.140625" style="408"/>
    <col min="3841" max="3841" width="3.7109375" style="408" bestFit="1" customWidth="1"/>
    <col min="3842" max="3844" width="43.42578125" style="408" customWidth="1"/>
    <col min="3845" max="3845" width="2.5703125" style="408" customWidth="1"/>
    <col min="3846" max="3846" width="2.7109375" style="408" customWidth="1"/>
    <col min="3847" max="3847" width="31.5703125" style="408" customWidth="1"/>
    <col min="3848" max="3848" width="6.28515625" style="408" bestFit="1" customWidth="1"/>
    <col min="3849" max="4096" width="9.140625" style="408"/>
    <col min="4097" max="4097" width="3.7109375" style="408" bestFit="1" customWidth="1"/>
    <col min="4098" max="4100" width="43.42578125" style="408" customWidth="1"/>
    <col min="4101" max="4101" width="2.5703125" style="408" customWidth="1"/>
    <col min="4102" max="4102" width="2.7109375" style="408" customWidth="1"/>
    <col min="4103" max="4103" width="31.5703125" style="408" customWidth="1"/>
    <col min="4104" max="4104" width="6.28515625" style="408" bestFit="1" customWidth="1"/>
    <col min="4105" max="4352" width="9.140625" style="408"/>
    <col min="4353" max="4353" width="3.7109375" style="408" bestFit="1" customWidth="1"/>
    <col min="4354" max="4356" width="43.42578125" style="408" customWidth="1"/>
    <col min="4357" max="4357" width="2.5703125" style="408" customWidth="1"/>
    <col min="4358" max="4358" width="2.7109375" style="408" customWidth="1"/>
    <col min="4359" max="4359" width="31.5703125" style="408" customWidth="1"/>
    <col min="4360" max="4360" width="6.28515625" style="408" bestFit="1" customWidth="1"/>
    <col min="4361" max="4608" width="9.140625" style="408"/>
    <col min="4609" max="4609" width="3.7109375" style="408" bestFit="1" customWidth="1"/>
    <col min="4610" max="4612" width="43.42578125" style="408" customWidth="1"/>
    <col min="4613" max="4613" width="2.5703125" style="408" customWidth="1"/>
    <col min="4614" max="4614" width="2.7109375" style="408" customWidth="1"/>
    <col min="4615" max="4615" width="31.5703125" style="408" customWidth="1"/>
    <col min="4616" max="4616" width="6.28515625" style="408" bestFit="1" customWidth="1"/>
    <col min="4617" max="4864" width="9.140625" style="408"/>
    <col min="4865" max="4865" width="3.7109375" style="408" bestFit="1" customWidth="1"/>
    <col min="4866" max="4868" width="43.42578125" style="408" customWidth="1"/>
    <col min="4869" max="4869" width="2.5703125" style="408" customWidth="1"/>
    <col min="4870" max="4870" width="2.7109375" style="408" customWidth="1"/>
    <col min="4871" max="4871" width="31.5703125" style="408" customWidth="1"/>
    <col min="4872" max="4872" width="6.28515625" style="408" bestFit="1" customWidth="1"/>
    <col min="4873" max="5120" width="9.140625" style="408"/>
    <col min="5121" max="5121" width="3.7109375" style="408" bestFit="1" customWidth="1"/>
    <col min="5122" max="5124" width="43.42578125" style="408" customWidth="1"/>
    <col min="5125" max="5125" width="2.5703125" style="408" customWidth="1"/>
    <col min="5126" max="5126" width="2.7109375" style="408" customWidth="1"/>
    <col min="5127" max="5127" width="31.5703125" style="408" customWidth="1"/>
    <col min="5128" max="5128" width="6.28515625" style="408" bestFit="1" customWidth="1"/>
    <col min="5129" max="5376" width="9.140625" style="408"/>
    <col min="5377" max="5377" width="3.7109375" style="408" bestFit="1" customWidth="1"/>
    <col min="5378" max="5380" width="43.42578125" style="408" customWidth="1"/>
    <col min="5381" max="5381" width="2.5703125" style="408" customWidth="1"/>
    <col min="5382" max="5382" width="2.7109375" style="408" customWidth="1"/>
    <col min="5383" max="5383" width="31.5703125" style="408" customWidth="1"/>
    <col min="5384" max="5384" width="6.28515625" style="408" bestFit="1" customWidth="1"/>
    <col min="5385" max="5632" width="9.140625" style="408"/>
    <col min="5633" max="5633" width="3.7109375" style="408" bestFit="1" customWidth="1"/>
    <col min="5634" max="5636" width="43.42578125" style="408" customWidth="1"/>
    <col min="5637" max="5637" width="2.5703125" style="408" customWidth="1"/>
    <col min="5638" max="5638" width="2.7109375" style="408" customWidth="1"/>
    <col min="5639" max="5639" width="31.5703125" style="408" customWidth="1"/>
    <col min="5640" max="5640" width="6.28515625" style="408" bestFit="1" customWidth="1"/>
    <col min="5641" max="5888" width="9.140625" style="408"/>
    <col min="5889" max="5889" width="3.7109375" style="408" bestFit="1" customWidth="1"/>
    <col min="5890" max="5892" width="43.42578125" style="408" customWidth="1"/>
    <col min="5893" max="5893" width="2.5703125" style="408" customWidth="1"/>
    <col min="5894" max="5894" width="2.7109375" style="408" customWidth="1"/>
    <col min="5895" max="5895" width="31.5703125" style="408" customWidth="1"/>
    <col min="5896" max="5896" width="6.28515625" style="408" bestFit="1" customWidth="1"/>
    <col min="5897" max="6144" width="9.140625" style="408"/>
    <col min="6145" max="6145" width="3.7109375" style="408" bestFit="1" customWidth="1"/>
    <col min="6146" max="6148" width="43.42578125" style="408" customWidth="1"/>
    <col min="6149" max="6149" width="2.5703125" style="408" customWidth="1"/>
    <col min="6150" max="6150" width="2.7109375" style="408" customWidth="1"/>
    <col min="6151" max="6151" width="31.5703125" style="408" customWidth="1"/>
    <col min="6152" max="6152" width="6.28515625" style="408" bestFit="1" customWidth="1"/>
    <col min="6153" max="6400" width="9.140625" style="408"/>
    <col min="6401" max="6401" width="3.7109375" style="408" bestFit="1" customWidth="1"/>
    <col min="6402" max="6404" width="43.42578125" style="408" customWidth="1"/>
    <col min="6405" max="6405" width="2.5703125" style="408" customWidth="1"/>
    <col min="6406" max="6406" width="2.7109375" style="408" customWidth="1"/>
    <col min="6407" max="6407" width="31.5703125" style="408" customWidth="1"/>
    <col min="6408" max="6408" width="6.28515625" style="408" bestFit="1" customWidth="1"/>
    <col min="6409" max="6656" width="9.140625" style="408"/>
    <col min="6657" max="6657" width="3.7109375" style="408" bestFit="1" customWidth="1"/>
    <col min="6658" max="6660" width="43.42578125" style="408" customWidth="1"/>
    <col min="6661" max="6661" width="2.5703125" style="408" customWidth="1"/>
    <col min="6662" max="6662" width="2.7109375" style="408" customWidth="1"/>
    <col min="6663" max="6663" width="31.5703125" style="408" customWidth="1"/>
    <col min="6664" max="6664" width="6.28515625" style="408" bestFit="1" customWidth="1"/>
    <col min="6665" max="6912" width="9.140625" style="408"/>
    <col min="6913" max="6913" width="3.7109375" style="408" bestFit="1" customWidth="1"/>
    <col min="6914" max="6916" width="43.42578125" style="408" customWidth="1"/>
    <col min="6917" max="6917" width="2.5703125" style="408" customWidth="1"/>
    <col min="6918" max="6918" width="2.7109375" style="408" customWidth="1"/>
    <col min="6919" max="6919" width="31.5703125" style="408" customWidth="1"/>
    <col min="6920" max="6920" width="6.28515625" style="408" bestFit="1" customWidth="1"/>
    <col min="6921" max="7168" width="9.140625" style="408"/>
    <col min="7169" max="7169" width="3.7109375" style="408" bestFit="1" customWidth="1"/>
    <col min="7170" max="7172" width="43.42578125" style="408" customWidth="1"/>
    <col min="7173" max="7173" width="2.5703125" style="408" customWidth="1"/>
    <col min="7174" max="7174" width="2.7109375" style="408" customWidth="1"/>
    <col min="7175" max="7175" width="31.5703125" style="408" customWidth="1"/>
    <col min="7176" max="7176" width="6.28515625" style="408" bestFit="1" customWidth="1"/>
    <col min="7177" max="7424" width="9.140625" style="408"/>
    <col min="7425" max="7425" width="3.7109375" style="408" bestFit="1" customWidth="1"/>
    <col min="7426" max="7428" width="43.42578125" style="408" customWidth="1"/>
    <col min="7429" max="7429" width="2.5703125" style="408" customWidth="1"/>
    <col min="7430" max="7430" width="2.7109375" style="408" customWidth="1"/>
    <col min="7431" max="7431" width="31.5703125" style="408" customWidth="1"/>
    <col min="7432" max="7432" width="6.28515625" style="408" bestFit="1" customWidth="1"/>
    <col min="7433" max="7680" width="9.140625" style="408"/>
    <col min="7681" max="7681" width="3.7109375" style="408" bestFit="1" customWidth="1"/>
    <col min="7682" max="7684" width="43.42578125" style="408" customWidth="1"/>
    <col min="7685" max="7685" width="2.5703125" style="408" customWidth="1"/>
    <col min="7686" max="7686" width="2.7109375" style="408" customWidth="1"/>
    <col min="7687" max="7687" width="31.5703125" style="408" customWidth="1"/>
    <col min="7688" max="7688" width="6.28515625" style="408" bestFit="1" customWidth="1"/>
    <col min="7689" max="7936" width="9.140625" style="408"/>
    <col min="7937" max="7937" width="3.7109375" style="408" bestFit="1" customWidth="1"/>
    <col min="7938" max="7940" width="43.42578125" style="408" customWidth="1"/>
    <col min="7941" max="7941" width="2.5703125" style="408" customWidth="1"/>
    <col min="7942" max="7942" width="2.7109375" style="408" customWidth="1"/>
    <col min="7943" max="7943" width="31.5703125" style="408" customWidth="1"/>
    <col min="7944" max="7944" width="6.28515625" style="408" bestFit="1" customWidth="1"/>
    <col min="7945" max="8192" width="9.140625" style="408"/>
    <col min="8193" max="8193" width="3.7109375" style="408" bestFit="1" customWidth="1"/>
    <col min="8194" max="8196" width="43.42578125" style="408" customWidth="1"/>
    <col min="8197" max="8197" width="2.5703125" style="408" customWidth="1"/>
    <col min="8198" max="8198" width="2.7109375" style="408" customWidth="1"/>
    <col min="8199" max="8199" width="31.5703125" style="408" customWidth="1"/>
    <col min="8200" max="8200" width="6.28515625" style="408" bestFit="1" customWidth="1"/>
    <col min="8201" max="8448" width="9.140625" style="408"/>
    <col min="8449" max="8449" width="3.7109375" style="408" bestFit="1" customWidth="1"/>
    <col min="8450" max="8452" width="43.42578125" style="408" customWidth="1"/>
    <col min="8453" max="8453" width="2.5703125" style="408" customWidth="1"/>
    <col min="8454" max="8454" width="2.7109375" style="408" customWidth="1"/>
    <col min="8455" max="8455" width="31.5703125" style="408" customWidth="1"/>
    <col min="8456" max="8456" width="6.28515625" style="408" bestFit="1" customWidth="1"/>
    <col min="8457" max="8704" width="9.140625" style="408"/>
    <col min="8705" max="8705" width="3.7109375" style="408" bestFit="1" customWidth="1"/>
    <col min="8706" max="8708" width="43.42578125" style="408" customWidth="1"/>
    <col min="8709" max="8709" width="2.5703125" style="408" customWidth="1"/>
    <col min="8710" max="8710" width="2.7109375" style="408" customWidth="1"/>
    <col min="8711" max="8711" width="31.5703125" style="408" customWidth="1"/>
    <col min="8712" max="8712" width="6.28515625" style="408" bestFit="1" customWidth="1"/>
    <col min="8713" max="8960" width="9.140625" style="408"/>
    <col min="8961" max="8961" width="3.7109375" style="408" bestFit="1" customWidth="1"/>
    <col min="8962" max="8964" width="43.42578125" style="408" customWidth="1"/>
    <col min="8965" max="8965" width="2.5703125" style="408" customWidth="1"/>
    <col min="8966" max="8966" width="2.7109375" style="408" customWidth="1"/>
    <col min="8967" max="8967" width="31.5703125" style="408" customWidth="1"/>
    <col min="8968" max="8968" width="6.28515625" style="408" bestFit="1" customWidth="1"/>
    <col min="8969" max="9216" width="9.140625" style="408"/>
    <col min="9217" max="9217" width="3.7109375" style="408" bestFit="1" customWidth="1"/>
    <col min="9218" max="9220" width="43.42578125" style="408" customWidth="1"/>
    <col min="9221" max="9221" width="2.5703125" style="408" customWidth="1"/>
    <col min="9222" max="9222" width="2.7109375" style="408" customWidth="1"/>
    <col min="9223" max="9223" width="31.5703125" style="408" customWidth="1"/>
    <col min="9224" max="9224" width="6.28515625" style="408" bestFit="1" customWidth="1"/>
    <col min="9225" max="9472" width="9.140625" style="408"/>
    <col min="9473" max="9473" width="3.7109375" style="408" bestFit="1" customWidth="1"/>
    <col min="9474" max="9476" width="43.42578125" style="408" customWidth="1"/>
    <col min="9477" max="9477" width="2.5703125" style="408" customWidth="1"/>
    <col min="9478" max="9478" width="2.7109375" style="408" customWidth="1"/>
    <col min="9479" max="9479" width="31.5703125" style="408" customWidth="1"/>
    <col min="9480" max="9480" width="6.28515625" style="408" bestFit="1" customWidth="1"/>
    <col min="9481" max="9728" width="9.140625" style="408"/>
    <col min="9729" max="9729" width="3.7109375" style="408" bestFit="1" customWidth="1"/>
    <col min="9730" max="9732" width="43.42578125" style="408" customWidth="1"/>
    <col min="9733" max="9733" width="2.5703125" style="408" customWidth="1"/>
    <col min="9734" max="9734" width="2.7109375" style="408" customWidth="1"/>
    <col min="9735" max="9735" width="31.5703125" style="408" customWidth="1"/>
    <col min="9736" max="9736" width="6.28515625" style="408" bestFit="1" customWidth="1"/>
    <col min="9737" max="9984" width="9.140625" style="408"/>
    <col min="9985" max="9985" width="3.7109375" style="408" bestFit="1" customWidth="1"/>
    <col min="9986" max="9988" width="43.42578125" style="408" customWidth="1"/>
    <col min="9989" max="9989" width="2.5703125" style="408" customWidth="1"/>
    <col min="9990" max="9990" width="2.7109375" style="408" customWidth="1"/>
    <col min="9991" max="9991" width="31.5703125" style="408" customWidth="1"/>
    <col min="9992" max="9992" width="6.28515625" style="408" bestFit="1" customWidth="1"/>
    <col min="9993" max="10240" width="9.140625" style="408"/>
    <col min="10241" max="10241" width="3.7109375" style="408" bestFit="1" customWidth="1"/>
    <col min="10242" max="10244" width="43.42578125" style="408" customWidth="1"/>
    <col min="10245" max="10245" width="2.5703125" style="408" customWidth="1"/>
    <col min="10246" max="10246" width="2.7109375" style="408" customWidth="1"/>
    <col min="10247" max="10247" width="31.5703125" style="408" customWidth="1"/>
    <col min="10248" max="10248" width="6.28515625" style="408" bestFit="1" customWidth="1"/>
    <col min="10249" max="10496" width="9.140625" style="408"/>
    <col min="10497" max="10497" width="3.7109375" style="408" bestFit="1" customWidth="1"/>
    <col min="10498" max="10500" width="43.42578125" style="408" customWidth="1"/>
    <col min="10501" max="10501" width="2.5703125" style="408" customWidth="1"/>
    <col min="10502" max="10502" width="2.7109375" style="408" customWidth="1"/>
    <col min="10503" max="10503" width="31.5703125" style="408" customWidth="1"/>
    <col min="10504" max="10504" width="6.28515625" style="408" bestFit="1" customWidth="1"/>
    <col min="10505" max="10752" width="9.140625" style="408"/>
    <col min="10753" max="10753" width="3.7109375" style="408" bestFit="1" customWidth="1"/>
    <col min="10754" max="10756" width="43.42578125" style="408" customWidth="1"/>
    <col min="10757" max="10757" width="2.5703125" style="408" customWidth="1"/>
    <col min="10758" max="10758" width="2.7109375" style="408" customWidth="1"/>
    <col min="10759" max="10759" width="31.5703125" style="408" customWidth="1"/>
    <col min="10760" max="10760" width="6.28515625" style="408" bestFit="1" customWidth="1"/>
    <col min="10761" max="11008" width="9.140625" style="408"/>
    <col min="11009" max="11009" width="3.7109375" style="408" bestFit="1" customWidth="1"/>
    <col min="11010" max="11012" width="43.42578125" style="408" customWidth="1"/>
    <col min="11013" max="11013" width="2.5703125" style="408" customWidth="1"/>
    <col min="11014" max="11014" width="2.7109375" style="408" customWidth="1"/>
    <col min="11015" max="11015" width="31.5703125" style="408" customWidth="1"/>
    <col min="11016" max="11016" width="6.28515625" style="408" bestFit="1" customWidth="1"/>
    <col min="11017" max="11264" width="9.140625" style="408"/>
    <col min="11265" max="11265" width="3.7109375" style="408" bestFit="1" customWidth="1"/>
    <col min="11266" max="11268" width="43.42578125" style="408" customWidth="1"/>
    <col min="11269" max="11269" width="2.5703125" style="408" customWidth="1"/>
    <col min="11270" max="11270" width="2.7109375" style="408" customWidth="1"/>
    <col min="11271" max="11271" width="31.5703125" style="408" customWidth="1"/>
    <col min="11272" max="11272" width="6.28515625" style="408" bestFit="1" customWidth="1"/>
    <col min="11273" max="11520" width="9.140625" style="408"/>
    <col min="11521" max="11521" width="3.7109375" style="408" bestFit="1" customWidth="1"/>
    <col min="11522" max="11524" width="43.42578125" style="408" customWidth="1"/>
    <col min="11525" max="11525" width="2.5703125" style="408" customWidth="1"/>
    <col min="11526" max="11526" width="2.7109375" style="408" customWidth="1"/>
    <col min="11527" max="11527" width="31.5703125" style="408" customWidth="1"/>
    <col min="11528" max="11528" width="6.28515625" style="408" bestFit="1" customWidth="1"/>
    <col min="11529" max="11776" width="9.140625" style="408"/>
    <col min="11777" max="11777" width="3.7109375" style="408" bestFit="1" customWidth="1"/>
    <col min="11778" max="11780" width="43.42578125" style="408" customWidth="1"/>
    <col min="11781" max="11781" width="2.5703125" style="408" customWidth="1"/>
    <col min="11782" max="11782" width="2.7109375" style="408" customWidth="1"/>
    <col min="11783" max="11783" width="31.5703125" style="408" customWidth="1"/>
    <col min="11784" max="11784" width="6.28515625" style="408" bestFit="1" customWidth="1"/>
    <col min="11785" max="12032" width="9.140625" style="408"/>
    <col min="12033" max="12033" width="3.7109375" style="408" bestFit="1" customWidth="1"/>
    <col min="12034" max="12036" width="43.42578125" style="408" customWidth="1"/>
    <col min="12037" max="12037" width="2.5703125" style="408" customWidth="1"/>
    <col min="12038" max="12038" width="2.7109375" style="408" customWidth="1"/>
    <col min="12039" max="12039" width="31.5703125" style="408" customWidth="1"/>
    <col min="12040" max="12040" width="6.28515625" style="408" bestFit="1" customWidth="1"/>
    <col min="12041" max="12288" width="9.140625" style="408"/>
    <col min="12289" max="12289" width="3.7109375" style="408" bestFit="1" customWidth="1"/>
    <col min="12290" max="12292" width="43.42578125" style="408" customWidth="1"/>
    <col min="12293" max="12293" width="2.5703125" style="408" customWidth="1"/>
    <col min="12294" max="12294" width="2.7109375" style="408" customWidth="1"/>
    <col min="12295" max="12295" width="31.5703125" style="408" customWidth="1"/>
    <col min="12296" max="12296" width="6.28515625" style="408" bestFit="1" customWidth="1"/>
    <col min="12297" max="12544" width="9.140625" style="408"/>
    <col min="12545" max="12545" width="3.7109375" style="408" bestFit="1" customWidth="1"/>
    <col min="12546" max="12548" width="43.42578125" style="408" customWidth="1"/>
    <col min="12549" max="12549" width="2.5703125" style="408" customWidth="1"/>
    <col min="12550" max="12550" width="2.7109375" style="408" customWidth="1"/>
    <col min="12551" max="12551" width="31.5703125" style="408" customWidth="1"/>
    <col min="12552" max="12552" width="6.28515625" style="408" bestFit="1" customWidth="1"/>
    <col min="12553" max="12800" width="9.140625" style="408"/>
    <col min="12801" max="12801" width="3.7109375" style="408" bestFit="1" customWidth="1"/>
    <col min="12802" max="12804" width="43.42578125" style="408" customWidth="1"/>
    <col min="12805" max="12805" width="2.5703125" style="408" customWidth="1"/>
    <col min="12806" max="12806" width="2.7109375" style="408" customWidth="1"/>
    <col min="12807" max="12807" width="31.5703125" style="408" customWidth="1"/>
    <col min="12808" max="12808" width="6.28515625" style="408" bestFit="1" customWidth="1"/>
    <col min="12809" max="13056" width="9.140625" style="408"/>
    <col min="13057" max="13057" width="3.7109375" style="408" bestFit="1" customWidth="1"/>
    <col min="13058" max="13060" width="43.42578125" style="408" customWidth="1"/>
    <col min="13061" max="13061" width="2.5703125" style="408" customWidth="1"/>
    <col min="13062" max="13062" width="2.7109375" style="408" customWidth="1"/>
    <col min="13063" max="13063" width="31.5703125" style="408" customWidth="1"/>
    <col min="13064" max="13064" width="6.28515625" style="408" bestFit="1" customWidth="1"/>
    <col min="13065" max="13312" width="9.140625" style="408"/>
    <col min="13313" max="13313" width="3.7109375" style="408" bestFit="1" customWidth="1"/>
    <col min="13314" max="13316" width="43.42578125" style="408" customWidth="1"/>
    <col min="13317" max="13317" width="2.5703125" style="408" customWidth="1"/>
    <col min="13318" max="13318" width="2.7109375" style="408" customWidth="1"/>
    <col min="13319" max="13319" width="31.5703125" style="408" customWidth="1"/>
    <col min="13320" max="13320" width="6.28515625" style="408" bestFit="1" customWidth="1"/>
    <col min="13321" max="13568" width="9.140625" style="408"/>
    <col min="13569" max="13569" width="3.7109375" style="408" bestFit="1" customWidth="1"/>
    <col min="13570" max="13572" width="43.42578125" style="408" customWidth="1"/>
    <col min="13573" max="13573" width="2.5703125" style="408" customWidth="1"/>
    <col min="13574" max="13574" width="2.7109375" style="408" customWidth="1"/>
    <col min="13575" max="13575" width="31.5703125" style="408" customWidth="1"/>
    <col min="13576" max="13576" width="6.28515625" style="408" bestFit="1" customWidth="1"/>
    <col min="13577" max="13824" width="9.140625" style="408"/>
    <col min="13825" max="13825" width="3.7109375" style="408" bestFit="1" customWidth="1"/>
    <col min="13826" max="13828" width="43.42578125" style="408" customWidth="1"/>
    <col min="13829" max="13829" width="2.5703125" style="408" customWidth="1"/>
    <col min="13830" max="13830" width="2.7109375" style="408" customWidth="1"/>
    <col min="13831" max="13831" width="31.5703125" style="408" customWidth="1"/>
    <col min="13832" max="13832" width="6.28515625" style="408" bestFit="1" customWidth="1"/>
    <col min="13833" max="14080" width="9.140625" style="408"/>
    <col min="14081" max="14081" width="3.7109375" style="408" bestFit="1" customWidth="1"/>
    <col min="14082" max="14084" width="43.42578125" style="408" customWidth="1"/>
    <col min="14085" max="14085" width="2.5703125" style="408" customWidth="1"/>
    <col min="14086" max="14086" width="2.7109375" style="408" customWidth="1"/>
    <col min="14087" max="14087" width="31.5703125" style="408" customWidth="1"/>
    <col min="14088" max="14088" width="6.28515625" style="408" bestFit="1" customWidth="1"/>
    <col min="14089" max="14336" width="9.140625" style="408"/>
    <col min="14337" max="14337" width="3.7109375" style="408" bestFit="1" customWidth="1"/>
    <col min="14338" max="14340" width="43.42578125" style="408" customWidth="1"/>
    <col min="14341" max="14341" width="2.5703125" style="408" customWidth="1"/>
    <col min="14342" max="14342" width="2.7109375" style="408" customWidth="1"/>
    <col min="14343" max="14343" width="31.5703125" style="408" customWidth="1"/>
    <col min="14344" max="14344" width="6.28515625" style="408" bestFit="1" customWidth="1"/>
    <col min="14345" max="14592" width="9.140625" style="408"/>
    <col min="14593" max="14593" width="3.7109375" style="408" bestFit="1" customWidth="1"/>
    <col min="14594" max="14596" width="43.42578125" style="408" customWidth="1"/>
    <col min="14597" max="14597" width="2.5703125" style="408" customWidth="1"/>
    <col min="14598" max="14598" width="2.7109375" style="408" customWidth="1"/>
    <col min="14599" max="14599" width="31.5703125" style="408" customWidth="1"/>
    <col min="14600" max="14600" width="6.28515625" style="408" bestFit="1" customWidth="1"/>
    <col min="14601" max="14848" width="9.140625" style="408"/>
    <col min="14849" max="14849" width="3.7109375" style="408" bestFit="1" customWidth="1"/>
    <col min="14850" max="14852" width="43.42578125" style="408" customWidth="1"/>
    <col min="14853" max="14853" width="2.5703125" style="408" customWidth="1"/>
    <col min="14854" max="14854" width="2.7109375" style="408" customWidth="1"/>
    <col min="14855" max="14855" width="31.5703125" style="408" customWidth="1"/>
    <col min="14856" max="14856" width="6.28515625" style="408" bestFit="1" customWidth="1"/>
    <col min="14857" max="15104" width="9.140625" style="408"/>
    <col min="15105" max="15105" width="3.7109375" style="408" bestFit="1" customWidth="1"/>
    <col min="15106" max="15108" width="43.42578125" style="408" customWidth="1"/>
    <col min="15109" max="15109" width="2.5703125" style="408" customWidth="1"/>
    <col min="15110" max="15110" width="2.7109375" style="408" customWidth="1"/>
    <col min="15111" max="15111" width="31.5703125" style="408" customWidth="1"/>
    <col min="15112" max="15112" width="6.28515625" style="408" bestFit="1" customWidth="1"/>
    <col min="15113" max="15360" width="9.140625" style="408"/>
    <col min="15361" max="15361" width="3.7109375" style="408" bestFit="1" customWidth="1"/>
    <col min="15362" max="15364" width="43.42578125" style="408" customWidth="1"/>
    <col min="15365" max="15365" width="2.5703125" style="408" customWidth="1"/>
    <col min="15366" max="15366" width="2.7109375" style="408" customWidth="1"/>
    <col min="15367" max="15367" width="31.5703125" style="408" customWidth="1"/>
    <col min="15368" max="15368" width="6.28515625" style="408" bestFit="1" customWidth="1"/>
    <col min="15369" max="15616" width="9.140625" style="408"/>
    <col min="15617" max="15617" width="3.7109375" style="408" bestFit="1" customWidth="1"/>
    <col min="15618" max="15620" width="43.42578125" style="408" customWidth="1"/>
    <col min="15621" max="15621" width="2.5703125" style="408" customWidth="1"/>
    <col min="15622" max="15622" width="2.7109375" style="408" customWidth="1"/>
    <col min="15623" max="15623" width="31.5703125" style="408" customWidth="1"/>
    <col min="15624" max="15624" width="6.28515625" style="408" bestFit="1" customWidth="1"/>
    <col min="15625" max="15872" width="9.140625" style="408"/>
    <col min="15873" max="15873" width="3.7109375" style="408" bestFit="1" customWidth="1"/>
    <col min="15874" max="15876" width="43.42578125" style="408" customWidth="1"/>
    <col min="15877" max="15877" width="2.5703125" style="408" customWidth="1"/>
    <col min="15878" max="15878" width="2.7109375" style="408" customWidth="1"/>
    <col min="15879" max="15879" width="31.5703125" style="408" customWidth="1"/>
    <col min="15880" max="15880" width="6.28515625" style="408" bestFit="1" customWidth="1"/>
    <col min="15881" max="16128" width="9.140625" style="408"/>
    <col min="16129" max="16129" width="3.7109375" style="408" bestFit="1" customWidth="1"/>
    <col min="16130" max="16132" width="43.42578125" style="408" customWidth="1"/>
    <col min="16133" max="16133" width="2.5703125" style="408" customWidth="1"/>
    <col min="16134" max="16134" width="2.7109375" style="408" customWidth="1"/>
    <col min="16135" max="16135" width="31.5703125" style="408" customWidth="1"/>
    <col min="16136" max="16136" width="6.28515625" style="408" bestFit="1" customWidth="1"/>
    <col min="16137" max="16384" width="9.140625" style="408"/>
  </cols>
  <sheetData>
    <row r="1" spans="1:11" x14ac:dyDescent="0.25">
      <c r="A1" s="1" t="str">
        <f>ROWS(A1:A$1)&amp;")"</f>
        <v>1)</v>
      </c>
      <c r="B1" s="407" t="s">
        <v>1537</v>
      </c>
      <c r="C1" s="97"/>
      <c r="D1" s="97"/>
    </row>
    <row r="2" spans="1:11" x14ac:dyDescent="0.25">
      <c r="A2" s="1" t="str">
        <f>ROWS(A$1:A2)&amp;")"</f>
        <v>2)</v>
      </c>
      <c r="B2" s="409" t="s">
        <v>1538</v>
      </c>
      <c r="C2" s="163"/>
      <c r="D2" s="163"/>
    </row>
    <row r="3" spans="1:11" x14ac:dyDescent="0.25">
      <c r="A3" s="1" t="str">
        <f>ROWS(A$1:A3)&amp;")"</f>
        <v>3)</v>
      </c>
      <c r="B3" s="409" t="s">
        <v>1539</v>
      </c>
      <c r="C3" s="163"/>
      <c r="D3" s="163"/>
    </row>
    <row r="4" spans="1:11" x14ac:dyDescent="0.25">
      <c r="A4" s="1" t="str">
        <f>ROWS(A$1:A4)&amp;")"</f>
        <v>4)</v>
      </c>
      <c r="B4" s="409" t="s">
        <v>1540</v>
      </c>
      <c r="C4" s="163"/>
      <c r="D4" s="163"/>
    </row>
    <row r="5" spans="1:11" ht="26.25" x14ac:dyDescent="0.25">
      <c r="A5" s="1" t="str">
        <f>ROWS(A$1:A5)&amp;")"</f>
        <v>5)</v>
      </c>
      <c r="B5" s="409" t="s">
        <v>1541</v>
      </c>
      <c r="C5" s="163"/>
      <c r="D5" s="163"/>
    </row>
    <row r="6" spans="1:11" ht="39" x14ac:dyDescent="0.25">
      <c r="A6" s="1" t="str">
        <f>ROWS(A$1:A6)&amp;")"</f>
        <v>6)</v>
      </c>
      <c r="B6" s="409" t="s">
        <v>1542</v>
      </c>
      <c r="C6" s="163"/>
      <c r="D6" s="163"/>
      <c r="G6"/>
      <c r="H6"/>
      <c r="I6"/>
      <c r="J6"/>
      <c r="K6"/>
    </row>
    <row r="7" spans="1:11" x14ac:dyDescent="0.25">
      <c r="A7" s="1" t="str">
        <f>ROWS(A$1:A8)&amp;")"</f>
        <v>8)</v>
      </c>
      <c r="B7" s="409" t="s">
        <v>1543</v>
      </c>
      <c r="C7" s="163"/>
      <c r="D7" s="163"/>
      <c r="G7"/>
      <c r="H7"/>
      <c r="I7"/>
      <c r="J7"/>
      <c r="K7"/>
    </row>
    <row r="8" spans="1:11" x14ac:dyDescent="0.25">
      <c r="A8" s="1" t="str">
        <f>ROWS(A$1:A8)&amp;")"</f>
        <v>8)</v>
      </c>
      <c r="B8" s="409" t="s">
        <v>1544</v>
      </c>
      <c r="C8" s="163"/>
      <c r="D8" s="163"/>
      <c r="G8"/>
      <c r="H8"/>
      <c r="I8"/>
      <c r="J8"/>
      <c r="K8"/>
    </row>
    <row r="9" spans="1:11" x14ac:dyDescent="0.25">
      <c r="A9" s="1" t="str">
        <f>ROWS(A$1:A9)&amp;")"</f>
        <v>9)</v>
      </c>
      <c r="B9" s="409" t="s">
        <v>1545</v>
      </c>
      <c r="C9" s="163"/>
      <c r="D9" s="163"/>
    </row>
    <row r="10" spans="1:11" x14ac:dyDescent="0.25">
      <c r="A10" s="1" t="str">
        <f>ROWS(A$1:A10)&amp;")"</f>
        <v>10)</v>
      </c>
      <c r="B10" s="409" t="s">
        <v>1546</v>
      </c>
      <c r="C10" s="163"/>
      <c r="D10" s="163"/>
    </row>
    <row r="11" spans="1:11" ht="51.75" x14ac:dyDescent="0.25">
      <c r="A11" s="1" t="str">
        <f>ROWS(A$1:A16)&amp;")"</f>
        <v>16)</v>
      </c>
      <c r="B11" s="409" t="s">
        <v>1547</v>
      </c>
      <c r="C11" s="163"/>
      <c r="D11" s="163"/>
    </row>
    <row r="12" spans="1:11" ht="26.25" x14ac:dyDescent="0.25">
      <c r="A12" s="1" t="str">
        <f>ROWS(A$1:A12)&amp;")"</f>
        <v>12)</v>
      </c>
      <c r="B12" s="409" t="s">
        <v>1548</v>
      </c>
      <c r="C12" s="163"/>
      <c r="D12" s="163"/>
      <c r="G12"/>
      <c r="H12"/>
      <c r="I12"/>
      <c r="J12"/>
      <c r="K12"/>
    </row>
    <row r="13" spans="1:11" x14ac:dyDescent="0.25">
      <c r="A13" s="1" t="str">
        <f>ROWS(A$1:A13)&amp;")"</f>
        <v>13)</v>
      </c>
      <c r="B13" s="409" t="s">
        <v>1549</v>
      </c>
      <c r="C13" s="163"/>
      <c r="D13" s="163"/>
    </row>
    <row r="14" spans="1:11" x14ac:dyDescent="0.25">
      <c r="A14" s="1" t="str">
        <f>ROWS(A$1:A14)&amp;")"</f>
        <v>14)</v>
      </c>
      <c r="B14" s="409" t="s">
        <v>1550</v>
      </c>
      <c r="C14" s="163"/>
      <c r="D14" s="163"/>
    </row>
    <row r="15" spans="1:11" ht="39" x14ac:dyDescent="0.25">
      <c r="A15" s="1" t="str">
        <f>ROWS(A$1:A15)&amp;")"</f>
        <v>15)</v>
      </c>
      <c r="B15" s="409" t="s">
        <v>1551</v>
      </c>
      <c r="C15" s="163"/>
      <c r="D15" s="163"/>
    </row>
    <row r="16" spans="1:11" x14ac:dyDescent="0.25">
      <c r="A16" s="1" t="str">
        <f>ROWS(A$1:A16)&amp;")"</f>
        <v>16)</v>
      </c>
      <c r="B16" s="409" t="s">
        <v>1552</v>
      </c>
      <c r="C16" s="163"/>
      <c r="D16" s="163"/>
    </row>
    <row r="17" spans="1:4" x14ac:dyDescent="0.25">
      <c r="A17" s="1" t="str">
        <f>ROWS(A$1:A17)&amp;")"</f>
        <v>17)</v>
      </c>
      <c r="B17" s="409" t="s">
        <v>1553</v>
      </c>
      <c r="C17" s="163"/>
      <c r="D17" s="163"/>
    </row>
    <row r="18" spans="1:4" customFormat="1" ht="26.25" x14ac:dyDescent="0.25">
      <c r="A18" s="1" t="str">
        <f>ROWS(A$1:A18)&amp;")"</f>
        <v>18)</v>
      </c>
      <c r="B18" s="409" t="s">
        <v>1554</v>
      </c>
      <c r="C18" s="163"/>
      <c r="D18" s="163"/>
    </row>
    <row r="19" spans="1:4" customFormat="1" ht="26.25" x14ac:dyDescent="0.25">
      <c r="A19" s="1" t="str">
        <f>ROWS(A$1:A19)&amp;")"</f>
        <v>19)</v>
      </c>
      <c r="B19" s="409" t="s">
        <v>1555</v>
      </c>
      <c r="C19" s="163"/>
      <c r="D19" s="163"/>
    </row>
    <row r="20" spans="1:4" customFormat="1" x14ac:dyDescent="0.25"/>
    <row r="21" spans="1:4" customFormat="1" x14ac:dyDescent="0.25"/>
    <row r="22" spans="1:4" customFormat="1" x14ac:dyDescent="0.25"/>
    <row r="23" spans="1:4" customFormat="1" x14ac:dyDescent="0.25"/>
    <row r="24" spans="1:4" customFormat="1" x14ac:dyDescent="0.25"/>
    <row r="25" spans="1:4" customFormat="1" x14ac:dyDescent="0.25"/>
    <row r="26" spans="1:4" customFormat="1" x14ac:dyDescent="0.25"/>
    <row r="27" spans="1:4" customFormat="1" x14ac:dyDescent="0.25"/>
    <row r="28" spans="1:4" customFormat="1" x14ac:dyDescent="0.25"/>
    <row r="29" spans="1:4" customFormat="1" x14ac:dyDescent="0.25"/>
    <row r="30" spans="1:4" customFormat="1" x14ac:dyDescent="0.25"/>
    <row r="31" spans="1:4" customFormat="1" x14ac:dyDescent="0.25"/>
    <row r="32" spans="1:4" customFormat="1" x14ac:dyDescent="0.25"/>
    <row r="33" customFormat="1" x14ac:dyDescent="0.25"/>
    <row r="34" customFormat="1" x14ac:dyDescent="0.25"/>
    <row r="35" customFormat="1" x14ac:dyDescent="0.25"/>
    <row r="36" customFormat="1" x14ac:dyDescent="0.25"/>
    <row r="37" customFormat="1" x14ac:dyDescent="0.25"/>
    <row r="38" customFormat="1" x14ac:dyDescent="0.25"/>
  </sheetData>
  <conditionalFormatting sqref="B1:D1">
    <cfRule type="expression" dxfId="2" priority="3" stopIfTrue="1">
      <formula>$F1&lt;&gt;""</formula>
    </cfRule>
  </conditionalFormatting>
  <conditionalFormatting sqref="B2:D19">
    <cfRule type="expression" priority="1" stopIfTrue="1">
      <formula>AND($F2&lt;&gt;"",$F3&lt;&gt;"")</formula>
    </cfRule>
    <cfRule type="expression" dxfId="1" priority="2" stopIfTrue="1">
      <formula>$F2&lt;&gt;""</formula>
    </cfRule>
  </conditionalFormatting>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65">
    <tabColor rgb="FFFFFF00"/>
  </sheetPr>
  <dimension ref="A1:S21"/>
  <sheetViews>
    <sheetView zoomScale="70" zoomScaleNormal="70" workbookViewId="0">
      <selection activeCell="E1" sqref="E1"/>
    </sheetView>
  </sheetViews>
  <sheetFormatPr defaultRowHeight="15" x14ac:dyDescent="0.25"/>
  <cols>
    <col min="1" max="1" width="10.140625" bestFit="1" customWidth="1"/>
    <col min="2" max="2" width="13.85546875" bestFit="1" customWidth="1"/>
    <col min="10" max="10" width="4.28515625" customWidth="1"/>
    <col min="257" max="257" width="10.140625" bestFit="1" customWidth="1"/>
    <col min="258" max="258" width="13.85546875" bestFit="1" customWidth="1"/>
    <col min="266" max="266" width="4.28515625" customWidth="1"/>
    <col min="513" max="513" width="10.140625" bestFit="1" customWidth="1"/>
    <col min="514" max="514" width="13.85546875" bestFit="1" customWidth="1"/>
    <col min="522" max="522" width="4.28515625" customWidth="1"/>
    <col min="769" max="769" width="10.140625" bestFit="1" customWidth="1"/>
    <col min="770" max="770" width="13.85546875" bestFit="1" customWidth="1"/>
    <col min="778" max="778" width="4.28515625" customWidth="1"/>
    <col min="1025" max="1025" width="10.140625" bestFit="1" customWidth="1"/>
    <col min="1026" max="1026" width="13.85546875" bestFit="1" customWidth="1"/>
    <col min="1034" max="1034" width="4.28515625" customWidth="1"/>
    <col min="1281" max="1281" width="10.140625" bestFit="1" customWidth="1"/>
    <col min="1282" max="1282" width="13.85546875" bestFit="1" customWidth="1"/>
    <col min="1290" max="1290" width="4.28515625" customWidth="1"/>
    <col min="1537" max="1537" width="10.140625" bestFit="1" customWidth="1"/>
    <col min="1538" max="1538" width="13.85546875" bestFit="1" customWidth="1"/>
    <col min="1546" max="1546" width="4.28515625" customWidth="1"/>
    <col min="1793" max="1793" width="10.140625" bestFit="1" customWidth="1"/>
    <col min="1794" max="1794" width="13.85546875" bestFit="1" customWidth="1"/>
    <col min="1802" max="1802" width="4.28515625" customWidth="1"/>
    <col min="2049" max="2049" width="10.140625" bestFit="1" customWidth="1"/>
    <col min="2050" max="2050" width="13.85546875" bestFit="1" customWidth="1"/>
    <col min="2058" max="2058" width="4.28515625" customWidth="1"/>
    <col min="2305" max="2305" width="10.140625" bestFit="1" customWidth="1"/>
    <col min="2306" max="2306" width="13.85546875" bestFit="1" customWidth="1"/>
    <col min="2314" max="2314" width="4.28515625" customWidth="1"/>
    <col min="2561" max="2561" width="10.140625" bestFit="1" customWidth="1"/>
    <col min="2562" max="2562" width="13.85546875" bestFit="1" customWidth="1"/>
    <col min="2570" max="2570" width="4.28515625" customWidth="1"/>
    <col min="2817" max="2817" width="10.140625" bestFit="1" customWidth="1"/>
    <col min="2818" max="2818" width="13.85546875" bestFit="1" customWidth="1"/>
    <col min="2826" max="2826" width="4.28515625" customWidth="1"/>
    <col min="3073" max="3073" width="10.140625" bestFit="1" customWidth="1"/>
    <col min="3074" max="3074" width="13.85546875" bestFit="1" customWidth="1"/>
    <col min="3082" max="3082" width="4.28515625" customWidth="1"/>
    <col min="3329" max="3329" width="10.140625" bestFit="1" customWidth="1"/>
    <col min="3330" max="3330" width="13.85546875" bestFit="1" customWidth="1"/>
    <col min="3338" max="3338" width="4.28515625" customWidth="1"/>
    <col min="3585" max="3585" width="10.140625" bestFit="1" customWidth="1"/>
    <col min="3586" max="3586" width="13.85546875" bestFit="1" customWidth="1"/>
    <col min="3594" max="3594" width="4.28515625" customWidth="1"/>
    <col min="3841" max="3841" width="10.140625" bestFit="1" customWidth="1"/>
    <col min="3842" max="3842" width="13.85546875" bestFit="1" customWidth="1"/>
    <col min="3850" max="3850" width="4.28515625" customWidth="1"/>
    <col min="4097" max="4097" width="10.140625" bestFit="1" customWidth="1"/>
    <col min="4098" max="4098" width="13.85546875" bestFit="1" customWidth="1"/>
    <col min="4106" max="4106" width="4.28515625" customWidth="1"/>
    <col min="4353" max="4353" width="10.140625" bestFit="1" customWidth="1"/>
    <col min="4354" max="4354" width="13.85546875" bestFit="1" customWidth="1"/>
    <col min="4362" max="4362" width="4.28515625" customWidth="1"/>
    <col min="4609" max="4609" width="10.140625" bestFit="1" customWidth="1"/>
    <col min="4610" max="4610" width="13.85546875" bestFit="1" customWidth="1"/>
    <col min="4618" max="4618" width="4.28515625" customWidth="1"/>
    <col min="4865" max="4865" width="10.140625" bestFit="1" customWidth="1"/>
    <col min="4866" max="4866" width="13.85546875" bestFit="1" customWidth="1"/>
    <col min="4874" max="4874" width="4.28515625" customWidth="1"/>
    <col min="5121" max="5121" width="10.140625" bestFit="1" customWidth="1"/>
    <col min="5122" max="5122" width="13.85546875" bestFit="1" customWidth="1"/>
    <col min="5130" max="5130" width="4.28515625" customWidth="1"/>
    <col min="5377" max="5377" width="10.140625" bestFit="1" customWidth="1"/>
    <col min="5378" max="5378" width="13.85546875" bestFit="1" customWidth="1"/>
    <col min="5386" max="5386" width="4.28515625" customWidth="1"/>
    <col min="5633" max="5633" width="10.140625" bestFit="1" customWidth="1"/>
    <col min="5634" max="5634" width="13.85546875" bestFit="1" customWidth="1"/>
    <col min="5642" max="5642" width="4.28515625" customWidth="1"/>
    <col min="5889" max="5889" width="10.140625" bestFit="1" customWidth="1"/>
    <col min="5890" max="5890" width="13.85546875" bestFit="1" customWidth="1"/>
    <col min="5898" max="5898" width="4.28515625" customWidth="1"/>
    <col min="6145" max="6145" width="10.140625" bestFit="1" customWidth="1"/>
    <col min="6146" max="6146" width="13.85546875" bestFit="1" customWidth="1"/>
    <col min="6154" max="6154" width="4.28515625" customWidth="1"/>
    <col min="6401" max="6401" width="10.140625" bestFit="1" customWidth="1"/>
    <col min="6402" max="6402" width="13.85546875" bestFit="1" customWidth="1"/>
    <col min="6410" max="6410" width="4.28515625" customWidth="1"/>
    <col min="6657" max="6657" width="10.140625" bestFit="1" customWidth="1"/>
    <col min="6658" max="6658" width="13.85546875" bestFit="1" customWidth="1"/>
    <col min="6666" max="6666" width="4.28515625" customWidth="1"/>
    <col min="6913" max="6913" width="10.140625" bestFit="1" customWidth="1"/>
    <col min="6914" max="6914" width="13.85546875" bestFit="1" customWidth="1"/>
    <col min="6922" max="6922" width="4.28515625" customWidth="1"/>
    <col min="7169" max="7169" width="10.140625" bestFit="1" customWidth="1"/>
    <col min="7170" max="7170" width="13.85546875" bestFit="1" customWidth="1"/>
    <col min="7178" max="7178" width="4.28515625" customWidth="1"/>
    <col min="7425" max="7425" width="10.140625" bestFit="1" customWidth="1"/>
    <col min="7426" max="7426" width="13.85546875" bestFit="1" customWidth="1"/>
    <col min="7434" max="7434" width="4.28515625" customWidth="1"/>
    <col min="7681" max="7681" width="10.140625" bestFit="1" customWidth="1"/>
    <col min="7682" max="7682" width="13.85546875" bestFit="1" customWidth="1"/>
    <col min="7690" max="7690" width="4.28515625" customWidth="1"/>
    <col min="7937" max="7937" width="10.140625" bestFit="1" customWidth="1"/>
    <col min="7938" max="7938" width="13.85546875" bestFit="1" customWidth="1"/>
    <col min="7946" max="7946" width="4.28515625" customWidth="1"/>
    <col min="8193" max="8193" width="10.140625" bestFit="1" customWidth="1"/>
    <col min="8194" max="8194" width="13.85546875" bestFit="1" customWidth="1"/>
    <col min="8202" max="8202" width="4.28515625" customWidth="1"/>
    <col min="8449" max="8449" width="10.140625" bestFit="1" customWidth="1"/>
    <col min="8450" max="8450" width="13.85546875" bestFit="1" customWidth="1"/>
    <col min="8458" max="8458" width="4.28515625" customWidth="1"/>
    <col min="8705" max="8705" width="10.140625" bestFit="1" customWidth="1"/>
    <col min="8706" max="8706" width="13.85546875" bestFit="1" customWidth="1"/>
    <col min="8714" max="8714" width="4.28515625" customWidth="1"/>
    <col min="8961" max="8961" width="10.140625" bestFit="1" customWidth="1"/>
    <col min="8962" max="8962" width="13.85546875" bestFit="1" customWidth="1"/>
    <col min="8970" max="8970" width="4.28515625" customWidth="1"/>
    <col min="9217" max="9217" width="10.140625" bestFit="1" customWidth="1"/>
    <col min="9218" max="9218" width="13.85546875" bestFit="1" customWidth="1"/>
    <col min="9226" max="9226" width="4.28515625" customWidth="1"/>
    <col min="9473" max="9473" width="10.140625" bestFit="1" customWidth="1"/>
    <col min="9474" max="9474" width="13.85546875" bestFit="1" customWidth="1"/>
    <col min="9482" max="9482" width="4.28515625" customWidth="1"/>
    <col min="9729" max="9729" width="10.140625" bestFit="1" customWidth="1"/>
    <col min="9730" max="9730" width="13.85546875" bestFit="1" customWidth="1"/>
    <col min="9738" max="9738" width="4.28515625" customWidth="1"/>
    <col min="9985" max="9985" width="10.140625" bestFit="1" customWidth="1"/>
    <col min="9986" max="9986" width="13.85546875" bestFit="1" customWidth="1"/>
    <col min="9994" max="9994" width="4.28515625" customWidth="1"/>
    <col min="10241" max="10241" width="10.140625" bestFit="1" customWidth="1"/>
    <col min="10242" max="10242" width="13.85546875" bestFit="1" customWidth="1"/>
    <col min="10250" max="10250" width="4.28515625" customWidth="1"/>
    <col min="10497" max="10497" width="10.140625" bestFit="1" customWidth="1"/>
    <col min="10498" max="10498" width="13.85546875" bestFit="1" customWidth="1"/>
    <col min="10506" max="10506" width="4.28515625" customWidth="1"/>
    <col min="10753" max="10753" width="10.140625" bestFit="1" customWidth="1"/>
    <col min="10754" max="10754" width="13.85546875" bestFit="1" customWidth="1"/>
    <col min="10762" max="10762" width="4.28515625" customWidth="1"/>
    <col min="11009" max="11009" width="10.140625" bestFit="1" customWidth="1"/>
    <col min="11010" max="11010" width="13.85546875" bestFit="1" customWidth="1"/>
    <col min="11018" max="11018" width="4.28515625" customWidth="1"/>
    <col min="11265" max="11265" width="10.140625" bestFit="1" customWidth="1"/>
    <col min="11266" max="11266" width="13.85546875" bestFit="1" customWidth="1"/>
    <col min="11274" max="11274" width="4.28515625" customWidth="1"/>
    <col min="11521" max="11521" width="10.140625" bestFit="1" customWidth="1"/>
    <col min="11522" max="11522" width="13.85546875" bestFit="1" customWidth="1"/>
    <col min="11530" max="11530" width="4.28515625" customWidth="1"/>
    <col min="11777" max="11777" width="10.140625" bestFit="1" customWidth="1"/>
    <col min="11778" max="11778" width="13.85546875" bestFit="1" customWidth="1"/>
    <col min="11786" max="11786" width="4.28515625" customWidth="1"/>
    <col min="12033" max="12033" width="10.140625" bestFit="1" customWidth="1"/>
    <col min="12034" max="12034" width="13.85546875" bestFit="1" customWidth="1"/>
    <col min="12042" max="12042" width="4.28515625" customWidth="1"/>
    <col min="12289" max="12289" width="10.140625" bestFit="1" customWidth="1"/>
    <col min="12290" max="12290" width="13.85546875" bestFit="1" customWidth="1"/>
    <col min="12298" max="12298" width="4.28515625" customWidth="1"/>
    <col min="12545" max="12545" width="10.140625" bestFit="1" customWidth="1"/>
    <col min="12546" max="12546" width="13.85546875" bestFit="1" customWidth="1"/>
    <col min="12554" max="12554" width="4.28515625" customWidth="1"/>
    <col min="12801" max="12801" width="10.140625" bestFit="1" customWidth="1"/>
    <col min="12802" max="12802" width="13.85546875" bestFit="1" customWidth="1"/>
    <col min="12810" max="12810" width="4.28515625" customWidth="1"/>
    <col min="13057" max="13057" width="10.140625" bestFit="1" customWidth="1"/>
    <col min="13058" max="13058" width="13.85546875" bestFit="1" customWidth="1"/>
    <col min="13066" max="13066" width="4.28515625" customWidth="1"/>
    <col min="13313" max="13313" width="10.140625" bestFit="1" customWidth="1"/>
    <col min="13314" max="13314" width="13.85546875" bestFit="1" customWidth="1"/>
    <col min="13322" max="13322" width="4.28515625" customWidth="1"/>
    <col min="13569" max="13569" width="10.140625" bestFit="1" customWidth="1"/>
    <col min="13570" max="13570" width="13.85546875" bestFit="1" customWidth="1"/>
    <col min="13578" max="13578" width="4.28515625" customWidth="1"/>
    <col min="13825" max="13825" width="10.140625" bestFit="1" customWidth="1"/>
    <col min="13826" max="13826" width="13.85546875" bestFit="1" customWidth="1"/>
    <col min="13834" max="13834" width="4.28515625" customWidth="1"/>
    <col min="14081" max="14081" width="10.140625" bestFit="1" customWidth="1"/>
    <col min="14082" max="14082" width="13.85546875" bestFit="1" customWidth="1"/>
    <col min="14090" max="14090" width="4.28515625" customWidth="1"/>
    <col min="14337" max="14337" width="10.140625" bestFit="1" customWidth="1"/>
    <col min="14338" max="14338" width="13.85546875" bestFit="1" customWidth="1"/>
    <col min="14346" max="14346" width="4.28515625" customWidth="1"/>
    <col min="14593" max="14593" width="10.140625" bestFit="1" customWidth="1"/>
    <col min="14594" max="14594" width="13.85546875" bestFit="1" customWidth="1"/>
    <col min="14602" max="14602" width="4.28515625" customWidth="1"/>
    <col min="14849" max="14849" width="10.140625" bestFit="1" customWidth="1"/>
    <col min="14850" max="14850" width="13.85546875" bestFit="1" customWidth="1"/>
    <col min="14858" max="14858" width="4.28515625" customWidth="1"/>
    <col min="15105" max="15105" width="10.140625" bestFit="1" customWidth="1"/>
    <col min="15106" max="15106" width="13.85546875" bestFit="1" customWidth="1"/>
    <col min="15114" max="15114" width="4.28515625" customWidth="1"/>
    <col min="15361" max="15361" width="10.140625" bestFit="1" customWidth="1"/>
    <col min="15362" max="15362" width="13.85546875" bestFit="1" customWidth="1"/>
    <col min="15370" max="15370" width="4.28515625" customWidth="1"/>
    <col min="15617" max="15617" width="10.140625" bestFit="1" customWidth="1"/>
    <col min="15618" max="15618" width="13.85546875" bestFit="1" customWidth="1"/>
    <col min="15626" max="15626" width="4.28515625" customWidth="1"/>
    <col min="15873" max="15873" width="10.140625" bestFit="1" customWidth="1"/>
    <col min="15874" max="15874" width="13.85546875" bestFit="1" customWidth="1"/>
    <col min="15882" max="15882" width="4.28515625" customWidth="1"/>
    <col min="16129" max="16129" width="10.140625" bestFit="1" customWidth="1"/>
    <col min="16130" max="16130" width="13.85546875" bestFit="1" customWidth="1"/>
    <col min="16138" max="16138" width="4.28515625" customWidth="1"/>
  </cols>
  <sheetData>
    <row r="1" spans="1:19" x14ac:dyDescent="0.25">
      <c r="A1" t="s">
        <v>0</v>
      </c>
      <c r="B1" t="s">
        <v>32</v>
      </c>
      <c r="C1" t="s">
        <v>1556</v>
      </c>
      <c r="J1" s="410" t="str">
        <f>ROWS(J$1:J1)&amp;")"</f>
        <v>1)</v>
      </c>
      <c r="K1" s="411" t="s">
        <v>1557</v>
      </c>
      <c r="L1" s="411"/>
      <c r="M1" s="411"/>
      <c r="N1" s="411"/>
      <c r="O1" s="411"/>
      <c r="P1" s="411"/>
      <c r="Q1" s="411"/>
      <c r="R1" s="411"/>
      <c r="S1" s="411"/>
    </row>
    <row r="2" spans="1:19" ht="26.25" x14ac:dyDescent="0.25">
      <c r="A2" s="412">
        <v>39904</v>
      </c>
      <c r="B2" s="413">
        <v>0.71341097395105568</v>
      </c>
      <c r="C2">
        <v>42.92</v>
      </c>
      <c r="J2" s="410" t="str">
        <f>ROWS(J$1:J2)&amp;")"</f>
        <v>2)</v>
      </c>
      <c r="K2" s="411" t="s">
        <v>1558</v>
      </c>
      <c r="L2" s="411"/>
      <c r="M2" s="411"/>
      <c r="N2" s="411"/>
      <c r="O2" s="411"/>
      <c r="P2" s="411"/>
      <c r="Q2" s="411"/>
      <c r="R2" s="411"/>
      <c r="S2" s="411"/>
    </row>
    <row r="3" spans="1:19" ht="26.25" x14ac:dyDescent="0.25">
      <c r="A3" s="412">
        <v>39905</v>
      </c>
      <c r="B3" s="413">
        <v>0.99304123200145855</v>
      </c>
      <c r="C3">
        <v>42.61</v>
      </c>
      <c r="J3" s="410" t="str">
        <f>ROWS(J$1:J3)&amp;")"</f>
        <v>3)</v>
      </c>
      <c r="K3" s="411" t="s">
        <v>1559</v>
      </c>
      <c r="L3" s="411"/>
      <c r="M3" s="411"/>
      <c r="N3" s="411"/>
      <c r="O3" s="411"/>
      <c r="P3" s="411"/>
      <c r="Q3" s="411"/>
      <c r="R3" s="411"/>
      <c r="S3" s="411"/>
    </row>
    <row r="4" spans="1:19" ht="39" x14ac:dyDescent="0.25">
      <c r="A4" s="412">
        <v>39906</v>
      </c>
      <c r="B4" s="413">
        <v>0.49942940415227333</v>
      </c>
      <c r="C4">
        <v>49.69</v>
      </c>
      <c r="J4" s="410" t="str">
        <f>ROWS(J$1:J4)&amp;")"</f>
        <v>4)</v>
      </c>
      <c r="K4" s="411" t="s">
        <v>1560</v>
      </c>
      <c r="L4" s="411"/>
      <c r="M4" s="411"/>
      <c r="N4" s="411"/>
      <c r="O4" s="411"/>
      <c r="P4" s="411"/>
      <c r="Q4" s="411"/>
      <c r="R4" s="411"/>
      <c r="S4" s="411"/>
    </row>
    <row r="5" spans="1:19" x14ac:dyDescent="0.25">
      <c r="A5" s="412">
        <v>39907</v>
      </c>
      <c r="B5" s="413">
        <v>0.94540784374630871</v>
      </c>
      <c r="C5">
        <v>44.58</v>
      </c>
      <c r="J5" s="410" t="str">
        <f>ROWS(J$1:J5)&amp;")"</f>
        <v>5)</v>
      </c>
      <c r="K5" s="411" t="s">
        <v>1561</v>
      </c>
      <c r="L5" s="411"/>
      <c r="M5" s="411"/>
      <c r="N5" s="411"/>
      <c r="O5" s="411"/>
      <c r="P5" s="411"/>
      <c r="Q5" s="411"/>
      <c r="R5" s="411"/>
      <c r="S5" s="411"/>
    </row>
    <row r="6" spans="1:19" ht="39" x14ac:dyDescent="0.25">
      <c r="A6" s="412">
        <v>39908</v>
      </c>
      <c r="B6" s="413">
        <v>1.3948238920765021E-2</v>
      </c>
      <c r="C6">
        <v>43.03</v>
      </c>
      <c r="J6" s="410" t="str">
        <f>ROWS(J$1:J6)&amp;")"</f>
        <v>6)</v>
      </c>
      <c r="K6" s="411" t="s">
        <v>1562</v>
      </c>
      <c r="L6" s="411"/>
      <c r="M6" s="411"/>
      <c r="N6" s="411"/>
      <c r="O6" s="411"/>
      <c r="P6" s="411"/>
      <c r="Q6" s="411"/>
      <c r="R6" s="411"/>
      <c r="S6" s="411"/>
    </row>
    <row r="7" spans="1:19" x14ac:dyDescent="0.25">
      <c r="A7" s="412">
        <v>39909</v>
      </c>
      <c r="B7" s="413">
        <v>0.49261952139551646</v>
      </c>
      <c r="C7">
        <v>43.94</v>
      </c>
    </row>
    <row r="8" spans="1:19" x14ac:dyDescent="0.25">
      <c r="A8" s="412">
        <v>39910</v>
      </c>
      <c r="B8" s="413">
        <v>0.83507342224425618</v>
      </c>
      <c r="C8">
        <v>43.74</v>
      </c>
    </row>
    <row r="9" spans="1:19" x14ac:dyDescent="0.25">
      <c r="A9" s="412">
        <v>39911</v>
      </c>
      <c r="B9" s="413">
        <v>0.93304792675110204</v>
      </c>
      <c r="C9">
        <v>48.37</v>
      </c>
    </row>
    <row r="10" spans="1:19" x14ac:dyDescent="0.25">
      <c r="A10" s="412">
        <v>39912</v>
      </c>
      <c r="B10" s="413">
        <v>3.086387324874762E-2</v>
      </c>
      <c r="C10">
        <v>42.56</v>
      </c>
    </row>
    <row r="11" spans="1:19" x14ac:dyDescent="0.25">
      <c r="A11" s="412">
        <v>39913</v>
      </c>
      <c r="B11" s="413">
        <v>0.37076430936306948</v>
      </c>
      <c r="C11">
        <v>41.18</v>
      </c>
    </row>
    <row r="12" spans="1:19" x14ac:dyDescent="0.25">
      <c r="A12" s="412">
        <v>39914</v>
      </c>
      <c r="B12" s="413">
        <v>0.24418885120404754</v>
      </c>
      <c r="C12">
        <v>47.980000000000004</v>
      </c>
    </row>
    <row r="13" spans="1:19" x14ac:dyDescent="0.25">
      <c r="A13" s="412">
        <v>39915</v>
      </c>
      <c r="B13" s="413">
        <v>0.22160463272276409</v>
      </c>
      <c r="C13">
        <v>47.62</v>
      </c>
    </row>
    <row r="14" spans="1:19" x14ac:dyDescent="0.25">
      <c r="A14" s="412">
        <v>39916</v>
      </c>
      <c r="B14" s="413">
        <v>0.73260493511802394</v>
      </c>
      <c r="C14">
        <v>44.99</v>
      </c>
    </row>
    <row r="15" spans="1:19" x14ac:dyDescent="0.25">
      <c r="A15" s="412">
        <v>39917</v>
      </c>
      <c r="B15" s="413">
        <v>0.49052335369229239</v>
      </c>
      <c r="C15">
        <v>43.41</v>
      </c>
    </row>
    <row r="16" spans="1:19" x14ac:dyDescent="0.25">
      <c r="A16" s="412">
        <v>39918</v>
      </c>
      <c r="B16" s="413">
        <v>0.27050617814723843</v>
      </c>
      <c r="C16">
        <v>41.82</v>
      </c>
    </row>
    <row r="17" spans="1:3" x14ac:dyDescent="0.25">
      <c r="A17" s="412">
        <v>39919</v>
      </c>
      <c r="B17" s="413">
        <v>0.4950739118005747</v>
      </c>
      <c r="C17">
        <v>49.31</v>
      </c>
    </row>
    <row r="18" spans="1:3" x14ac:dyDescent="0.25">
      <c r="A18" s="412">
        <v>39920</v>
      </c>
      <c r="B18" s="413">
        <v>0.72728927390612785</v>
      </c>
      <c r="C18">
        <v>42.77</v>
      </c>
    </row>
    <row r="19" spans="1:3" x14ac:dyDescent="0.25">
      <c r="A19" s="412">
        <v>39921</v>
      </c>
      <c r="B19" s="413">
        <v>7.8056296587392993E-2</v>
      </c>
      <c r="C19">
        <v>45.769999999999996</v>
      </c>
    </row>
    <row r="20" spans="1:3" x14ac:dyDescent="0.25">
      <c r="A20" s="412">
        <v>39922</v>
      </c>
      <c r="B20" s="413">
        <v>2.5721703530354967E-2</v>
      </c>
      <c r="C20">
        <v>42.04</v>
      </c>
    </row>
    <row r="21" spans="1:3" x14ac:dyDescent="0.25">
      <c r="A21" s="412">
        <v>39923</v>
      </c>
      <c r="B21" s="413">
        <v>0.99817869066818865</v>
      </c>
      <c r="C21">
        <v>41.81</v>
      </c>
    </row>
  </sheetData>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66">
    <tabColor rgb="FFFFFF00"/>
  </sheetPr>
  <dimension ref="A1:S21"/>
  <sheetViews>
    <sheetView zoomScale="85" zoomScaleNormal="85" workbookViewId="0">
      <selection activeCell="E1" sqref="E1"/>
    </sheetView>
  </sheetViews>
  <sheetFormatPr defaultRowHeight="15" x14ac:dyDescent="0.25"/>
  <cols>
    <col min="1" max="1" width="12.28515625" bestFit="1" customWidth="1"/>
    <col min="2" max="2" width="13.85546875" bestFit="1" customWidth="1"/>
    <col min="3" max="3" width="10.28515625" bestFit="1" customWidth="1"/>
    <col min="4" max="4" width="16" bestFit="1" customWidth="1"/>
    <col min="10" max="10" width="4.28515625" customWidth="1"/>
    <col min="257" max="257" width="12.28515625" bestFit="1" customWidth="1"/>
    <col min="258" max="258" width="13.85546875" bestFit="1" customWidth="1"/>
    <col min="259" max="259" width="10.28515625" bestFit="1" customWidth="1"/>
    <col min="260" max="260" width="16" bestFit="1" customWidth="1"/>
    <col min="266" max="266" width="4.28515625" customWidth="1"/>
    <col min="513" max="513" width="12.28515625" bestFit="1" customWidth="1"/>
    <col min="514" max="514" width="13.85546875" bestFit="1" customWidth="1"/>
    <col min="515" max="515" width="10.28515625" bestFit="1" customWidth="1"/>
    <col min="516" max="516" width="16" bestFit="1" customWidth="1"/>
    <col min="522" max="522" width="4.28515625" customWidth="1"/>
    <col min="769" max="769" width="12.28515625" bestFit="1" customWidth="1"/>
    <col min="770" max="770" width="13.85546875" bestFit="1" customWidth="1"/>
    <col min="771" max="771" width="10.28515625" bestFit="1" customWidth="1"/>
    <col min="772" max="772" width="16" bestFit="1" customWidth="1"/>
    <col min="778" max="778" width="4.28515625" customWidth="1"/>
    <col min="1025" max="1025" width="12.28515625" bestFit="1" customWidth="1"/>
    <col min="1026" max="1026" width="13.85546875" bestFit="1" customWidth="1"/>
    <col min="1027" max="1027" width="10.28515625" bestFit="1" customWidth="1"/>
    <col min="1028" max="1028" width="16" bestFit="1" customWidth="1"/>
    <col min="1034" max="1034" width="4.28515625" customWidth="1"/>
    <col min="1281" max="1281" width="12.28515625" bestFit="1" customWidth="1"/>
    <col min="1282" max="1282" width="13.85546875" bestFit="1" customWidth="1"/>
    <col min="1283" max="1283" width="10.28515625" bestFit="1" customWidth="1"/>
    <col min="1284" max="1284" width="16" bestFit="1" customWidth="1"/>
    <col min="1290" max="1290" width="4.28515625" customWidth="1"/>
    <col min="1537" max="1537" width="12.28515625" bestFit="1" customWidth="1"/>
    <col min="1538" max="1538" width="13.85546875" bestFit="1" customWidth="1"/>
    <col min="1539" max="1539" width="10.28515625" bestFit="1" customWidth="1"/>
    <col min="1540" max="1540" width="16" bestFit="1" customWidth="1"/>
    <col min="1546" max="1546" width="4.28515625" customWidth="1"/>
    <col min="1793" max="1793" width="12.28515625" bestFit="1" customWidth="1"/>
    <col min="1794" max="1794" width="13.85546875" bestFit="1" customWidth="1"/>
    <col min="1795" max="1795" width="10.28515625" bestFit="1" customWidth="1"/>
    <col min="1796" max="1796" width="16" bestFit="1" customWidth="1"/>
    <col min="1802" max="1802" width="4.28515625" customWidth="1"/>
    <col min="2049" max="2049" width="12.28515625" bestFit="1" customWidth="1"/>
    <col min="2050" max="2050" width="13.85546875" bestFit="1" customWidth="1"/>
    <col min="2051" max="2051" width="10.28515625" bestFit="1" customWidth="1"/>
    <col min="2052" max="2052" width="16" bestFit="1" customWidth="1"/>
    <col min="2058" max="2058" width="4.28515625" customWidth="1"/>
    <col min="2305" max="2305" width="12.28515625" bestFit="1" customWidth="1"/>
    <col min="2306" max="2306" width="13.85546875" bestFit="1" customWidth="1"/>
    <col min="2307" max="2307" width="10.28515625" bestFit="1" customWidth="1"/>
    <col min="2308" max="2308" width="16" bestFit="1" customWidth="1"/>
    <col min="2314" max="2314" width="4.28515625" customWidth="1"/>
    <col min="2561" max="2561" width="12.28515625" bestFit="1" customWidth="1"/>
    <col min="2562" max="2562" width="13.85546875" bestFit="1" customWidth="1"/>
    <col min="2563" max="2563" width="10.28515625" bestFit="1" customWidth="1"/>
    <col min="2564" max="2564" width="16" bestFit="1" customWidth="1"/>
    <col min="2570" max="2570" width="4.28515625" customWidth="1"/>
    <col min="2817" max="2817" width="12.28515625" bestFit="1" customWidth="1"/>
    <col min="2818" max="2818" width="13.85546875" bestFit="1" customWidth="1"/>
    <col min="2819" max="2819" width="10.28515625" bestFit="1" customWidth="1"/>
    <col min="2820" max="2820" width="16" bestFit="1" customWidth="1"/>
    <col min="2826" max="2826" width="4.28515625" customWidth="1"/>
    <col min="3073" max="3073" width="12.28515625" bestFit="1" customWidth="1"/>
    <col min="3074" max="3074" width="13.85546875" bestFit="1" customWidth="1"/>
    <col min="3075" max="3075" width="10.28515625" bestFit="1" customWidth="1"/>
    <col min="3076" max="3076" width="16" bestFit="1" customWidth="1"/>
    <col min="3082" max="3082" width="4.28515625" customWidth="1"/>
    <col min="3329" max="3329" width="12.28515625" bestFit="1" customWidth="1"/>
    <col min="3330" max="3330" width="13.85546875" bestFit="1" customWidth="1"/>
    <col min="3331" max="3331" width="10.28515625" bestFit="1" customWidth="1"/>
    <col min="3332" max="3332" width="16" bestFit="1" customWidth="1"/>
    <col min="3338" max="3338" width="4.28515625" customWidth="1"/>
    <col min="3585" max="3585" width="12.28515625" bestFit="1" customWidth="1"/>
    <col min="3586" max="3586" width="13.85546875" bestFit="1" customWidth="1"/>
    <col min="3587" max="3587" width="10.28515625" bestFit="1" customWidth="1"/>
    <col min="3588" max="3588" width="16" bestFit="1" customWidth="1"/>
    <col min="3594" max="3594" width="4.28515625" customWidth="1"/>
    <col min="3841" max="3841" width="12.28515625" bestFit="1" customWidth="1"/>
    <col min="3842" max="3842" width="13.85546875" bestFit="1" customWidth="1"/>
    <col min="3843" max="3843" width="10.28515625" bestFit="1" customWidth="1"/>
    <col min="3844" max="3844" width="16" bestFit="1" customWidth="1"/>
    <col min="3850" max="3850" width="4.28515625" customWidth="1"/>
    <col min="4097" max="4097" width="12.28515625" bestFit="1" customWidth="1"/>
    <col min="4098" max="4098" width="13.85546875" bestFit="1" customWidth="1"/>
    <col min="4099" max="4099" width="10.28515625" bestFit="1" customWidth="1"/>
    <col min="4100" max="4100" width="16" bestFit="1" customWidth="1"/>
    <col min="4106" max="4106" width="4.28515625" customWidth="1"/>
    <col min="4353" max="4353" width="12.28515625" bestFit="1" customWidth="1"/>
    <col min="4354" max="4354" width="13.85546875" bestFit="1" customWidth="1"/>
    <col min="4355" max="4355" width="10.28515625" bestFit="1" customWidth="1"/>
    <col min="4356" max="4356" width="16" bestFit="1" customWidth="1"/>
    <col min="4362" max="4362" width="4.28515625" customWidth="1"/>
    <col min="4609" max="4609" width="12.28515625" bestFit="1" customWidth="1"/>
    <col min="4610" max="4610" width="13.85546875" bestFit="1" customWidth="1"/>
    <col min="4611" max="4611" width="10.28515625" bestFit="1" customWidth="1"/>
    <col min="4612" max="4612" width="16" bestFit="1" customWidth="1"/>
    <col min="4618" max="4618" width="4.28515625" customWidth="1"/>
    <col min="4865" max="4865" width="12.28515625" bestFit="1" customWidth="1"/>
    <col min="4866" max="4866" width="13.85546875" bestFit="1" customWidth="1"/>
    <col min="4867" max="4867" width="10.28515625" bestFit="1" customWidth="1"/>
    <col min="4868" max="4868" width="16" bestFit="1" customWidth="1"/>
    <col min="4874" max="4874" width="4.28515625" customWidth="1"/>
    <col min="5121" max="5121" width="12.28515625" bestFit="1" customWidth="1"/>
    <col min="5122" max="5122" width="13.85546875" bestFit="1" customWidth="1"/>
    <col min="5123" max="5123" width="10.28515625" bestFit="1" customWidth="1"/>
    <col min="5124" max="5124" width="16" bestFit="1" customWidth="1"/>
    <col min="5130" max="5130" width="4.28515625" customWidth="1"/>
    <col min="5377" max="5377" width="12.28515625" bestFit="1" customWidth="1"/>
    <col min="5378" max="5378" width="13.85546875" bestFit="1" customWidth="1"/>
    <col min="5379" max="5379" width="10.28515625" bestFit="1" customWidth="1"/>
    <col min="5380" max="5380" width="16" bestFit="1" customWidth="1"/>
    <col min="5386" max="5386" width="4.28515625" customWidth="1"/>
    <col min="5633" max="5633" width="12.28515625" bestFit="1" customWidth="1"/>
    <col min="5634" max="5634" width="13.85546875" bestFit="1" customWidth="1"/>
    <col min="5635" max="5635" width="10.28515625" bestFit="1" customWidth="1"/>
    <col min="5636" max="5636" width="16" bestFit="1" customWidth="1"/>
    <col min="5642" max="5642" width="4.28515625" customWidth="1"/>
    <col min="5889" max="5889" width="12.28515625" bestFit="1" customWidth="1"/>
    <col min="5890" max="5890" width="13.85546875" bestFit="1" customWidth="1"/>
    <col min="5891" max="5891" width="10.28515625" bestFit="1" customWidth="1"/>
    <col min="5892" max="5892" width="16" bestFit="1" customWidth="1"/>
    <col min="5898" max="5898" width="4.28515625" customWidth="1"/>
    <col min="6145" max="6145" width="12.28515625" bestFit="1" customWidth="1"/>
    <col min="6146" max="6146" width="13.85546875" bestFit="1" customWidth="1"/>
    <col min="6147" max="6147" width="10.28515625" bestFit="1" customWidth="1"/>
    <col min="6148" max="6148" width="16" bestFit="1" customWidth="1"/>
    <col min="6154" max="6154" width="4.28515625" customWidth="1"/>
    <col min="6401" max="6401" width="12.28515625" bestFit="1" customWidth="1"/>
    <col min="6402" max="6402" width="13.85546875" bestFit="1" customWidth="1"/>
    <col min="6403" max="6403" width="10.28515625" bestFit="1" customWidth="1"/>
    <col min="6404" max="6404" width="16" bestFit="1" customWidth="1"/>
    <col min="6410" max="6410" width="4.28515625" customWidth="1"/>
    <col min="6657" max="6657" width="12.28515625" bestFit="1" customWidth="1"/>
    <col min="6658" max="6658" width="13.85546875" bestFit="1" customWidth="1"/>
    <col min="6659" max="6659" width="10.28515625" bestFit="1" customWidth="1"/>
    <col min="6660" max="6660" width="16" bestFit="1" customWidth="1"/>
    <col min="6666" max="6666" width="4.28515625" customWidth="1"/>
    <col min="6913" max="6913" width="12.28515625" bestFit="1" customWidth="1"/>
    <col min="6914" max="6914" width="13.85546875" bestFit="1" customWidth="1"/>
    <col min="6915" max="6915" width="10.28515625" bestFit="1" customWidth="1"/>
    <col min="6916" max="6916" width="16" bestFit="1" customWidth="1"/>
    <col min="6922" max="6922" width="4.28515625" customWidth="1"/>
    <col min="7169" max="7169" width="12.28515625" bestFit="1" customWidth="1"/>
    <col min="7170" max="7170" width="13.85546875" bestFit="1" customWidth="1"/>
    <col min="7171" max="7171" width="10.28515625" bestFit="1" customWidth="1"/>
    <col min="7172" max="7172" width="16" bestFit="1" customWidth="1"/>
    <col min="7178" max="7178" width="4.28515625" customWidth="1"/>
    <col min="7425" max="7425" width="12.28515625" bestFit="1" customWidth="1"/>
    <col min="7426" max="7426" width="13.85546875" bestFit="1" customWidth="1"/>
    <col min="7427" max="7427" width="10.28515625" bestFit="1" customWidth="1"/>
    <col min="7428" max="7428" width="16" bestFit="1" customWidth="1"/>
    <col min="7434" max="7434" width="4.28515625" customWidth="1"/>
    <col min="7681" max="7681" width="12.28515625" bestFit="1" customWidth="1"/>
    <col min="7682" max="7682" width="13.85546875" bestFit="1" customWidth="1"/>
    <col min="7683" max="7683" width="10.28515625" bestFit="1" customWidth="1"/>
    <col min="7684" max="7684" width="16" bestFit="1" customWidth="1"/>
    <col min="7690" max="7690" width="4.28515625" customWidth="1"/>
    <col min="7937" max="7937" width="12.28515625" bestFit="1" customWidth="1"/>
    <col min="7938" max="7938" width="13.85546875" bestFit="1" customWidth="1"/>
    <col min="7939" max="7939" width="10.28515625" bestFit="1" customWidth="1"/>
    <col min="7940" max="7940" width="16" bestFit="1" customWidth="1"/>
    <col min="7946" max="7946" width="4.28515625" customWidth="1"/>
    <col min="8193" max="8193" width="12.28515625" bestFit="1" customWidth="1"/>
    <col min="8194" max="8194" width="13.85546875" bestFit="1" customWidth="1"/>
    <col min="8195" max="8195" width="10.28515625" bestFit="1" customWidth="1"/>
    <col min="8196" max="8196" width="16" bestFit="1" customWidth="1"/>
    <col min="8202" max="8202" width="4.28515625" customWidth="1"/>
    <col min="8449" max="8449" width="12.28515625" bestFit="1" customWidth="1"/>
    <col min="8450" max="8450" width="13.85546875" bestFit="1" customWidth="1"/>
    <col min="8451" max="8451" width="10.28515625" bestFit="1" customWidth="1"/>
    <col min="8452" max="8452" width="16" bestFit="1" customWidth="1"/>
    <col min="8458" max="8458" width="4.28515625" customWidth="1"/>
    <col min="8705" max="8705" width="12.28515625" bestFit="1" customWidth="1"/>
    <col min="8706" max="8706" width="13.85546875" bestFit="1" customWidth="1"/>
    <col min="8707" max="8707" width="10.28515625" bestFit="1" customWidth="1"/>
    <col min="8708" max="8708" width="16" bestFit="1" customWidth="1"/>
    <col min="8714" max="8714" width="4.28515625" customWidth="1"/>
    <col min="8961" max="8961" width="12.28515625" bestFit="1" customWidth="1"/>
    <col min="8962" max="8962" width="13.85546875" bestFit="1" customWidth="1"/>
    <col min="8963" max="8963" width="10.28515625" bestFit="1" customWidth="1"/>
    <col min="8964" max="8964" width="16" bestFit="1" customWidth="1"/>
    <col min="8970" max="8970" width="4.28515625" customWidth="1"/>
    <col min="9217" max="9217" width="12.28515625" bestFit="1" customWidth="1"/>
    <col min="9218" max="9218" width="13.85546875" bestFit="1" customWidth="1"/>
    <col min="9219" max="9219" width="10.28515625" bestFit="1" customWidth="1"/>
    <col min="9220" max="9220" width="16" bestFit="1" customWidth="1"/>
    <col min="9226" max="9226" width="4.28515625" customWidth="1"/>
    <col min="9473" max="9473" width="12.28515625" bestFit="1" customWidth="1"/>
    <col min="9474" max="9474" width="13.85546875" bestFit="1" customWidth="1"/>
    <col min="9475" max="9475" width="10.28515625" bestFit="1" customWidth="1"/>
    <col min="9476" max="9476" width="16" bestFit="1" customWidth="1"/>
    <col min="9482" max="9482" width="4.28515625" customWidth="1"/>
    <col min="9729" max="9729" width="12.28515625" bestFit="1" customWidth="1"/>
    <col min="9730" max="9730" width="13.85546875" bestFit="1" customWidth="1"/>
    <col min="9731" max="9731" width="10.28515625" bestFit="1" customWidth="1"/>
    <col min="9732" max="9732" width="16" bestFit="1" customWidth="1"/>
    <col min="9738" max="9738" width="4.28515625" customWidth="1"/>
    <col min="9985" max="9985" width="12.28515625" bestFit="1" customWidth="1"/>
    <col min="9986" max="9986" width="13.85546875" bestFit="1" customWidth="1"/>
    <col min="9987" max="9987" width="10.28515625" bestFit="1" customWidth="1"/>
    <col min="9988" max="9988" width="16" bestFit="1" customWidth="1"/>
    <col min="9994" max="9994" width="4.28515625" customWidth="1"/>
    <col min="10241" max="10241" width="12.28515625" bestFit="1" customWidth="1"/>
    <col min="10242" max="10242" width="13.85546875" bestFit="1" customWidth="1"/>
    <col min="10243" max="10243" width="10.28515625" bestFit="1" customWidth="1"/>
    <col min="10244" max="10244" width="16" bestFit="1" customWidth="1"/>
    <col min="10250" max="10250" width="4.28515625" customWidth="1"/>
    <col min="10497" max="10497" width="12.28515625" bestFit="1" customWidth="1"/>
    <col min="10498" max="10498" width="13.85546875" bestFit="1" customWidth="1"/>
    <col min="10499" max="10499" width="10.28515625" bestFit="1" customWidth="1"/>
    <col min="10500" max="10500" width="16" bestFit="1" customWidth="1"/>
    <col min="10506" max="10506" width="4.28515625" customWidth="1"/>
    <col min="10753" max="10753" width="12.28515625" bestFit="1" customWidth="1"/>
    <col min="10754" max="10754" width="13.85546875" bestFit="1" customWidth="1"/>
    <col min="10755" max="10755" width="10.28515625" bestFit="1" customWidth="1"/>
    <col min="10756" max="10756" width="16" bestFit="1" customWidth="1"/>
    <col min="10762" max="10762" width="4.28515625" customWidth="1"/>
    <col min="11009" max="11009" width="12.28515625" bestFit="1" customWidth="1"/>
    <col min="11010" max="11010" width="13.85546875" bestFit="1" customWidth="1"/>
    <col min="11011" max="11011" width="10.28515625" bestFit="1" customWidth="1"/>
    <col min="11012" max="11012" width="16" bestFit="1" customWidth="1"/>
    <col min="11018" max="11018" width="4.28515625" customWidth="1"/>
    <col min="11265" max="11265" width="12.28515625" bestFit="1" customWidth="1"/>
    <col min="11266" max="11266" width="13.85546875" bestFit="1" customWidth="1"/>
    <col min="11267" max="11267" width="10.28515625" bestFit="1" customWidth="1"/>
    <col min="11268" max="11268" width="16" bestFit="1" customWidth="1"/>
    <col min="11274" max="11274" width="4.28515625" customWidth="1"/>
    <col min="11521" max="11521" width="12.28515625" bestFit="1" customWidth="1"/>
    <col min="11522" max="11522" width="13.85546875" bestFit="1" customWidth="1"/>
    <col min="11523" max="11523" width="10.28515625" bestFit="1" customWidth="1"/>
    <col min="11524" max="11524" width="16" bestFit="1" customWidth="1"/>
    <col min="11530" max="11530" width="4.28515625" customWidth="1"/>
    <col min="11777" max="11777" width="12.28515625" bestFit="1" customWidth="1"/>
    <col min="11778" max="11778" width="13.85546875" bestFit="1" customWidth="1"/>
    <col min="11779" max="11779" width="10.28515625" bestFit="1" customWidth="1"/>
    <col min="11780" max="11780" width="16" bestFit="1" customWidth="1"/>
    <col min="11786" max="11786" width="4.28515625" customWidth="1"/>
    <col min="12033" max="12033" width="12.28515625" bestFit="1" customWidth="1"/>
    <col min="12034" max="12034" width="13.85546875" bestFit="1" customWidth="1"/>
    <col min="12035" max="12035" width="10.28515625" bestFit="1" customWidth="1"/>
    <col min="12036" max="12036" width="16" bestFit="1" customWidth="1"/>
    <col min="12042" max="12042" width="4.28515625" customWidth="1"/>
    <col min="12289" max="12289" width="12.28515625" bestFit="1" customWidth="1"/>
    <col min="12290" max="12290" width="13.85546875" bestFit="1" customWidth="1"/>
    <col min="12291" max="12291" width="10.28515625" bestFit="1" customWidth="1"/>
    <col min="12292" max="12292" width="16" bestFit="1" customWidth="1"/>
    <col min="12298" max="12298" width="4.28515625" customWidth="1"/>
    <col min="12545" max="12545" width="12.28515625" bestFit="1" customWidth="1"/>
    <col min="12546" max="12546" width="13.85546875" bestFit="1" customWidth="1"/>
    <col min="12547" max="12547" width="10.28515625" bestFit="1" customWidth="1"/>
    <col min="12548" max="12548" width="16" bestFit="1" customWidth="1"/>
    <col min="12554" max="12554" width="4.28515625" customWidth="1"/>
    <col min="12801" max="12801" width="12.28515625" bestFit="1" customWidth="1"/>
    <col min="12802" max="12802" width="13.85546875" bestFit="1" customWidth="1"/>
    <col min="12803" max="12803" width="10.28515625" bestFit="1" customWidth="1"/>
    <col min="12804" max="12804" width="16" bestFit="1" customWidth="1"/>
    <col min="12810" max="12810" width="4.28515625" customWidth="1"/>
    <col min="13057" max="13057" width="12.28515625" bestFit="1" customWidth="1"/>
    <col min="13058" max="13058" width="13.85546875" bestFit="1" customWidth="1"/>
    <col min="13059" max="13059" width="10.28515625" bestFit="1" customWidth="1"/>
    <col min="13060" max="13060" width="16" bestFit="1" customWidth="1"/>
    <col min="13066" max="13066" width="4.28515625" customWidth="1"/>
    <col min="13313" max="13313" width="12.28515625" bestFit="1" customWidth="1"/>
    <col min="13314" max="13314" width="13.85546875" bestFit="1" customWidth="1"/>
    <col min="13315" max="13315" width="10.28515625" bestFit="1" customWidth="1"/>
    <col min="13316" max="13316" width="16" bestFit="1" customWidth="1"/>
    <col min="13322" max="13322" width="4.28515625" customWidth="1"/>
    <col min="13569" max="13569" width="12.28515625" bestFit="1" customWidth="1"/>
    <col min="13570" max="13570" width="13.85546875" bestFit="1" customWidth="1"/>
    <col min="13571" max="13571" width="10.28515625" bestFit="1" customWidth="1"/>
    <col min="13572" max="13572" width="16" bestFit="1" customWidth="1"/>
    <col min="13578" max="13578" width="4.28515625" customWidth="1"/>
    <col min="13825" max="13825" width="12.28515625" bestFit="1" customWidth="1"/>
    <col min="13826" max="13826" width="13.85546875" bestFit="1" customWidth="1"/>
    <col min="13827" max="13827" width="10.28515625" bestFit="1" customWidth="1"/>
    <col min="13828" max="13828" width="16" bestFit="1" customWidth="1"/>
    <col min="13834" max="13834" width="4.28515625" customWidth="1"/>
    <col min="14081" max="14081" width="12.28515625" bestFit="1" customWidth="1"/>
    <col min="14082" max="14082" width="13.85546875" bestFit="1" customWidth="1"/>
    <col min="14083" max="14083" width="10.28515625" bestFit="1" customWidth="1"/>
    <col min="14084" max="14084" width="16" bestFit="1" customWidth="1"/>
    <col min="14090" max="14090" width="4.28515625" customWidth="1"/>
    <col min="14337" max="14337" width="12.28515625" bestFit="1" customWidth="1"/>
    <col min="14338" max="14338" width="13.85546875" bestFit="1" customWidth="1"/>
    <col min="14339" max="14339" width="10.28515625" bestFit="1" customWidth="1"/>
    <col min="14340" max="14340" width="16" bestFit="1" customWidth="1"/>
    <col min="14346" max="14346" width="4.28515625" customWidth="1"/>
    <col min="14593" max="14593" width="12.28515625" bestFit="1" customWidth="1"/>
    <col min="14594" max="14594" width="13.85546875" bestFit="1" customWidth="1"/>
    <col min="14595" max="14595" width="10.28515625" bestFit="1" customWidth="1"/>
    <col min="14596" max="14596" width="16" bestFit="1" customWidth="1"/>
    <col min="14602" max="14602" width="4.28515625" customWidth="1"/>
    <col min="14849" max="14849" width="12.28515625" bestFit="1" customWidth="1"/>
    <col min="14850" max="14850" width="13.85546875" bestFit="1" customWidth="1"/>
    <col min="14851" max="14851" width="10.28515625" bestFit="1" customWidth="1"/>
    <col min="14852" max="14852" width="16" bestFit="1" customWidth="1"/>
    <col min="14858" max="14858" width="4.28515625" customWidth="1"/>
    <col min="15105" max="15105" width="12.28515625" bestFit="1" customWidth="1"/>
    <col min="15106" max="15106" width="13.85546875" bestFit="1" customWidth="1"/>
    <col min="15107" max="15107" width="10.28515625" bestFit="1" customWidth="1"/>
    <col min="15108" max="15108" width="16" bestFit="1" customWidth="1"/>
    <col min="15114" max="15114" width="4.28515625" customWidth="1"/>
    <col min="15361" max="15361" width="12.28515625" bestFit="1" customWidth="1"/>
    <col min="15362" max="15362" width="13.85546875" bestFit="1" customWidth="1"/>
    <col min="15363" max="15363" width="10.28515625" bestFit="1" customWidth="1"/>
    <col min="15364" max="15364" width="16" bestFit="1" customWidth="1"/>
    <col min="15370" max="15370" width="4.28515625" customWidth="1"/>
    <col min="15617" max="15617" width="12.28515625" bestFit="1" customWidth="1"/>
    <col min="15618" max="15618" width="13.85546875" bestFit="1" customWidth="1"/>
    <col min="15619" max="15619" width="10.28515625" bestFit="1" customWidth="1"/>
    <col min="15620" max="15620" width="16" bestFit="1" customWidth="1"/>
    <col min="15626" max="15626" width="4.28515625" customWidth="1"/>
    <col min="15873" max="15873" width="12.28515625" bestFit="1" customWidth="1"/>
    <col min="15874" max="15874" width="13.85546875" bestFit="1" customWidth="1"/>
    <col min="15875" max="15875" width="10.28515625" bestFit="1" customWidth="1"/>
    <col min="15876" max="15876" width="16" bestFit="1" customWidth="1"/>
    <col min="15882" max="15882" width="4.28515625" customWidth="1"/>
    <col min="16129" max="16129" width="12.28515625" bestFit="1" customWidth="1"/>
    <col min="16130" max="16130" width="13.85546875" bestFit="1" customWidth="1"/>
    <col min="16131" max="16131" width="10.28515625" bestFit="1" customWidth="1"/>
    <col min="16132" max="16132" width="16" bestFit="1" customWidth="1"/>
    <col min="16138" max="16138" width="4.28515625" customWidth="1"/>
  </cols>
  <sheetData>
    <row r="1" spans="1:19" x14ac:dyDescent="0.25">
      <c r="A1" t="s">
        <v>0</v>
      </c>
      <c r="B1" t="s">
        <v>32</v>
      </c>
      <c r="C1" t="s">
        <v>1556</v>
      </c>
      <c r="J1" s="410" t="str">
        <f>ROWS(J$1:J1)&amp;")"</f>
        <v>1)</v>
      </c>
      <c r="K1" s="411" t="s">
        <v>1557</v>
      </c>
      <c r="L1" s="411"/>
      <c r="M1" s="411"/>
      <c r="N1" s="411"/>
      <c r="O1" s="411"/>
      <c r="P1" s="411"/>
      <c r="Q1" s="411"/>
      <c r="R1" s="411"/>
      <c r="S1" s="411"/>
    </row>
    <row r="2" spans="1:19" ht="26.25" x14ac:dyDescent="0.25">
      <c r="A2" s="412">
        <v>39904</v>
      </c>
      <c r="B2" s="413">
        <v>0.71341097395105568</v>
      </c>
      <c r="C2">
        <v>42.92</v>
      </c>
      <c r="J2" s="410" t="str">
        <f>ROWS(J$1:J2)&amp;")"</f>
        <v>2)</v>
      </c>
      <c r="K2" s="411" t="s">
        <v>1558</v>
      </c>
      <c r="L2" s="411"/>
      <c r="M2" s="411"/>
      <c r="N2" s="411"/>
      <c r="O2" s="411"/>
      <c r="P2" s="411"/>
      <c r="Q2" s="411"/>
      <c r="R2" s="411"/>
      <c r="S2" s="411"/>
    </row>
    <row r="3" spans="1:19" ht="26.25" x14ac:dyDescent="0.25">
      <c r="A3" s="412">
        <v>39905</v>
      </c>
      <c r="B3" s="413">
        <v>0.99304123200145855</v>
      </c>
      <c r="C3">
        <v>42.61</v>
      </c>
      <c r="J3" s="410" t="str">
        <f>ROWS(J$1:J3)&amp;")"</f>
        <v>3)</v>
      </c>
      <c r="K3" s="411" t="s">
        <v>1559</v>
      </c>
      <c r="L3" s="411"/>
      <c r="M3" s="411"/>
      <c r="N3" s="411"/>
      <c r="O3" s="411"/>
      <c r="P3" s="411"/>
      <c r="Q3" s="411"/>
      <c r="R3" s="411"/>
      <c r="S3" s="411"/>
    </row>
    <row r="4" spans="1:19" ht="39" x14ac:dyDescent="0.25">
      <c r="A4" s="412">
        <v>39906</v>
      </c>
      <c r="B4" s="413">
        <v>0.49942940415227333</v>
      </c>
      <c r="C4">
        <v>49.69</v>
      </c>
      <c r="J4" s="410" t="str">
        <f>ROWS(J$1:J4)&amp;")"</f>
        <v>4)</v>
      </c>
      <c r="K4" s="411" t="s">
        <v>1560</v>
      </c>
      <c r="L4" s="411"/>
      <c r="M4" s="411"/>
      <c r="N4" s="411"/>
      <c r="O4" s="411"/>
      <c r="P4" s="411"/>
      <c r="Q4" s="411"/>
      <c r="R4" s="411"/>
      <c r="S4" s="411"/>
    </row>
    <row r="5" spans="1:19" x14ac:dyDescent="0.25">
      <c r="A5" s="412">
        <v>39907</v>
      </c>
      <c r="B5" s="413">
        <v>0.94540784374630871</v>
      </c>
      <c r="C5">
        <v>44.58</v>
      </c>
      <c r="J5" s="410" t="str">
        <f>ROWS(J$1:J5)&amp;")"</f>
        <v>5)</v>
      </c>
      <c r="K5" s="411" t="s">
        <v>1561</v>
      </c>
      <c r="L5" s="411"/>
      <c r="M5" s="411"/>
      <c r="N5" s="411"/>
      <c r="O5" s="411"/>
      <c r="P5" s="411"/>
      <c r="Q5" s="411"/>
      <c r="R5" s="411"/>
      <c r="S5" s="411"/>
    </row>
    <row r="6" spans="1:19" ht="39" x14ac:dyDescent="0.25">
      <c r="A6" s="412">
        <v>39908</v>
      </c>
      <c r="B6" s="413">
        <v>1.3948238920765021E-2</v>
      </c>
      <c r="C6">
        <v>43.03</v>
      </c>
      <c r="J6" s="410" t="str">
        <f>ROWS(J$1:J6)&amp;")"</f>
        <v>6)</v>
      </c>
      <c r="K6" s="411" t="s">
        <v>1562</v>
      </c>
      <c r="L6" s="411"/>
      <c r="M6" s="411"/>
      <c r="N6" s="411"/>
      <c r="O6" s="411"/>
      <c r="P6" s="411"/>
      <c r="Q6" s="411"/>
      <c r="R6" s="411"/>
      <c r="S6" s="411"/>
    </row>
    <row r="7" spans="1:19" x14ac:dyDescent="0.25">
      <c r="A7" s="412">
        <v>39909</v>
      </c>
      <c r="B7" s="413">
        <v>0.49261952139551646</v>
      </c>
      <c r="C7">
        <v>43.94</v>
      </c>
    </row>
    <row r="8" spans="1:19" x14ac:dyDescent="0.25">
      <c r="A8" s="412">
        <v>39910</v>
      </c>
      <c r="B8" s="413">
        <v>0.83507342224425618</v>
      </c>
      <c r="C8">
        <v>43.74</v>
      </c>
    </row>
    <row r="9" spans="1:19" x14ac:dyDescent="0.25">
      <c r="A9" s="412">
        <v>39911</v>
      </c>
      <c r="B9" s="413">
        <v>0.93304792675110204</v>
      </c>
      <c r="C9">
        <v>48.37</v>
      </c>
    </row>
    <row r="10" spans="1:19" x14ac:dyDescent="0.25">
      <c r="A10" s="412">
        <v>39912</v>
      </c>
      <c r="B10" s="413">
        <v>3.086387324874762E-2</v>
      </c>
      <c r="C10">
        <v>42.56</v>
      </c>
    </row>
    <row r="11" spans="1:19" x14ac:dyDescent="0.25">
      <c r="A11" s="412">
        <v>39913</v>
      </c>
      <c r="B11" s="413">
        <v>0.37076430936306948</v>
      </c>
      <c r="C11">
        <v>41.18</v>
      </c>
    </row>
    <row r="12" spans="1:19" x14ac:dyDescent="0.25">
      <c r="A12" s="412">
        <v>39914</v>
      </c>
      <c r="B12" s="413">
        <v>0.24418885120404754</v>
      </c>
      <c r="C12">
        <v>47.980000000000004</v>
      </c>
    </row>
    <row r="13" spans="1:19" x14ac:dyDescent="0.25">
      <c r="A13" s="412">
        <v>39915</v>
      </c>
      <c r="B13" s="413">
        <v>0.22160463272276409</v>
      </c>
      <c r="C13">
        <v>47.62</v>
      </c>
    </row>
    <row r="14" spans="1:19" x14ac:dyDescent="0.25">
      <c r="A14" s="412">
        <v>39916</v>
      </c>
      <c r="B14" s="413">
        <v>0.73260493511802394</v>
      </c>
      <c r="C14">
        <v>44.99</v>
      </c>
    </row>
    <row r="15" spans="1:19" x14ac:dyDescent="0.25">
      <c r="A15" s="412">
        <v>39917</v>
      </c>
      <c r="B15" s="413">
        <v>0.49052335369229239</v>
      </c>
      <c r="C15">
        <v>43.41</v>
      </c>
    </row>
    <row r="16" spans="1:19" x14ac:dyDescent="0.25">
      <c r="A16" s="412">
        <v>39918</v>
      </c>
      <c r="B16" s="413">
        <v>0.27050617814723843</v>
      </c>
      <c r="C16">
        <v>41.82</v>
      </c>
    </row>
    <row r="17" spans="1:3" x14ac:dyDescent="0.25">
      <c r="A17" s="412">
        <v>39919</v>
      </c>
      <c r="B17" s="413">
        <v>0.4950739118005747</v>
      </c>
      <c r="C17">
        <v>49.31</v>
      </c>
    </row>
    <row r="18" spans="1:3" x14ac:dyDescent="0.25">
      <c r="A18" s="412">
        <v>39920</v>
      </c>
      <c r="B18" s="413">
        <v>0.72728927390612785</v>
      </c>
      <c r="C18">
        <v>42.77</v>
      </c>
    </row>
    <row r="19" spans="1:3" x14ac:dyDescent="0.25">
      <c r="A19" s="412">
        <v>39921</v>
      </c>
      <c r="B19" s="413">
        <v>7.8056296587392993E-2</v>
      </c>
      <c r="C19">
        <v>45.769999999999996</v>
      </c>
    </row>
    <row r="20" spans="1:3" x14ac:dyDescent="0.25">
      <c r="A20" s="412">
        <v>39922</v>
      </c>
      <c r="B20" s="413">
        <v>2.5721703530354967E-2</v>
      </c>
      <c r="C20">
        <v>42.04</v>
      </c>
    </row>
    <row r="21" spans="1:3" x14ac:dyDescent="0.25">
      <c r="A21" s="412">
        <v>39923</v>
      </c>
      <c r="B21" s="413">
        <v>0.99817869066818865</v>
      </c>
      <c r="C21">
        <v>41.81</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167">
    <tabColor rgb="FFFFFF00"/>
  </sheetPr>
  <dimension ref="A1:S21"/>
  <sheetViews>
    <sheetView zoomScale="70" zoomScaleNormal="70" workbookViewId="0">
      <selection activeCell="E1" sqref="E1"/>
    </sheetView>
  </sheetViews>
  <sheetFormatPr defaultRowHeight="15" x14ac:dyDescent="0.25"/>
  <cols>
    <col min="2" max="2" width="13.85546875" bestFit="1" customWidth="1"/>
    <col min="3" max="3" width="10.28515625" bestFit="1" customWidth="1"/>
    <col min="4" max="7" width="10.28515625" customWidth="1"/>
    <col min="10" max="10" width="4.28515625" customWidth="1"/>
    <col min="258" max="258" width="13.85546875" bestFit="1" customWidth="1"/>
    <col min="259" max="259" width="10.28515625" bestFit="1" customWidth="1"/>
    <col min="260" max="263" width="10.28515625" customWidth="1"/>
    <col min="266" max="266" width="4.28515625" customWidth="1"/>
    <col min="514" max="514" width="13.85546875" bestFit="1" customWidth="1"/>
    <col min="515" max="515" width="10.28515625" bestFit="1" customWidth="1"/>
    <col min="516" max="519" width="10.28515625" customWidth="1"/>
    <col min="522" max="522" width="4.28515625" customWidth="1"/>
    <col min="770" max="770" width="13.85546875" bestFit="1" customWidth="1"/>
    <col min="771" max="771" width="10.28515625" bestFit="1" customWidth="1"/>
    <col min="772" max="775" width="10.28515625" customWidth="1"/>
    <col min="778" max="778" width="4.28515625" customWidth="1"/>
    <col min="1026" max="1026" width="13.85546875" bestFit="1" customWidth="1"/>
    <col min="1027" max="1027" width="10.28515625" bestFit="1" customWidth="1"/>
    <col min="1028" max="1031" width="10.28515625" customWidth="1"/>
    <col min="1034" max="1034" width="4.28515625" customWidth="1"/>
    <col min="1282" max="1282" width="13.85546875" bestFit="1" customWidth="1"/>
    <col min="1283" max="1283" width="10.28515625" bestFit="1" customWidth="1"/>
    <col min="1284" max="1287" width="10.28515625" customWidth="1"/>
    <col min="1290" max="1290" width="4.28515625" customWidth="1"/>
    <col min="1538" max="1538" width="13.85546875" bestFit="1" customWidth="1"/>
    <col min="1539" max="1539" width="10.28515625" bestFit="1" customWidth="1"/>
    <col min="1540" max="1543" width="10.28515625" customWidth="1"/>
    <col min="1546" max="1546" width="4.28515625" customWidth="1"/>
    <col min="1794" max="1794" width="13.85546875" bestFit="1" customWidth="1"/>
    <col min="1795" max="1795" width="10.28515625" bestFit="1" customWidth="1"/>
    <col min="1796" max="1799" width="10.28515625" customWidth="1"/>
    <col min="1802" max="1802" width="4.28515625" customWidth="1"/>
    <col min="2050" max="2050" width="13.85546875" bestFit="1" customWidth="1"/>
    <col min="2051" max="2051" width="10.28515625" bestFit="1" customWidth="1"/>
    <col min="2052" max="2055" width="10.28515625" customWidth="1"/>
    <col min="2058" max="2058" width="4.28515625" customWidth="1"/>
    <col min="2306" max="2306" width="13.85546875" bestFit="1" customWidth="1"/>
    <col min="2307" max="2307" width="10.28515625" bestFit="1" customWidth="1"/>
    <col min="2308" max="2311" width="10.28515625" customWidth="1"/>
    <col min="2314" max="2314" width="4.28515625" customWidth="1"/>
    <col min="2562" max="2562" width="13.85546875" bestFit="1" customWidth="1"/>
    <col min="2563" max="2563" width="10.28515625" bestFit="1" customWidth="1"/>
    <col min="2564" max="2567" width="10.28515625" customWidth="1"/>
    <col min="2570" max="2570" width="4.28515625" customWidth="1"/>
    <col min="2818" max="2818" width="13.85546875" bestFit="1" customWidth="1"/>
    <col min="2819" max="2819" width="10.28515625" bestFit="1" customWidth="1"/>
    <col min="2820" max="2823" width="10.28515625" customWidth="1"/>
    <col min="2826" max="2826" width="4.28515625" customWidth="1"/>
    <col min="3074" max="3074" width="13.85546875" bestFit="1" customWidth="1"/>
    <col min="3075" max="3075" width="10.28515625" bestFit="1" customWidth="1"/>
    <col min="3076" max="3079" width="10.28515625" customWidth="1"/>
    <col min="3082" max="3082" width="4.28515625" customWidth="1"/>
    <col min="3330" max="3330" width="13.85546875" bestFit="1" customWidth="1"/>
    <col min="3331" max="3331" width="10.28515625" bestFit="1" customWidth="1"/>
    <col min="3332" max="3335" width="10.28515625" customWidth="1"/>
    <col min="3338" max="3338" width="4.28515625" customWidth="1"/>
    <col min="3586" max="3586" width="13.85546875" bestFit="1" customWidth="1"/>
    <col min="3587" max="3587" width="10.28515625" bestFit="1" customWidth="1"/>
    <col min="3588" max="3591" width="10.28515625" customWidth="1"/>
    <col min="3594" max="3594" width="4.28515625" customWidth="1"/>
    <col min="3842" max="3842" width="13.85546875" bestFit="1" customWidth="1"/>
    <col min="3843" max="3843" width="10.28515625" bestFit="1" customWidth="1"/>
    <col min="3844" max="3847" width="10.28515625" customWidth="1"/>
    <col min="3850" max="3850" width="4.28515625" customWidth="1"/>
    <col min="4098" max="4098" width="13.85546875" bestFit="1" customWidth="1"/>
    <col min="4099" max="4099" width="10.28515625" bestFit="1" customWidth="1"/>
    <col min="4100" max="4103" width="10.28515625" customWidth="1"/>
    <col min="4106" max="4106" width="4.28515625" customWidth="1"/>
    <col min="4354" max="4354" width="13.85546875" bestFit="1" customWidth="1"/>
    <col min="4355" max="4355" width="10.28515625" bestFit="1" customWidth="1"/>
    <col min="4356" max="4359" width="10.28515625" customWidth="1"/>
    <col min="4362" max="4362" width="4.28515625" customWidth="1"/>
    <col min="4610" max="4610" width="13.85546875" bestFit="1" customWidth="1"/>
    <col min="4611" max="4611" width="10.28515625" bestFit="1" customWidth="1"/>
    <col min="4612" max="4615" width="10.28515625" customWidth="1"/>
    <col min="4618" max="4618" width="4.28515625" customWidth="1"/>
    <col min="4866" max="4866" width="13.85546875" bestFit="1" customWidth="1"/>
    <col min="4867" max="4867" width="10.28515625" bestFit="1" customWidth="1"/>
    <col min="4868" max="4871" width="10.28515625" customWidth="1"/>
    <col min="4874" max="4874" width="4.28515625" customWidth="1"/>
    <col min="5122" max="5122" width="13.85546875" bestFit="1" customWidth="1"/>
    <col min="5123" max="5123" width="10.28515625" bestFit="1" customWidth="1"/>
    <col min="5124" max="5127" width="10.28515625" customWidth="1"/>
    <col min="5130" max="5130" width="4.28515625" customWidth="1"/>
    <col min="5378" max="5378" width="13.85546875" bestFit="1" customWidth="1"/>
    <col min="5379" max="5379" width="10.28515625" bestFit="1" customWidth="1"/>
    <col min="5380" max="5383" width="10.28515625" customWidth="1"/>
    <col min="5386" max="5386" width="4.28515625" customWidth="1"/>
    <col min="5634" max="5634" width="13.85546875" bestFit="1" customWidth="1"/>
    <col min="5635" max="5635" width="10.28515625" bestFit="1" customWidth="1"/>
    <col min="5636" max="5639" width="10.28515625" customWidth="1"/>
    <col min="5642" max="5642" width="4.28515625" customWidth="1"/>
    <col min="5890" max="5890" width="13.85546875" bestFit="1" customWidth="1"/>
    <col min="5891" max="5891" width="10.28515625" bestFit="1" customWidth="1"/>
    <col min="5892" max="5895" width="10.28515625" customWidth="1"/>
    <col min="5898" max="5898" width="4.28515625" customWidth="1"/>
    <col min="6146" max="6146" width="13.85546875" bestFit="1" customWidth="1"/>
    <col min="6147" max="6147" width="10.28515625" bestFit="1" customWidth="1"/>
    <col min="6148" max="6151" width="10.28515625" customWidth="1"/>
    <col min="6154" max="6154" width="4.28515625" customWidth="1"/>
    <col min="6402" max="6402" width="13.85546875" bestFit="1" customWidth="1"/>
    <col min="6403" max="6403" width="10.28515625" bestFit="1" customWidth="1"/>
    <col min="6404" max="6407" width="10.28515625" customWidth="1"/>
    <col min="6410" max="6410" width="4.28515625" customWidth="1"/>
    <col min="6658" max="6658" width="13.85546875" bestFit="1" customWidth="1"/>
    <col min="6659" max="6659" width="10.28515625" bestFit="1" customWidth="1"/>
    <col min="6660" max="6663" width="10.28515625" customWidth="1"/>
    <col min="6666" max="6666" width="4.28515625" customWidth="1"/>
    <col min="6914" max="6914" width="13.85546875" bestFit="1" customWidth="1"/>
    <col min="6915" max="6915" width="10.28515625" bestFit="1" customWidth="1"/>
    <col min="6916" max="6919" width="10.28515625" customWidth="1"/>
    <col min="6922" max="6922" width="4.28515625" customWidth="1"/>
    <col min="7170" max="7170" width="13.85546875" bestFit="1" customWidth="1"/>
    <col min="7171" max="7171" width="10.28515625" bestFit="1" customWidth="1"/>
    <col min="7172" max="7175" width="10.28515625" customWidth="1"/>
    <col min="7178" max="7178" width="4.28515625" customWidth="1"/>
    <col min="7426" max="7426" width="13.85546875" bestFit="1" customWidth="1"/>
    <col min="7427" max="7427" width="10.28515625" bestFit="1" customWidth="1"/>
    <col min="7428" max="7431" width="10.28515625" customWidth="1"/>
    <col min="7434" max="7434" width="4.28515625" customWidth="1"/>
    <col min="7682" max="7682" width="13.85546875" bestFit="1" customWidth="1"/>
    <col min="7683" max="7683" width="10.28515625" bestFit="1" customWidth="1"/>
    <col min="7684" max="7687" width="10.28515625" customWidth="1"/>
    <col min="7690" max="7690" width="4.28515625" customWidth="1"/>
    <col min="7938" max="7938" width="13.85546875" bestFit="1" customWidth="1"/>
    <col min="7939" max="7939" width="10.28515625" bestFit="1" customWidth="1"/>
    <col min="7940" max="7943" width="10.28515625" customWidth="1"/>
    <col min="7946" max="7946" width="4.28515625" customWidth="1"/>
    <col min="8194" max="8194" width="13.85546875" bestFit="1" customWidth="1"/>
    <col min="8195" max="8195" width="10.28515625" bestFit="1" customWidth="1"/>
    <col min="8196" max="8199" width="10.28515625" customWidth="1"/>
    <col min="8202" max="8202" width="4.28515625" customWidth="1"/>
    <col min="8450" max="8450" width="13.85546875" bestFit="1" customWidth="1"/>
    <col min="8451" max="8451" width="10.28515625" bestFit="1" customWidth="1"/>
    <col min="8452" max="8455" width="10.28515625" customWidth="1"/>
    <col min="8458" max="8458" width="4.28515625" customWidth="1"/>
    <col min="8706" max="8706" width="13.85546875" bestFit="1" customWidth="1"/>
    <col min="8707" max="8707" width="10.28515625" bestFit="1" customWidth="1"/>
    <col min="8708" max="8711" width="10.28515625" customWidth="1"/>
    <col min="8714" max="8714" width="4.28515625" customWidth="1"/>
    <col min="8962" max="8962" width="13.85546875" bestFit="1" customWidth="1"/>
    <col min="8963" max="8963" width="10.28515625" bestFit="1" customWidth="1"/>
    <col min="8964" max="8967" width="10.28515625" customWidth="1"/>
    <col min="8970" max="8970" width="4.28515625" customWidth="1"/>
    <col min="9218" max="9218" width="13.85546875" bestFit="1" customWidth="1"/>
    <col min="9219" max="9219" width="10.28515625" bestFit="1" customWidth="1"/>
    <col min="9220" max="9223" width="10.28515625" customWidth="1"/>
    <col min="9226" max="9226" width="4.28515625" customWidth="1"/>
    <col min="9474" max="9474" width="13.85546875" bestFit="1" customWidth="1"/>
    <col min="9475" max="9475" width="10.28515625" bestFit="1" customWidth="1"/>
    <col min="9476" max="9479" width="10.28515625" customWidth="1"/>
    <col min="9482" max="9482" width="4.28515625" customWidth="1"/>
    <col min="9730" max="9730" width="13.85546875" bestFit="1" customWidth="1"/>
    <col min="9731" max="9731" width="10.28515625" bestFit="1" customWidth="1"/>
    <col min="9732" max="9735" width="10.28515625" customWidth="1"/>
    <col min="9738" max="9738" width="4.28515625" customWidth="1"/>
    <col min="9986" max="9986" width="13.85546875" bestFit="1" customWidth="1"/>
    <col min="9987" max="9987" width="10.28515625" bestFit="1" customWidth="1"/>
    <col min="9988" max="9991" width="10.28515625" customWidth="1"/>
    <col min="9994" max="9994" width="4.28515625" customWidth="1"/>
    <col min="10242" max="10242" width="13.85546875" bestFit="1" customWidth="1"/>
    <col min="10243" max="10243" width="10.28515625" bestFit="1" customWidth="1"/>
    <col min="10244" max="10247" width="10.28515625" customWidth="1"/>
    <col min="10250" max="10250" width="4.28515625" customWidth="1"/>
    <col min="10498" max="10498" width="13.85546875" bestFit="1" customWidth="1"/>
    <col min="10499" max="10499" width="10.28515625" bestFit="1" customWidth="1"/>
    <col min="10500" max="10503" width="10.28515625" customWidth="1"/>
    <col min="10506" max="10506" width="4.28515625" customWidth="1"/>
    <col min="10754" max="10754" width="13.85546875" bestFit="1" customWidth="1"/>
    <col min="10755" max="10755" width="10.28515625" bestFit="1" customWidth="1"/>
    <col min="10756" max="10759" width="10.28515625" customWidth="1"/>
    <col min="10762" max="10762" width="4.28515625" customWidth="1"/>
    <col min="11010" max="11010" width="13.85546875" bestFit="1" customWidth="1"/>
    <col min="11011" max="11011" width="10.28515625" bestFit="1" customWidth="1"/>
    <col min="11012" max="11015" width="10.28515625" customWidth="1"/>
    <col min="11018" max="11018" width="4.28515625" customWidth="1"/>
    <col min="11266" max="11266" width="13.85546875" bestFit="1" customWidth="1"/>
    <col min="11267" max="11267" width="10.28515625" bestFit="1" customWidth="1"/>
    <col min="11268" max="11271" width="10.28515625" customWidth="1"/>
    <col min="11274" max="11274" width="4.28515625" customWidth="1"/>
    <col min="11522" max="11522" width="13.85546875" bestFit="1" customWidth="1"/>
    <col min="11523" max="11523" width="10.28515625" bestFit="1" customWidth="1"/>
    <col min="11524" max="11527" width="10.28515625" customWidth="1"/>
    <col min="11530" max="11530" width="4.28515625" customWidth="1"/>
    <col min="11778" max="11778" width="13.85546875" bestFit="1" customWidth="1"/>
    <col min="11779" max="11779" width="10.28515625" bestFit="1" customWidth="1"/>
    <col min="11780" max="11783" width="10.28515625" customWidth="1"/>
    <col min="11786" max="11786" width="4.28515625" customWidth="1"/>
    <col min="12034" max="12034" width="13.85546875" bestFit="1" customWidth="1"/>
    <col min="12035" max="12035" width="10.28515625" bestFit="1" customWidth="1"/>
    <col min="12036" max="12039" width="10.28515625" customWidth="1"/>
    <col min="12042" max="12042" width="4.28515625" customWidth="1"/>
    <col min="12290" max="12290" width="13.85546875" bestFit="1" customWidth="1"/>
    <col min="12291" max="12291" width="10.28515625" bestFit="1" customWidth="1"/>
    <col min="12292" max="12295" width="10.28515625" customWidth="1"/>
    <col min="12298" max="12298" width="4.28515625" customWidth="1"/>
    <col min="12546" max="12546" width="13.85546875" bestFit="1" customWidth="1"/>
    <col min="12547" max="12547" width="10.28515625" bestFit="1" customWidth="1"/>
    <col min="12548" max="12551" width="10.28515625" customWidth="1"/>
    <col min="12554" max="12554" width="4.28515625" customWidth="1"/>
    <col min="12802" max="12802" width="13.85546875" bestFit="1" customWidth="1"/>
    <col min="12803" max="12803" width="10.28515625" bestFit="1" customWidth="1"/>
    <col min="12804" max="12807" width="10.28515625" customWidth="1"/>
    <col min="12810" max="12810" width="4.28515625" customWidth="1"/>
    <col min="13058" max="13058" width="13.85546875" bestFit="1" customWidth="1"/>
    <col min="13059" max="13059" width="10.28515625" bestFit="1" customWidth="1"/>
    <col min="13060" max="13063" width="10.28515625" customWidth="1"/>
    <col min="13066" max="13066" width="4.28515625" customWidth="1"/>
    <col min="13314" max="13314" width="13.85546875" bestFit="1" customWidth="1"/>
    <col min="13315" max="13315" width="10.28515625" bestFit="1" customWidth="1"/>
    <col min="13316" max="13319" width="10.28515625" customWidth="1"/>
    <col min="13322" max="13322" width="4.28515625" customWidth="1"/>
    <col min="13570" max="13570" width="13.85546875" bestFit="1" customWidth="1"/>
    <col min="13571" max="13571" width="10.28515625" bestFit="1" customWidth="1"/>
    <col min="13572" max="13575" width="10.28515625" customWidth="1"/>
    <col min="13578" max="13578" width="4.28515625" customWidth="1"/>
    <col min="13826" max="13826" width="13.85546875" bestFit="1" customWidth="1"/>
    <col min="13827" max="13827" width="10.28515625" bestFit="1" customWidth="1"/>
    <col min="13828" max="13831" width="10.28515625" customWidth="1"/>
    <col min="13834" max="13834" width="4.28515625" customWidth="1"/>
    <col min="14082" max="14082" width="13.85546875" bestFit="1" customWidth="1"/>
    <col min="14083" max="14083" width="10.28515625" bestFit="1" customWidth="1"/>
    <col min="14084" max="14087" width="10.28515625" customWidth="1"/>
    <col min="14090" max="14090" width="4.28515625" customWidth="1"/>
    <col min="14338" max="14338" width="13.85546875" bestFit="1" customWidth="1"/>
    <col min="14339" max="14339" width="10.28515625" bestFit="1" customWidth="1"/>
    <col min="14340" max="14343" width="10.28515625" customWidth="1"/>
    <col min="14346" max="14346" width="4.28515625" customWidth="1"/>
    <col min="14594" max="14594" width="13.85546875" bestFit="1" customWidth="1"/>
    <col min="14595" max="14595" width="10.28515625" bestFit="1" customWidth="1"/>
    <col min="14596" max="14599" width="10.28515625" customWidth="1"/>
    <col min="14602" max="14602" width="4.28515625" customWidth="1"/>
    <col min="14850" max="14850" width="13.85546875" bestFit="1" customWidth="1"/>
    <col min="14851" max="14851" width="10.28515625" bestFit="1" customWidth="1"/>
    <col min="14852" max="14855" width="10.28515625" customWidth="1"/>
    <col min="14858" max="14858" width="4.28515625" customWidth="1"/>
    <col min="15106" max="15106" width="13.85546875" bestFit="1" customWidth="1"/>
    <col min="15107" max="15107" width="10.28515625" bestFit="1" customWidth="1"/>
    <col min="15108" max="15111" width="10.28515625" customWidth="1"/>
    <col min="15114" max="15114" width="4.28515625" customWidth="1"/>
    <col min="15362" max="15362" width="13.85546875" bestFit="1" customWidth="1"/>
    <col min="15363" max="15363" width="10.28515625" bestFit="1" customWidth="1"/>
    <col min="15364" max="15367" width="10.28515625" customWidth="1"/>
    <col min="15370" max="15370" width="4.28515625" customWidth="1"/>
    <col min="15618" max="15618" width="13.85546875" bestFit="1" customWidth="1"/>
    <col min="15619" max="15619" width="10.28515625" bestFit="1" customWidth="1"/>
    <col min="15620" max="15623" width="10.28515625" customWidth="1"/>
    <col min="15626" max="15626" width="4.28515625" customWidth="1"/>
    <col min="15874" max="15874" width="13.85546875" bestFit="1" customWidth="1"/>
    <col min="15875" max="15875" width="10.28515625" bestFit="1" customWidth="1"/>
    <col min="15876" max="15879" width="10.28515625" customWidth="1"/>
    <col min="15882" max="15882" width="4.28515625" customWidth="1"/>
    <col min="16130" max="16130" width="13.85546875" bestFit="1" customWidth="1"/>
    <col min="16131" max="16131" width="10.28515625" bestFit="1" customWidth="1"/>
    <col min="16132" max="16135" width="10.28515625" customWidth="1"/>
    <col min="16138" max="16138" width="4.28515625" customWidth="1"/>
  </cols>
  <sheetData>
    <row r="1" spans="1:19" x14ac:dyDescent="0.25">
      <c r="A1" t="s">
        <v>0</v>
      </c>
      <c r="B1" t="s">
        <v>32</v>
      </c>
      <c r="C1" t="s">
        <v>1556</v>
      </c>
      <c r="J1" s="410" t="str">
        <f>ROWS(J$1:J1)&amp;")"</f>
        <v>1)</v>
      </c>
      <c r="K1" s="411" t="s">
        <v>1557</v>
      </c>
      <c r="L1" s="411"/>
      <c r="M1" s="411"/>
      <c r="N1" s="411"/>
      <c r="O1" s="411"/>
      <c r="P1" s="411"/>
      <c r="Q1" s="411"/>
      <c r="R1" s="411"/>
      <c r="S1" s="411"/>
    </row>
    <row r="2" spans="1:19" ht="26.25" x14ac:dyDescent="0.25">
      <c r="A2" s="412">
        <v>39904</v>
      </c>
      <c r="B2" s="413">
        <v>0.71341097395105568</v>
      </c>
      <c r="C2">
        <v>42.92</v>
      </c>
      <c r="J2" s="410" t="str">
        <f>ROWS(J$1:J2)&amp;")"</f>
        <v>2)</v>
      </c>
      <c r="K2" s="411" t="s">
        <v>1558</v>
      </c>
      <c r="L2" s="411"/>
      <c r="M2" s="411"/>
      <c r="N2" s="411"/>
      <c r="O2" s="411"/>
      <c r="P2" s="411"/>
      <c r="Q2" s="411"/>
      <c r="R2" s="411"/>
      <c r="S2" s="411"/>
    </row>
    <row r="3" spans="1:19" ht="26.25" x14ac:dyDescent="0.25">
      <c r="A3" s="412">
        <v>39905</v>
      </c>
      <c r="B3" s="413">
        <v>0.99304123200145855</v>
      </c>
      <c r="C3">
        <v>42.61</v>
      </c>
      <c r="J3" s="410" t="str">
        <f>ROWS(J$1:J3)&amp;")"</f>
        <v>3)</v>
      </c>
      <c r="K3" s="411" t="s">
        <v>1559</v>
      </c>
      <c r="L3" s="411"/>
      <c r="M3" s="411"/>
      <c r="N3" s="411"/>
      <c r="O3" s="411"/>
      <c r="P3" s="411"/>
      <c r="Q3" s="411"/>
      <c r="R3" s="411"/>
      <c r="S3" s="411"/>
    </row>
    <row r="4" spans="1:19" ht="39" x14ac:dyDescent="0.25">
      <c r="A4" s="412">
        <v>39906</v>
      </c>
      <c r="B4" s="413">
        <v>0.49942940415227333</v>
      </c>
      <c r="C4">
        <v>49.69</v>
      </c>
      <c r="J4" s="410" t="str">
        <f>ROWS(J$1:J4)&amp;")"</f>
        <v>4)</v>
      </c>
      <c r="K4" s="411" t="s">
        <v>1560</v>
      </c>
      <c r="L4" s="411"/>
      <c r="M4" s="411"/>
      <c r="N4" s="411"/>
      <c r="O4" s="411"/>
      <c r="P4" s="411"/>
      <c r="Q4" s="411"/>
      <c r="R4" s="411"/>
      <c r="S4" s="411"/>
    </row>
    <row r="5" spans="1:19" x14ac:dyDescent="0.25">
      <c r="A5" s="412">
        <v>39907</v>
      </c>
      <c r="B5" s="413">
        <v>0.94540784374630871</v>
      </c>
      <c r="C5">
        <v>44.58</v>
      </c>
      <c r="J5" s="410" t="str">
        <f>ROWS(J$1:J5)&amp;")"</f>
        <v>5)</v>
      </c>
      <c r="K5" s="411" t="s">
        <v>1561</v>
      </c>
      <c r="L5" s="411"/>
      <c r="M5" s="411"/>
      <c r="N5" s="411"/>
      <c r="O5" s="411"/>
      <c r="P5" s="411"/>
      <c r="Q5" s="411"/>
      <c r="R5" s="411"/>
      <c r="S5" s="411"/>
    </row>
    <row r="6" spans="1:19" ht="39" x14ac:dyDescent="0.25">
      <c r="A6" s="412">
        <v>39908</v>
      </c>
      <c r="B6" s="413">
        <v>1.3948238920765021E-2</v>
      </c>
      <c r="C6">
        <v>43.03</v>
      </c>
      <c r="J6" s="410" t="str">
        <f>ROWS(J$1:J6)&amp;")"</f>
        <v>6)</v>
      </c>
      <c r="K6" s="411" t="s">
        <v>1562</v>
      </c>
      <c r="L6" s="411"/>
      <c r="M6" s="411"/>
      <c r="N6" s="411"/>
      <c r="O6" s="411"/>
      <c r="P6" s="411"/>
      <c r="Q6" s="411"/>
      <c r="R6" s="411"/>
      <c r="S6" s="411"/>
    </row>
    <row r="7" spans="1:19" x14ac:dyDescent="0.25">
      <c r="A7" s="412">
        <v>39909</v>
      </c>
      <c r="B7" s="413">
        <v>0.49261952139551646</v>
      </c>
      <c r="C7">
        <v>43.94</v>
      </c>
    </row>
    <row r="8" spans="1:19" x14ac:dyDescent="0.25">
      <c r="A8" s="412">
        <v>39910</v>
      </c>
      <c r="B8" s="413">
        <v>0.83507342224425618</v>
      </c>
      <c r="C8">
        <v>43.74</v>
      </c>
    </row>
    <row r="9" spans="1:19" x14ac:dyDescent="0.25">
      <c r="A9" s="412">
        <v>39911</v>
      </c>
      <c r="B9" s="413">
        <v>0.93304792675110204</v>
      </c>
      <c r="C9">
        <v>48.37</v>
      </c>
    </row>
    <row r="10" spans="1:19" x14ac:dyDescent="0.25">
      <c r="A10" s="412">
        <v>39912</v>
      </c>
      <c r="B10" s="413">
        <v>3.086387324874762E-2</v>
      </c>
      <c r="C10">
        <v>42.56</v>
      </c>
    </row>
    <row r="11" spans="1:19" x14ac:dyDescent="0.25">
      <c r="A11" s="412">
        <v>39913</v>
      </c>
      <c r="B11" s="413">
        <v>0.37076430936306948</v>
      </c>
      <c r="C11">
        <v>41.18</v>
      </c>
    </row>
    <row r="12" spans="1:19" x14ac:dyDescent="0.25">
      <c r="A12" s="412">
        <v>39914</v>
      </c>
      <c r="B12" s="413">
        <v>0.24418885120404754</v>
      </c>
      <c r="C12">
        <v>47.980000000000004</v>
      </c>
    </row>
    <row r="13" spans="1:19" x14ac:dyDescent="0.25">
      <c r="A13" s="412">
        <v>39915</v>
      </c>
      <c r="B13" s="413">
        <v>0.22160463272276409</v>
      </c>
      <c r="C13">
        <v>47.62</v>
      </c>
    </row>
    <row r="14" spans="1:19" x14ac:dyDescent="0.25">
      <c r="A14" s="412">
        <v>39916</v>
      </c>
      <c r="B14" s="413">
        <v>0.73260493511802394</v>
      </c>
      <c r="C14">
        <v>44.99</v>
      </c>
    </row>
    <row r="15" spans="1:19" x14ac:dyDescent="0.25">
      <c r="A15" s="412">
        <v>39917</v>
      </c>
      <c r="B15" s="413">
        <v>0.49052335369229239</v>
      </c>
      <c r="C15">
        <v>43.41</v>
      </c>
    </row>
    <row r="16" spans="1:19" x14ac:dyDescent="0.25">
      <c r="A16" s="412">
        <v>39918</v>
      </c>
      <c r="B16" s="413">
        <v>0.27050617814723843</v>
      </c>
      <c r="C16">
        <v>41.82</v>
      </c>
    </row>
    <row r="17" spans="1:3" x14ac:dyDescent="0.25">
      <c r="A17" s="412">
        <v>39919</v>
      </c>
      <c r="B17" s="413">
        <v>0.4950739118005747</v>
      </c>
      <c r="C17">
        <v>49.31</v>
      </c>
    </row>
    <row r="18" spans="1:3" x14ac:dyDescent="0.25">
      <c r="A18" s="412">
        <v>39920</v>
      </c>
      <c r="B18" s="413">
        <v>0.72728927390612785</v>
      </c>
      <c r="C18">
        <v>42.77</v>
      </c>
    </row>
    <row r="19" spans="1:3" x14ac:dyDescent="0.25">
      <c r="A19" s="412">
        <v>39921</v>
      </c>
      <c r="B19" s="413">
        <v>7.8056296587392993E-2</v>
      </c>
      <c r="C19">
        <v>45.769999999999996</v>
      </c>
    </row>
    <row r="20" spans="1:3" x14ac:dyDescent="0.25">
      <c r="A20" s="412">
        <v>39922</v>
      </c>
      <c r="B20" s="413">
        <v>2.5721703530354967E-2</v>
      </c>
      <c r="C20">
        <v>42.04</v>
      </c>
    </row>
    <row r="21" spans="1:3" x14ac:dyDescent="0.25">
      <c r="A21" s="412">
        <v>39923</v>
      </c>
      <c r="B21" s="413">
        <v>0.99817869066818865</v>
      </c>
      <c r="C21">
        <v>41.81</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76">
    <tabColor rgb="FFFFFF00"/>
  </sheetPr>
  <dimension ref="A1:S21"/>
  <sheetViews>
    <sheetView zoomScale="70" zoomScaleNormal="70" workbookViewId="0">
      <selection activeCell="B16" sqref="B16"/>
    </sheetView>
  </sheetViews>
  <sheetFormatPr defaultRowHeight="15" x14ac:dyDescent="0.25"/>
  <cols>
    <col min="2" max="2" width="13.85546875" bestFit="1" customWidth="1"/>
    <col min="3" max="3" width="10.28515625" bestFit="1" customWidth="1"/>
    <col min="4" max="7" width="10.28515625" customWidth="1"/>
    <col min="10" max="10" width="4.28515625" customWidth="1"/>
    <col min="258" max="258" width="13.85546875" bestFit="1" customWidth="1"/>
    <col min="259" max="259" width="10.28515625" bestFit="1" customWidth="1"/>
    <col min="260" max="263" width="10.28515625" customWidth="1"/>
    <col min="266" max="266" width="4.28515625" customWidth="1"/>
    <col min="514" max="514" width="13.85546875" bestFit="1" customWidth="1"/>
    <col min="515" max="515" width="10.28515625" bestFit="1" customWidth="1"/>
    <col min="516" max="519" width="10.28515625" customWidth="1"/>
    <col min="522" max="522" width="4.28515625" customWidth="1"/>
    <col min="770" max="770" width="13.85546875" bestFit="1" customWidth="1"/>
    <col min="771" max="771" width="10.28515625" bestFit="1" customWidth="1"/>
    <col min="772" max="775" width="10.28515625" customWidth="1"/>
    <col min="778" max="778" width="4.28515625" customWidth="1"/>
    <col min="1026" max="1026" width="13.85546875" bestFit="1" customWidth="1"/>
    <col min="1027" max="1027" width="10.28515625" bestFit="1" customWidth="1"/>
    <col min="1028" max="1031" width="10.28515625" customWidth="1"/>
    <col min="1034" max="1034" width="4.28515625" customWidth="1"/>
    <col min="1282" max="1282" width="13.85546875" bestFit="1" customWidth="1"/>
    <col min="1283" max="1283" width="10.28515625" bestFit="1" customWidth="1"/>
    <col min="1284" max="1287" width="10.28515625" customWidth="1"/>
    <col min="1290" max="1290" width="4.28515625" customWidth="1"/>
    <col min="1538" max="1538" width="13.85546875" bestFit="1" customWidth="1"/>
    <col min="1539" max="1539" width="10.28515625" bestFit="1" customWidth="1"/>
    <col min="1540" max="1543" width="10.28515625" customWidth="1"/>
    <col min="1546" max="1546" width="4.28515625" customWidth="1"/>
    <col min="1794" max="1794" width="13.85546875" bestFit="1" customWidth="1"/>
    <col min="1795" max="1795" width="10.28515625" bestFit="1" customWidth="1"/>
    <col min="1796" max="1799" width="10.28515625" customWidth="1"/>
    <col min="1802" max="1802" width="4.28515625" customWidth="1"/>
    <col min="2050" max="2050" width="13.85546875" bestFit="1" customWidth="1"/>
    <col min="2051" max="2051" width="10.28515625" bestFit="1" customWidth="1"/>
    <col min="2052" max="2055" width="10.28515625" customWidth="1"/>
    <col min="2058" max="2058" width="4.28515625" customWidth="1"/>
    <col min="2306" max="2306" width="13.85546875" bestFit="1" customWidth="1"/>
    <col min="2307" max="2307" width="10.28515625" bestFit="1" customWidth="1"/>
    <col min="2308" max="2311" width="10.28515625" customWidth="1"/>
    <col min="2314" max="2314" width="4.28515625" customWidth="1"/>
    <col min="2562" max="2562" width="13.85546875" bestFit="1" customWidth="1"/>
    <col min="2563" max="2563" width="10.28515625" bestFit="1" customWidth="1"/>
    <col min="2564" max="2567" width="10.28515625" customWidth="1"/>
    <col min="2570" max="2570" width="4.28515625" customWidth="1"/>
    <col min="2818" max="2818" width="13.85546875" bestFit="1" customWidth="1"/>
    <col min="2819" max="2819" width="10.28515625" bestFit="1" customWidth="1"/>
    <col min="2820" max="2823" width="10.28515625" customWidth="1"/>
    <col min="2826" max="2826" width="4.28515625" customWidth="1"/>
    <col min="3074" max="3074" width="13.85546875" bestFit="1" customWidth="1"/>
    <col min="3075" max="3075" width="10.28515625" bestFit="1" customWidth="1"/>
    <col min="3076" max="3079" width="10.28515625" customWidth="1"/>
    <col min="3082" max="3082" width="4.28515625" customWidth="1"/>
    <col min="3330" max="3330" width="13.85546875" bestFit="1" customWidth="1"/>
    <col min="3331" max="3331" width="10.28515625" bestFit="1" customWidth="1"/>
    <col min="3332" max="3335" width="10.28515625" customWidth="1"/>
    <col min="3338" max="3338" width="4.28515625" customWidth="1"/>
    <col min="3586" max="3586" width="13.85546875" bestFit="1" customWidth="1"/>
    <col min="3587" max="3587" width="10.28515625" bestFit="1" customWidth="1"/>
    <col min="3588" max="3591" width="10.28515625" customWidth="1"/>
    <col min="3594" max="3594" width="4.28515625" customWidth="1"/>
    <col min="3842" max="3842" width="13.85546875" bestFit="1" customWidth="1"/>
    <col min="3843" max="3843" width="10.28515625" bestFit="1" customWidth="1"/>
    <col min="3844" max="3847" width="10.28515625" customWidth="1"/>
    <col min="3850" max="3850" width="4.28515625" customWidth="1"/>
    <col min="4098" max="4098" width="13.85546875" bestFit="1" customWidth="1"/>
    <col min="4099" max="4099" width="10.28515625" bestFit="1" customWidth="1"/>
    <col min="4100" max="4103" width="10.28515625" customWidth="1"/>
    <col min="4106" max="4106" width="4.28515625" customWidth="1"/>
    <col min="4354" max="4354" width="13.85546875" bestFit="1" customWidth="1"/>
    <col min="4355" max="4355" width="10.28515625" bestFit="1" customWidth="1"/>
    <col min="4356" max="4359" width="10.28515625" customWidth="1"/>
    <col min="4362" max="4362" width="4.28515625" customWidth="1"/>
    <col min="4610" max="4610" width="13.85546875" bestFit="1" customWidth="1"/>
    <col min="4611" max="4611" width="10.28515625" bestFit="1" customWidth="1"/>
    <col min="4612" max="4615" width="10.28515625" customWidth="1"/>
    <col min="4618" max="4618" width="4.28515625" customWidth="1"/>
    <col min="4866" max="4866" width="13.85546875" bestFit="1" customWidth="1"/>
    <col min="4867" max="4867" width="10.28515625" bestFit="1" customWidth="1"/>
    <col min="4868" max="4871" width="10.28515625" customWidth="1"/>
    <col min="4874" max="4874" width="4.28515625" customWidth="1"/>
    <col min="5122" max="5122" width="13.85546875" bestFit="1" customWidth="1"/>
    <col min="5123" max="5123" width="10.28515625" bestFit="1" customWidth="1"/>
    <col min="5124" max="5127" width="10.28515625" customWidth="1"/>
    <col min="5130" max="5130" width="4.28515625" customWidth="1"/>
    <col min="5378" max="5378" width="13.85546875" bestFit="1" customWidth="1"/>
    <col min="5379" max="5379" width="10.28515625" bestFit="1" customWidth="1"/>
    <col min="5380" max="5383" width="10.28515625" customWidth="1"/>
    <col min="5386" max="5386" width="4.28515625" customWidth="1"/>
    <col min="5634" max="5634" width="13.85546875" bestFit="1" customWidth="1"/>
    <col min="5635" max="5635" width="10.28515625" bestFit="1" customWidth="1"/>
    <col min="5636" max="5639" width="10.28515625" customWidth="1"/>
    <col min="5642" max="5642" width="4.28515625" customWidth="1"/>
    <col min="5890" max="5890" width="13.85546875" bestFit="1" customWidth="1"/>
    <col min="5891" max="5891" width="10.28515625" bestFit="1" customWidth="1"/>
    <col min="5892" max="5895" width="10.28515625" customWidth="1"/>
    <col min="5898" max="5898" width="4.28515625" customWidth="1"/>
    <col min="6146" max="6146" width="13.85546875" bestFit="1" customWidth="1"/>
    <col min="6147" max="6147" width="10.28515625" bestFit="1" customWidth="1"/>
    <col min="6148" max="6151" width="10.28515625" customWidth="1"/>
    <col min="6154" max="6154" width="4.28515625" customWidth="1"/>
    <col min="6402" max="6402" width="13.85546875" bestFit="1" customWidth="1"/>
    <col min="6403" max="6403" width="10.28515625" bestFit="1" customWidth="1"/>
    <col min="6404" max="6407" width="10.28515625" customWidth="1"/>
    <col min="6410" max="6410" width="4.28515625" customWidth="1"/>
    <col min="6658" max="6658" width="13.85546875" bestFit="1" customWidth="1"/>
    <col min="6659" max="6659" width="10.28515625" bestFit="1" customWidth="1"/>
    <col min="6660" max="6663" width="10.28515625" customWidth="1"/>
    <col min="6666" max="6666" width="4.28515625" customWidth="1"/>
    <col min="6914" max="6914" width="13.85546875" bestFit="1" customWidth="1"/>
    <col min="6915" max="6915" width="10.28515625" bestFit="1" customWidth="1"/>
    <col min="6916" max="6919" width="10.28515625" customWidth="1"/>
    <col min="6922" max="6922" width="4.28515625" customWidth="1"/>
    <col min="7170" max="7170" width="13.85546875" bestFit="1" customWidth="1"/>
    <col min="7171" max="7171" width="10.28515625" bestFit="1" customWidth="1"/>
    <col min="7172" max="7175" width="10.28515625" customWidth="1"/>
    <col min="7178" max="7178" width="4.28515625" customWidth="1"/>
    <col min="7426" max="7426" width="13.85546875" bestFit="1" customWidth="1"/>
    <col min="7427" max="7427" width="10.28515625" bestFit="1" customWidth="1"/>
    <col min="7428" max="7431" width="10.28515625" customWidth="1"/>
    <col min="7434" max="7434" width="4.28515625" customWidth="1"/>
    <col min="7682" max="7682" width="13.85546875" bestFit="1" customWidth="1"/>
    <col min="7683" max="7683" width="10.28515625" bestFit="1" customWidth="1"/>
    <col min="7684" max="7687" width="10.28515625" customWidth="1"/>
    <col min="7690" max="7690" width="4.28515625" customWidth="1"/>
    <col min="7938" max="7938" width="13.85546875" bestFit="1" customWidth="1"/>
    <col min="7939" max="7939" width="10.28515625" bestFit="1" customWidth="1"/>
    <col min="7940" max="7943" width="10.28515625" customWidth="1"/>
    <col min="7946" max="7946" width="4.28515625" customWidth="1"/>
    <col min="8194" max="8194" width="13.85546875" bestFit="1" customWidth="1"/>
    <col min="8195" max="8195" width="10.28515625" bestFit="1" customWidth="1"/>
    <col min="8196" max="8199" width="10.28515625" customWidth="1"/>
    <col min="8202" max="8202" width="4.28515625" customWidth="1"/>
    <col min="8450" max="8450" width="13.85546875" bestFit="1" customWidth="1"/>
    <col min="8451" max="8451" width="10.28515625" bestFit="1" customWidth="1"/>
    <col min="8452" max="8455" width="10.28515625" customWidth="1"/>
    <col min="8458" max="8458" width="4.28515625" customWidth="1"/>
    <col min="8706" max="8706" width="13.85546875" bestFit="1" customWidth="1"/>
    <col min="8707" max="8707" width="10.28515625" bestFit="1" customWidth="1"/>
    <col min="8708" max="8711" width="10.28515625" customWidth="1"/>
    <col min="8714" max="8714" width="4.28515625" customWidth="1"/>
    <col min="8962" max="8962" width="13.85546875" bestFit="1" customWidth="1"/>
    <col min="8963" max="8963" width="10.28515625" bestFit="1" customWidth="1"/>
    <col min="8964" max="8967" width="10.28515625" customWidth="1"/>
    <col min="8970" max="8970" width="4.28515625" customWidth="1"/>
    <col min="9218" max="9218" width="13.85546875" bestFit="1" customWidth="1"/>
    <col min="9219" max="9219" width="10.28515625" bestFit="1" customWidth="1"/>
    <col min="9220" max="9223" width="10.28515625" customWidth="1"/>
    <col min="9226" max="9226" width="4.28515625" customWidth="1"/>
    <col min="9474" max="9474" width="13.85546875" bestFit="1" customWidth="1"/>
    <col min="9475" max="9475" width="10.28515625" bestFit="1" customWidth="1"/>
    <col min="9476" max="9479" width="10.28515625" customWidth="1"/>
    <col min="9482" max="9482" width="4.28515625" customWidth="1"/>
    <col min="9730" max="9730" width="13.85546875" bestFit="1" customWidth="1"/>
    <col min="9731" max="9731" width="10.28515625" bestFit="1" customWidth="1"/>
    <col min="9732" max="9735" width="10.28515625" customWidth="1"/>
    <col min="9738" max="9738" width="4.28515625" customWidth="1"/>
    <col min="9986" max="9986" width="13.85546875" bestFit="1" customWidth="1"/>
    <col min="9987" max="9987" width="10.28515625" bestFit="1" customWidth="1"/>
    <col min="9988" max="9991" width="10.28515625" customWidth="1"/>
    <col min="9994" max="9994" width="4.28515625" customWidth="1"/>
    <col min="10242" max="10242" width="13.85546875" bestFit="1" customWidth="1"/>
    <col min="10243" max="10243" width="10.28515625" bestFit="1" customWidth="1"/>
    <col min="10244" max="10247" width="10.28515625" customWidth="1"/>
    <col min="10250" max="10250" width="4.28515625" customWidth="1"/>
    <col min="10498" max="10498" width="13.85546875" bestFit="1" customWidth="1"/>
    <col min="10499" max="10499" width="10.28515625" bestFit="1" customWidth="1"/>
    <col min="10500" max="10503" width="10.28515625" customWidth="1"/>
    <col min="10506" max="10506" width="4.28515625" customWidth="1"/>
    <col min="10754" max="10754" width="13.85546875" bestFit="1" customWidth="1"/>
    <col min="10755" max="10755" width="10.28515625" bestFit="1" customWidth="1"/>
    <col min="10756" max="10759" width="10.28515625" customWidth="1"/>
    <col min="10762" max="10762" width="4.28515625" customWidth="1"/>
    <col min="11010" max="11010" width="13.85546875" bestFit="1" customWidth="1"/>
    <col min="11011" max="11011" width="10.28515625" bestFit="1" customWidth="1"/>
    <col min="11012" max="11015" width="10.28515625" customWidth="1"/>
    <col min="11018" max="11018" width="4.28515625" customWidth="1"/>
    <col min="11266" max="11266" width="13.85546875" bestFit="1" customWidth="1"/>
    <col min="11267" max="11267" width="10.28515625" bestFit="1" customWidth="1"/>
    <col min="11268" max="11271" width="10.28515625" customWidth="1"/>
    <col min="11274" max="11274" width="4.28515625" customWidth="1"/>
    <col min="11522" max="11522" width="13.85546875" bestFit="1" customWidth="1"/>
    <col min="11523" max="11523" width="10.28515625" bestFit="1" customWidth="1"/>
    <col min="11524" max="11527" width="10.28515625" customWidth="1"/>
    <col min="11530" max="11530" width="4.28515625" customWidth="1"/>
    <col min="11778" max="11778" width="13.85546875" bestFit="1" customWidth="1"/>
    <col min="11779" max="11779" width="10.28515625" bestFit="1" customWidth="1"/>
    <col min="11780" max="11783" width="10.28515625" customWidth="1"/>
    <col min="11786" max="11786" width="4.28515625" customWidth="1"/>
    <col min="12034" max="12034" width="13.85546875" bestFit="1" customWidth="1"/>
    <col min="12035" max="12035" width="10.28515625" bestFit="1" customWidth="1"/>
    <col min="12036" max="12039" width="10.28515625" customWidth="1"/>
    <col min="12042" max="12042" width="4.28515625" customWidth="1"/>
    <col min="12290" max="12290" width="13.85546875" bestFit="1" customWidth="1"/>
    <col min="12291" max="12291" width="10.28515625" bestFit="1" customWidth="1"/>
    <col min="12292" max="12295" width="10.28515625" customWidth="1"/>
    <col min="12298" max="12298" width="4.28515625" customWidth="1"/>
    <col min="12546" max="12546" width="13.85546875" bestFit="1" customWidth="1"/>
    <col min="12547" max="12547" width="10.28515625" bestFit="1" customWidth="1"/>
    <col min="12548" max="12551" width="10.28515625" customWidth="1"/>
    <col min="12554" max="12554" width="4.28515625" customWidth="1"/>
    <col min="12802" max="12802" width="13.85546875" bestFit="1" customWidth="1"/>
    <col min="12803" max="12803" width="10.28515625" bestFit="1" customWidth="1"/>
    <col min="12804" max="12807" width="10.28515625" customWidth="1"/>
    <col min="12810" max="12810" width="4.28515625" customWidth="1"/>
    <col min="13058" max="13058" width="13.85546875" bestFit="1" customWidth="1"/>
    <col min="13059" max="13059" width="10.28515625" bestFit="1" customWidth="1"/>
    <col min="13060" max="13063" width="10.28515625" customWidth="1"/>
    <col min="13066" max="13066" width="4.28515625" customWidth="1"/>
    <col min="13314" max="13314" width="13.85546875" bestFit="1" customWidth="1"/>
    <col min="13315" max="13315" width="10.28515625" bestFit="1" customWidth="1"/>
    <col min="13316" max="13319" width="10.28515625" customWidth="1"/>
    <col min="13322" max="13322" width="4.28515625" customWidth="1"/>
    <col min="13570" max="13570" width="13.85546875" bestFit="1" customWidth="1"/>
    <col min="13571" max="13571" width="10.28515625" bestFit="1" customWidth="1"/>
    <col min="13572" max="13575" width="10.28515625" customWidth="1"/>
    <col min="13578" max="13578" width="4.28515625" customWidth="1"/>
    <col min="13826" max="13826" width="13.85546875" bestFit="1" customWidth="1"/>
    <col min="13827" max="13827" width="10.28515625" bestFit="1" customWidth="1"/>
    <col min="13828" max="13831" width="10.28515625" customWidth="1"/>
    <col min="13834" max="13834" width="4.28515625" customWidth="1"/>
    <col min="14082" max="14082" width="13.85546875" bestFit="1" customWidth="1"/>
    <col min="14083" max="14083" width="10.28515625" bestFit="1" customWidth="1"/>
    <col min="14084" max="14087" width="10.28515625" customWidth="1"/>
    <col min="14090" max="14090" width="4.28515625" customWidth="1"/>
    <col min="14338" max="14338" width="13.85546875" bestFit="1" customWidth="1"/>
    <col min="14339" max="14339" width="10.28515625" bestFit="1" customWidth="1"/>
    <col min="14340" max="14343" width="10.28515625" customWidth="1"/>
    <col min="14346" max="14346" width="4.28515625" customWidth="1"/>
    <col min="14594" max="14594" width="13.85546875" bestFit="1" customWidth="1"/>
    <col min="14595" max="14595" width="10.28515625" bestFit="1" customWidth="1"/>
    <col min="14596" max="14599" width="10.28515625" customWidth="1"/>
    <col min="14602" max="14602" width="4.28515625" customWidth="1"/>
    <col min="14850" max="14850" width="13.85546875" bestFit="1" customWidth="1"/>
    <col min="14851" max="14851" width="10.28515625" bestFit="1" customWidth="1"/>
    <col min="14852" max="14855" width="10.28515625" customWidth="1"/>
    <col min="14858" max="14858" width="4.28515625" customWidth="1"/>
    <col min="15106" max="15106" width="13.85546875" bestFit="1" customWidth="1"/>
    <col min="15107" max="15107" width="10.28515625" bestFit="1" customWidth="1"/>
    <col min="15108" max="15111" width="10.28515625" customWidth="1"/>
    <col min="15114" max="15114" width="4.28515625" customWidth="1"/>
    <col min="15362" max="15362" width="13.85546875" bestFit="1" customWidth="1"/>
    <col min="15363" max="15363" width="10.28515625" bestFit="1" customWidth="1"/>
    <col min="15364" max="15367" width="10.28515625" customWidth="1"/>
    <col min="15370" max="15370" width="4.28515625" customWidth="1"/>
    <col min="15618" max="15618" width="13.85546875" bestFit="1" customWidth="1"/>
    <col min="15619" max="15619" width="10.28515625" bestFit="1" customWidth="1"/>
    <col min="15620" max="15623" width="10.28515625" customWidth="1"/>
    <col min="15626" max="15626" width="4.28515625" customWidth="1"/>
    <col min="15874" max="15874" width="13.85546875" bestFit="1" customWidth="1"/>
    <col min="15875" max="15875" width="10.28515625" bestFit="1" customWidth="1"/>
    <col min="15876" max="15879" width="10.28515625" customWidth="1"/>
    <col min="15882" max="15882" width="4.28515625" customWidth="1"/>
    <col min="16130" max="16130" width="13.85546875" bestFit="1" customWidth="1"/>
    <col min="16131" max="16131" width="10.28515625" bestFit="1" customWidth="1"/>
    <col min="16132" max="16135" width="10.28515625" customWidth="1"/>
    <col min="16138" max="16138" width="4.28515625" customWidth="1"/>
  </cols>
  <sheetData>
    <row r="1" spans="1:19" x14ac:dyDescent="0.25">
      <c r="A1" t="s">
        <v>0</v>
      </c>
      <c r="B1" t="s">
        <v>32</v>
      </c>
      <c r="C1" t="s">
        <v>1556</v>
      </c>
      <c r="J1" s="410" t="str">
        <f>ROWS(J$1:J1)&amp;")"</f>
        <v>1)</v>
      </c>
      <c r="K1" s="411" t="s">
        <v>1557</v>
      </c>
      <c r="L1" s="411"/>
      <c r="M1" s="411"/>
      <c r="N1" s="411"/>
      <c r="O1" s="411"/>
      <c r="P1" s="411"/>
      <c r="Q1" s="411"/>
      <c r="R1" s="411"/>
      <c r="S1" s="411"/>
    </row>
    <row r="2" spans="1:19" ht="26.25" x14ac:dyDescent="0.25">
      <c r="A2" s="412">
        <v>39904</v>
      </c>
      <c r="B2" s="413">
        <v>0.71341097395105568</v>
      </c>
      <c r="C2">
        <v>42.92</v>
      </c>
      <c r="J2" s="410" t="str">
        <f>ROWS(J$1:J2)&amp;")"</f>
        <v>2)</v>
      </c>
      <c r="K2" s="411" t="s">
        <v>1558</v>
      </c>
      <c r="L2" s="411"/>
      <c r="M2" s="411"/>
      <c r="N2" s="411"/>
      <c r="O2" s="411"/>
      <c r="P2" s="411"/>
      <c r="Q2" s="411"/>
      <c r="R2" s="411"/>
      <c r="S2" s="411"/>
    </row>
    <row r="3" spans="1:19" ht="26.25" x14ac:dyDescent="0.25">
      <c r="A3" s="412">
        <v>39905</v>
      </c>
      <c r="B3" s="413">
        <v>0.99304123200145855</v>
      </c>
      <c r="C3">
        <v>42.61</v>
      </c>
      <c r="J3" s="410" t="str">
        <f>ROWS(J$1:J3)&amp;")"</f>
        <v>3)</v>
      </c>
      <c r="K3" s="411" t="s">
        <v>1559</v>
      </c>
      <c r="L3" s="411"/>
      <c r="M3" s="411"/>
      <c r="N3" s="411"/>
      <c r="O3" s="411"/>
      <c r="P3" s="411"/>
      <c r="Q3" s="411"/>
      <c r="R3" s="411"/>
      <c r="S3" s="411"/>
    </row>
    <row r="4" spans="1:19" ht="39" x14ac:dyDescent="0.25">
      <c r="A4" s="412">
        <v>39906</v>
      </c>
      <c r="B4" s="413">
        <v>0.49942940415227333</v>
      </c>
      <c r="C4">
        <v>49.69</v>
      </c>
      <c r="J4" s="410" t="str">
        <f>ROWS(J$1:J4)&amp;")"</f>
        <v>4)</v>
      </c>
      <c r="K4" s="411" t="s">
        <v>1560</v>
      </c>
      <c r="L4" s="411"/>
      <c r="M4" s="411"/>
      <c r="N4" s="411"/>
      <c r="O4" s="411"/>
      <c r="P4" s="411"/>
      <c r="Q4" s="411"/>
      <c r="R4" s="411"/>
      <c r="S4" s="411"/>
    </row>
    <row r="5" spans="1:19" x14ac:dyDescent="0.25">
      <c r="A5" s="412">
        <v>39907</v>
      </c>
      <c r="B5" s="413">
        <v>0.94540784374630871</v>
      </c>
      <c r="C5">
        <v>44.58</v>
      </c>
      <c r="J5" s="410" t="str">
        <f>ROWS(J$1:J5)&amp;")"</f>
        <v>5)</v>
      </c>
      <c r="K5" s="411" t="s">
        <v>1561</v>
      </c>
      <c r="L5" s="411"/>
      <c r="M5" s="411"/>
      <c r="N5" s="411"/>
      <c r="O5" s="411"/>
      <c r="P5" s="411"/>
      <c r="Q5" s="411"/>
      <c r="R5" s="411"/>
      <c r="S5" s="411"/>
    </row>
    <row r="6" spans="1:19" ht="39" x14ac:dyDescent="0.25">
      <c r="A6" s="412">
        <v>39908</v>
      </c>
      <c r="B6" s="413">
        <v>1.3948238920765021E-2</v>
      </c>
      <c r="C6">
        <v>43.03</v>
      </c>
      <c r="J6" s="410" t="str">
        <f>ROWS(J$1:J6)&amp;")"</f>
        <v>6)</v>
      </c>
      <c r="K6" s="411" t="s">
        <v>1562</v>
      </c>
      <c r="L6" s="411"/>
      <c r="M6" s="411"/>
      <c r="N6" s="411"/>
      <c r="O6" s="411"/>
      <c r="P6" s="411"/>
      <c r="Q6" s="411"/>
      <c r="R6" s="411"/>
      <c r="S6" s="411"/>
    </row>
    <row r="7" spans="1:19" x14ac:dyDescent="0.25">
      <c r="A7" s="412">
        <v>39909</v>
      </c>
      <c r="B7" s="413">
        <v>0.49261952139551646</v>
      </c>
      <c r="C7">
        <v>43.94</v>
      </c>
    </row>
    <row r="8" spans="1:19" x14ac:dyDescent="0.25">
      <c r="A8" s="412">
        <v>39910</v>
      </c>
      <c r="B8" s="413">
        <v>0.83507342224425618</v>
      </c>
      <c r="C8">
        <v>43.74</v>
      </c>
    </row>
    <row r="9" spans="1:19" x14ac:dyDescent="0.25">
      <c r="A9" s="412">
        <v>39911</v>
      </c>
      <c r="B9" s="413">
        <v>0.93304792675110204</v>
      </c>
      <c r="C9">
        <v>48.37</v>
      </c>
    </row>
    <row r="10" spans="1:19" x14ac:dyDescent="0.25">
      <c r="A10" s="412">
        <v>39912</v>
      </c>
      <c r="B10" s="413">
        <v>3.086387324874762E-2</v>
      </c>
      <c r="C10">
        <v>42.56</v>
      </c>
    </row>
    <row r="11" spans="1:19" x14ac:dyDescent="0.25">
      <c r="A11" s="412">
        <v>39913</v>
      </c>
      <c r="B11" s="413">
        <v>0.37076430936306948</v>
      </c>
      <c r="C11">
        <v>41.18</v>
      </c>
    </row>
    <row r="12" spans="1:19" x14ac:dyDescent="0.25">
      <c r="A12" s="412">
        <v>39914</v>
      </c>
      <c r="B12" s="413">
        <v>0.24418885120404754</v>
      </c>
      <c r="C12">
        <v>47.980000000000004</v>
      </c>
    </row>
    <row r="13" spans="1:19" x14ac:dyDescent="0.25">
      <c r="A13" s="412">
        <v>39915</v>
      </c>
      <c r="B13" s="413">
        <v>0.22160463272276409</v>
      </c>
      <c r="C13">
        <v>47.62</v>
      </c>
    </row>
    <row r="14" spans="1:19" x14ac:dyDescent="0.25">
      <c r="A14" s="412">
        <v>39916</v>
      </c>
      <c r="B14" s="413">
        <v>0.73260493511802394</v>
      </c>
      <c r="C14">
        <v>44.99</v>
      </c>
    </row>
    <row r="15" spans="1:19" x14ac:dyDescent="0.25">
      <c r="A15" s="412">
        <v>39917</v>
      </c>
      <c r="B15" s="413">
        <v>0.49052335369229239</v>
      </c>
      <c r="C15">
        <v>43.41</v>
      </c>
    </row>
    <row r="16" spans="1:19" x14ac:dyDescent="0.25">
      <c r="A16" s="412">
        <v>39918</v>
      </c>
      <c r="B16" s="413">
        <v>0.27050617814723843</v>
      </c>
      <c r="C16">
        <v>41.82</v>
      </c>
    </row>
    <row r="17" spans="1:3" x14ac:dyDescent="0.25">
      <c r="A17" s="412">
        <v>39919</v>
      </c>
      <c r="B17" s="413">
        <v>0.4950739118005747</v>
      </c>
      <c r="C17">
        <v>49.31</v>
      </c>
    </row>
    <row r="18" spans="1:3" x14ac:dyDescent="0.25">
      <c r="A18" s="412">
        <v>39920</v>
      </c>
      <c r="B18" s="413">
        <v>0.72728927390612785</v>
      </c>
      <c r="C18">
        <v>42.77</v>
      </c>
    </row>
    <row r="19" spans="1:3" x14ac:dyDescent="0.25">
      <c r="A19" s="412">
        <v>39921</v>
      </c>
      <c r="B19" s="413">
        <v>7.8056296587392993E-2</v>
      </c>
      <c r="C19">
        <v>45.769999999999996</v>
      </c>
    </row>
    <row r="20" spans="1:3" x14ac:dyDescent="0.25">
      <c r="A20" s="412">
        <v>39922</v>
      </c>
      <c r="B20" s="413">
        <v>2.5721703530354967E-2</v>
      </c>
      <c r="C20">
        <v>42.04</v>
      </c>
    </row>
    <row r="21" spans="1:3" x14ac:dyDescent="0.25">
      <c r="A21" s="412">
        <v>39923</v>
      </c>
      <c r="B21" s="413">
        <v>0.99817869066818865</v>
      </c>
      <c r="C21">
        <v>41.81</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77">
    <tabColor rgb="FFFFFF00"/>
  </sheetPr>
  <dimension ref="A1:S21"/>
  <sheetViews>
    <sheetView zoomScale="70" zoomScaleNormal="70" workbookViewId="0">
      <selection activeCell="B16" sqref="B16"/>
    </sheetView>
  </sheetViews>
  <sheetFormatPr defaultRowHeight="15" x14ac:dyDescent="0.25"/>
  <cols>
    <col min="2" max="2" width="13.85546875" bestFit="1" customWidth="1"/>
    <col min="3" max="3" width="10.28515625" bestFit="1" customWidth="1"/>
    <col min="4" max="7" width="10.28515625" customWidth="1"/>
    <col min="10" max="10" width="4.28515625" customWidth="1"/>
    <col min="258" max="258" width="13.85546875" bestFit="1" customWidth="1"/>
    <col min="259" max="259" width="10.28515625" bestFit="1" customWidth="1"/>
    <col min="260" max="263" width="10.28515625" customWidth="1"/>
    <col min="266" max="266" width="4.28515625" customWidth="1"/>
    <col min="514" max="514" width="13.85546875" bestFit="1" customWidth="1"/>
    <col min="515" max="515" width="10.28515625" bestFit="1" customWidth="1"/>
    <col min="516" max="519" width="10.28515625" customWidth="1"/>
    <col min="522" max="522" width="4.28515625" customWidth="1"/>
    <col min="770" max="770" width="13.85546875" bestFit="1" customWidth="1"/>
    <col min="771" max="771" width="10.28515625" bestFit="1" customWidth="1"/>
    <col min="772" max="775" width="10.28515625" customWidth="1"/>
    <col min="778" max="778" width="4.28515625" customWidth="1"/>
    <col min="1026" max="1026" width="13.85546875" bestFit="1" customWidth="1"/>
    <col min="1027" max="1027" width="10.28515625" bestFit="1" customWidth="1"/>
    <col min="1028" max="1031" width="10.28515625" customWidth="1"/>
    <col min="1034" max="1034" width="4.28515625" customWidth="1"/>
    <col min="1282" max="1282" width="13.85546875" bestFit="1" customWidth="1"/>
    <col min="1283" max="1283" width="10.28515625" bestFit="1" customWidth="1"/>
    <col min="1284" max="1287" width="10.28515625" customWidth="1"/>
    <col min="1290" max="1290" width="4.28515625" customWidth="1"/>
    <col min="1538" max="1538" width="13.85546875" bestFit="1" customWidth="1"/>
    <col min="1539" max="1539" width="10.28515625" bestFit="1" customWidth="1"/>
    <col min="1540" max="1543" width="10.28515625" customWidth="1"/>
    <col min="1546" max="1546" width="4.28515625" customWidth="1"/>
    <col min="1794" max="1794" width="13.85546875" bestFit="1" customWidth="1"/>
    <col min="1795" max="1795" width="10.28515625" bestFit="1" customWidth="1"/>
    <col min="1796" max="1799" width="10.28515625" customWidth="1"/>
    <col min="1802" max="1802" width="4.28515625" customWidth="1"/>
    <col min="2050" max="2050" width="13.85546875" bestFit="1" customWidth="1"/>
    <col min="2051" max="2051" width="10.28515625" bestFit="1" customWidth="1"/>
    <col min="2052" max="2055" width="10.28515625" customWidth="1"/>
    <col min="2058" max="2058" width="4.28515625" customWidth="1"/>
    <col min="2306" max="2306" width="13.85546875" bestFit="1" customWidth="1"/>
    <col min="2307" max="2307" width="10.28515625" bestFit="1" customWidth="1"/>
    <col min="2308" max="2311" width="10.28515625" customWidth="1"/>
    <col min="2314" max="2314" width="4.28515625" customWidth="1"/>
    <col min="2562" max="2562" width="13.85546875" bestFit="1" customWidth="1"/>
    <col min="2563" max="2563" width="10.28515625" bestFit="1" customWidth="1"/>
    <col min="2564" max="2567" width="10.28515625" customWidth="1"/>
    <col min="2570" max="2570" width="4.28515625" customWidth="1"/>
    <col min="2818" max="2818" width="13.85546875" bestFit="1" customWidth="1"/>
    <col min="2819" max="2819" width="10.28515625" bestFit="1" customWidth="1"/>
    <col min="2820" max="2823" width="10.28515625" customWidth="1"/>
    <col min="2826" max="2826" width="4.28515625" customWidth="1"/>
    <col min="3074" max="3074" width="13.85546875" bestFit="1" customWidth="1"/>
    <col min="3075" max="3075" width="10.28515625" bestFit="1" customWidth="1"/>
    <col min="3076" max="3079" width="10.28515625" customWidth="1"/>
    <col min="3082" max="3082" width="4.28515625" customWidth="1"/>
    <col min="3330" max="3330" width="13.85546875" bestFit="1" customWidth="1"/>
    <col min="3331" max="3331" width="10.28515625" bestFit="1" customWidth="1"/>
    <col min="3332" max="3335" width="10.28515625" customWidth="1"/>
    <col min="3338" max="3338" width="4.28515625" customWidth="1"/>
    <col min="3586" max="3586" width="13.85546875" bestFit="1" customWidth="1"/>
    <col min="3587" max="3587" width="10.28515625" bestFit="1" customWidth="1"/>
    <col min="3588" max="3591" width="10.28515625" customWidth="1"/>
    <col min="3594" max="3594" width="4.28515625" customWidth="1"/>
    <col min="3842" max="3842" width="13.85546875" bestFit="1" customWidth="1"/>
    <col min="3843" max="3843" width="10.28515625" bestFit="1" customWidth="1"/>
    <col min="3844" max="3847" width="10.28515625" customWidth="1"/>
    <col min="3850" max="3850" width="4.28515625" customWidth="1"/>
    <col min="4098" max="4098" width="13.85546875" bestFit="1" customWidth="1"/>
    <col min="4099" max="4099" width="10.28515625" bestFit="1" customWidth="1"/>
    <col min="4100" max="4103" width="10.28515625" customWidth="1"/>
    <col min="4106" max="4106" width="4.28515625" customWidth="1"/>
    <col min="4354" max="4354" width="13.85546875" bestFit="1" customWidth="1"/>
    <col min="4355" max="4355" width="10.28515625" bestFit="1" customWidth="1"/>
    <col min="4356" max="4359" width="10.28515625" customWidth="1"/>
    <col min="4362" max="4362" width="4.28515625" customWidth="1"/>
    <col min="4610" max="4610" width="13.85546875" bestFit="1" customWidth="1"/>
    <col min="4611" max="4611" width="10.28515625" bestFit="1" customWidth="1"/>
    <col min="4612" max="4615" width="10.28515625" customWidth="1"/>
    <col min="4618" max="4618" width="4.28515625" customWidth="1"/>
    <col min="4866" max="4866" width="13.85546875" bestFit="1" customWidth="1"/>
    <col min="4867" max="4867" width="10.28515625" bestFit="1" customWidth="1"/>
    <col min="4868" max="4871" width="10.28515625" customWidth="1"/>
    <col min="4874" max="4874" width="4.28515625" customWidth="1"/>
    <col min="5122" max="5122" width="13.85546875" bestFit="1" customWidth="1"/>
    <col min="5123" max="5123" width="10.28515625" bestFit="1" customWidth="1"/>
    <col min="5124" max="5127" width="10.28515625" customWidth="1"/>
    <col min="5130" max="5130" width="4.28515625" customWidth="1"/>
    <col min="5378" max="5378" width="13.85546875" bestFit="1" customWidth="1"/>
    <col min="5379" max="5379" width="10.28515625" bestFit="1" customWidth="1"/>
    <col min="5380" max="5383" width="10.28515625" customWidth="1"/>
    <col min="5386" max="5386" width="4.28515625" customWidth="1"/>
    <col min="5634" max="5634" width="13.85546875" bestFit="1" customWidth="1"/>
    <col min="5635" max="5635" width="10.28515625" bestFit="1" customWidth="1"/>
    <col min="5636" max="5639" width="10.28515625" customWidth="1"/>
    <col min="5642" max="5642" width="4.28515625" customWidth="1"/>
    <col min="5890" max="5890" width="13.85546875" bestFit="1" customWidth="1"/>
    <col min="5891" max="5891" width="10.28515625" bestFit="1" customWidth="1"/>
    <col min="5892" max="5895" width="10.28515625" customWidth="1"/>
    <col min="5898" max="5898" width="4.28515625" customWidth="1"/>
    <col min="6146" max="6146" width="13.85546875" bestFit="1" customWidth="1"/>
    <col min="6147" max="6147" width="10.28515625" bestFit="1" customWidth="1"/>
    <col min="6148" max="6151" width="10.28515625" customWidth="1"/>
    <col min="6154" max="6154" width="4.28515625" customWidth="1"/>
    <col min="6402" max="6402" width="13.85546875" bestFit="1" customWidth="1"/>
    <col min="6403" max="6403" width="10.28515625" bestFit="1" customWidth="1"/>
    <col min="6404" max="6407" width="10.28515625" customWidth="1"/>
    <col min="6410" max="6410" width="4.28515625" customWidth="1"/>
    <col min="6658" max="6658" width="13.85546875" bestFit="1" customWidth="1"/>
    <col min="6659" max="6659" width="10.28515625" bestFit="1" customWidth="1"/>
    <col min="6660" max="6663" width="10.28515625" customWidth="1"/>
    <col min="6666" max="6666" width="4.28515625" customWidth="1"/>
    <col min="6914" max="6914" width="13.85546875" bestFit="1" customWidth="1"/>
    <col min="6915" max="6915" width="10.28515625" bestFit="1" customWidth="1"/>
    <col min="6916" max="6919" width="10.28515625" customWidth="1"/>
    <col min="6922" max="6922" width="4.28515625" customWidth="1"/>
    <col min="7170" max="7170" width="13.85546875" bestFit="1" customWidth="1"/>
    <col min="7171" max="7171" width="10.28515625" bestFit="1" customWidth="1"/>
    <col min="7172" max="7175" width="10.28515625" customWidth="1"/>
    <col min="7178" max="7178" width="4.28515625" customWidth="1"/>
    <col min="7426" max="7426" width="13.85546875" bestFit="1" customWidth="1"/>
    <col min="7427" max="7427" width="10.28515625" bestFit="1" customWidth="1"/>
    <col min="7428" max="7431" width="10.28515625" customWidth="1"/>
    <col min="7434" max="7434" width="4.28515625" customWidth="1"/>
    <col min="7682" max="7682" width="13.85546875" bestFit="1" customWidth="1"/>
    <col min="7683" max="7683" width="10.28515625" bestFit="1" customWidth="1"/>
    <col min="7684" max="7687" width="10.28515625" customWidth="1"/>
    <col min="7690" max="7690" width="4.28515625" customWidth="1"/>
    <col min="7938" max="7938" width="13.85546875" bestFit="1" customWidth="1"/>
    <col min="7939" max="7939" width="10.28515625" bestFit="1" customWidth="1"/>
    <col min="7940" max="7943" width="10.28515625" customWidth="1"/>
    <col min="7946" max="7946" width="4.28515625" customWidth="1"/>
    <col min="8194" max="8194" width="13.85546875" bestFit="1" customWidth="1"/>
    <col min="8195" max="8195" width="10.28515625" bestFit="1" customWidth="1"/>
    <col min="8196" max="8199" width="10.28515625" customWidth="1"/>
    <col min="8202" max="8202" width="4.28515625" customWidth="1"/>
    <col min="8450" max="8450" width="13.85546875" bestFit="1" customWidth="1"/>
    <col min="8451" max="8451" width="10.28515625" bestFit="1" customWidth="1"/>
    <col min="8452" max="8455" width="10.28515625" customWidth="1"/>
    <col min="8458" max="8458" width="4.28515625" customWidth="1"/>
    <col min="8706" max="8706" width="13.85546875" bestFit="1" customWidth="1"/>
    <col min="8707" max="8707" width="10.28515625" bestFit="1" customWidth="1"/>
    <col min="8708" max="8711" width="10.28515625" customWidth="1"/>
    <col min="8714" max="8714" width="4.28515625" customWidth="1"/>
    <col min="8962" max="8962" width="13.85546875" bestFit="1" customWidth="1"/>
    <col min="8963" max="8963" width="10.28515625" bestFit="1" customWidth="1"/>
    <col min="8964" max="8967" width="10.28515625" customWidth="1"/>
    <col min="8970" max="8970" width="4.28515625" customWidth="1"/>
    <col min="9218" max="9218" width="13.85546875" bestFit="1" customWidth="1"/>
    <col min="9219" max="9219" width="10.28515625" bestFit="1" customWidth="1"/>
    <col min="9220" max="9223" width="10.28515625" customWidth="1"/>
    <col min="9226" max="9226" width="4.28515625" customWidth="1"/>
    <col min="9474" max="9474" width="13.85546875" bestFit="1" customWidth="1"/>
    <col min="9475" max="9475" width="10.28515625" bestFit="1" customWidth="1"/>
    <col min="9476" max="9479" width="10.28515625" customWidth="1"/>
    <col min="9482" max="9482" width="4.28515625" customWidth="1"/>
    <col min="9730" max="9730" width="13.85546875" bestFit="1" customWidth="1"/>
    <col min="9731" max="9731" width="10.28515625" bestFit="1" customWidth="1"/>
    <col min="9732" max="9735" width="10.28515625" customWidth="1"/>
    <col min="9738" max="9738" width="4.28515625" customWidth="1"/>
    <col min="9986" max="9986" width="13.85546875" bestFit="1" customWidth="1"/>
    <col min="9987" max="9987" width="10.28515625" bestFit="1" customWidth="1"/>
    <col min="9988" max="9991" width="10.28515625" customWidth="1"/>
    <col min="9994" max="9994" width="4.28515625" customWidth="1"/>
    <col min="10242" max="10242" width="13.85546875" bestFit="1" customWidth="1"/>
    <col min="10243" max="10243" width="10.28515625" bestFit="1" customWidth="1"/>
    <col min="10244" max="10247" width="10.28515625" customWidth="1"/>
    <col min="10250" max="10250" width="4.28515625" customWidth="1"/>
    <col min="10498" max="10498" width="13.85546875" bestFit="1" customWidth="1"/>
    <col min="10499" max="10499" width="10.28515625" bestFit="1" customWidth="1"/>
    <col min="10500" max="10503" width="10.28515625" customWidth="1"/>
    <col min="10506" max="10506" width="4.28515625" customWidth="1"/>
    <col min="10754" max="10754" width="13.85546875" bestFit="1" customWidth="1"/>
    <col min="10755" max="10755" width="10.28515625" bestFit="1" customWidth="1"/>
    <col min="10756" max="10759" width="10.28515625" customWidth="1"/>
    <col min="10762" max="10762" width="4.28515625" customWidth="1"/>
    <col min="11010" max="11010" width="13.85546875" bestFit="1" customWidth="1"/>
    <col min="11011" max="11011" width="10.28515625" bestFit="1" customWidth="1"/>
    <col min="11012" max="11015" width="10.28515625" customWidth="1"/>
    <col min="11018" max="11018" width="4.28515625" customWidth="1"/>
    <col min="11266" max="11266" width="13.85546875" bestFit="1" customWidth="1"/>
    <col min="11267" max="11267" width="10.28515625" bestFit="1" customWidth="1"/>
    <col min="11268" max="11271" width="10.28515625" customWidth="1"/>
    <col min="11274" max="11274" width="4.28515625" customWidth="1"/>
    <col min="11522" max="11522" width="13.85546875" bestFit="1" customWidth="1"/>
    <col min="11523" max="11523" width="10.28515625" bestFit="1" customWidth="1"/>
    <col min="11524" max="11527" width="10.28515625" customWidth="1"/>
    <col min="11530" max="11530" width="4.28515625" customWidth="1"/>
    <col min="11778" max="11778" width="13.85546875" bestFit="1" customWidth="1"/>
    <col min="11779" max="11779" width="10.28515625" bestFit="1" customWidth="1"/>
    <col min="11780" max="11783" width="10.28515625" customWidth="1"/>
    <col min="11786" max="11786" width="4.28515625" customWidth="1"/>
    <col min="12034" max="12034" width="13.85546875" bestFit="1" customWidth="1"/>
    <col min="12035" max="12035" width="10.28515625" bestFit="1" customWidth="1"/>
    <col min="12036" max="12039" width="10.28515625" customWidth="1"/>
    <col min="12042" max="12042" width="4.28515625" customWidth="1"/>
    <col min="12290" max="12290" width="13.85546875" bestFit="1" customWidth="1"/>
    <col min="12291" max="12291" width="10.28515625" bestFit="1" customWidth="1"/>
    <col min="12292" max="12295" width="10.28515625" customWidth="1"/>
    <col min="12298" max="12298" width="4.28515625" customWidth="1"/>
    <col min="12546" max="12546" width="13.85546875" bestFit="1" customWidth="1"/>
    <col min="12547" max="12547" width="10.28515625" bestFit="1" customWidth="1"/>
    <col min="12548" max="12551" width="10.28515625" customWidth="1"/>
    <col min="12554" max="12554" width="4.28515625" customWidth="1"/>
    <col min="12802" max="12802" width="13.85546875" bestFit="1" customWidth="1"/>
    <col min="12803" max="12803" width="10.28515625" bestFit="1" customWidth="1"/>
    <col min="12804" max="12807" width="10.28515625" customWidth="1"/>
    <col min="12810" max="12810" width="4.28515625" customWidth="1"/>
    <col min="13058" max="13058" width="13.85546875" bestFit="1" customWidth="1"/>
    <col min="13059" max="13059" width="10.28515625" bestFit="1" customWidth="1"/>
    <col min="13060" max="13063" width="10.28515625" customWidth="1"/>
    <col min="13066" max="13066" width="4.28515625" customWidth="1"/>
    <col min="13314" max="13314" width="13.85546875" bestFit="1" customWidth="1"/>
    <col min="13315" max="13315" width="10.28515625" bestFit="1" customWidth="1"/>
    <col min="13316" max="13319" width="10.28515625" customWidth="1"/>
    <col min="13322" max="13322" width="4.28515625" customWidth="1"/>
    <col min="13570" max="13570" width="13.85546875" bestFit="1" customWidth="1"/>
    <col min="13571" max="13571" width="10.28515625" bestFit="1" customWidth="1"/>
    <col min="13572" max="13575" width="10.28515625" customWidth="1"/>
    <col min="13578" max="13578" width="4.28515625" customWidth="1"/>
    <col min="13826" max="13826" width="13.85546875" bestFit="1" customWidth="1"/>
    <col min="13827" max="13827" width="10.28515625" bestFit="1" customWidth="1"/>
    <col min="13828" max="13831" width="10.28515625" customWidth="1"/>
    <col min="13834" max="13834" width="4.28515625" customWidth="1"/>
    <col min="14082" max="14082" width="13.85546875" bestFit="1" customWidth="1"/>
    <col min="14083" max="14083" width="10.28515625" bestFit="1" customWidth="1"/>
    <col min="14084" max="14087" width="10.28515625" customWidth="1"/>
    <col min="14090" max="14090" width="4.28515625" customWidth="1"/>
    <col min="14338" max="14338" width="13.85546875" bestFit="1" customWidth="1"/>
    <col min="14339" max="14339" width="10.28515625" bestFit="1" customWidth="1"/>
    <col min="14340" max="14343" width="10.28515625" customWidth="1"/>
    <col min="14346" max="14346" width="4.28515625" customWidth="1"/>
    <col min="14594" max="14594" width="13.85546875" bestFit="1" customWidth="1"/>
    <col min="14595" max="14595" width="10.28515625" bestFit="1" customWidth="1"/>
    <col min="14596" max="14599" width="10.28515625" customWidth="1"/>
    <col min="14602" max="14602" width="4.28515625" customWidth="1"/>
    <col min="14850" max="14850" width="13.85546875" bestFit="1" customWidth="1"/>
    <col min="14851" max="14851" width="10.28515625" bestFit="1" customWidth="1"/>
    <col min="14852" max="14855" width="10.28515625" customWidth="1"/>
    <col min="14858" max="14858" width="4.28515625" customWidth="1"/>
    <col min="15106" max="15106" width="13.85546875" bestFit="1" customWidth="1"/>
    <col min="15107" max="15107" width="10.28515625" bestFit="1" customWidth="1"/>
    <col min="15108" max="15111" width="10.28515625" customWidth="1"/>
    <col min="15114" max="15114" width="4.28515625" customWidth="1"/>
    <col min="15362" max="15362" width="13.85546875" bestFit="1" customWidth="1"/>
    <col min="15363" max="15363" width="10.28515625" bestFit="1" customWidth="1"/>
    <col min="15364" max="15367" width="10.28515625" customWidth="1"/>
    <col min="15370" max="15370" width="4.28515625" customWidth="1"/>
    <col min="15618" max="15618" width="13.85546875" bestFit="1" customWidth="1"/>
    <col min="15619" max="15619" width="10.28515625" bestFit="1" customWidth="1"/>
    <col min="15620" max="15623" width="10.28515625" customWidth="1"/>
    <col min="15626" max="15626" width="4.28515625" customWidth="1"/>
    <col min="15874" max="15874" width="13.85546875" bestFit="1" customWidth="1"/>
    <col min="15875" max="15875" width="10.28515625" bestFit="1" customWidth="1"/>
    <col min="15876" max="15879" width="10.28515625" customWidth="1"/>
    <col min="15882" max="15882" width="4.28515625" customWidth="1"/>
    <col min="16130" max="16130" width="13.85546875" bestFit="1" customWidth="1"/>
    <col min="16131" max="16131" width="10.28515625" bestFit="1" customWidth="1"/>
    <col min="16132" max="16135" width="10.28515625" customWidth="1"/>
    <col min="16138" max="16138" width="4.28515625" customWidth="1"/>
  </cols>
  <sheetData>
    <row r="1" spans="1:19" x14ac:dyDescent="0.25">
      <c r="A1" t="s">
        <v>0</v>
      </c>
      <c r="B1" t="s">
        <v>32</v>
      </c>
      <c r="C1" t="s">
        <v>1556</v>
      </c>
      <c r="J1" s="410" t="str">
        <f>ROWS(J$1:J1)&amp;")"</f>
        <v>1)</v>
      </c>
      <c r="K1" s="411" t="s">
        <v>1557</v>
      </c>
      <c r="L1" s="411"/>
      <c r="M1" s="411"/>
      <c r="N1" s="411"/>
      <c r="O1" s="411"/>
      <c r="P1" s="411"/>
      <c r="Q1" s="411"/>
      <c r="R1" s="411"/>
      <c r="S1" s="411"/>
    </row>
    <row r="2" spans="1:19" ht="26.25" x14ac:dyDescent="0.25">
      <c r="A2" s="412">
        <v>39904</v>
      </c>
      <c r="B2" s="413">
        <v>0.71341097395105568</v>
      </c>
      <c r="C2">
        <v>42.92</v>
      </c>
      <c r="J2" s="410" t="str">
        <f>ROWS(J$1:J2)&amp;")"</f>
        <v>2)</v>
      </c>
      <c r="K2" s="411" t="s">
        <v>1558</v>
      </c>
      <c r="L2" s="411"/>
      <c r="M2" s="411"/>
      <c r="N2" s="411"/>
      <c r="O2" s="411"/>
      <c r="P2" s="411"/>
      <c r="Q2" s="411"/>
      <c r="R2" s="411"/>
      <c r="S2" s="411"/>
    </row>
    <row r="3" spans="1:19" ht="26.25" x14ac:dyDescent="0.25">
      <c r="A3" s="412">
        <v>39905</v>
      </c>
      <c r="B3" s="413">
        <v>0.99304123200145855</v>
      </c>
      <c r="C3">
        <v>42.61</v>
      </c>
      <c r="J3" s="410" t="str">
        <f>ROWS(J$1:J3)&amp;")"</f>
        <v>3)</v>
      </c>
      <c r="K3" s="411" t="s">
        <v>1559</v>
      </c>
      <c r="L3" s="411"/>
      <c r="M3" s="411"/>
      <c r="N3" s="411"/>
      <c r="O3" s="411"/>
      <c r="P3" s="411"/>
      <c r="Q3" s="411"/>
      <c r="R3" s="411"/>
      <c r="S3" s="411"/>
    </row>
    <row r="4" spans="1:19" ht="39" x14ac:dyDescent="0.25">
      <c r="A4" s="412">
        <v>39906</v>
      </c>
      <c r="B4" s="413">
        <v>0.49942940415227333</v>
      </c>
      <c r="C4">
        <v>49.69</v>
      </c>
      <c r="J4" s="410" t="str">
        <f>ROWS(J$1:J4)&amp;")"</f>
        <v>4)</v>
      </c>
      <c r="K4" s="411" t="s">
        <v>1560</v>
      </c>
      <c r="L4" s="411"/>
      <c r="M4" s="411"/>
      <c r="N4" s="411"/>
      <c r="O4" s="411"/>
      <c r="P4" s="411"/>
      <c r="Q4" s="411"/>
      <c r="R4" s="411"/>
      <c r="S4" s="411"/>
    </row>
    <row r="5" spans="1:19" x14ac:dyDescent="0.25">
      <c r="A5" s="412">
        <v>39907</v>
      </c>
      <c r="B5" s="413">
        <v>0.94540784374630871</v>
      </c>
      <c r="C5">
        <v>44.58</v>
      </c>
      <c r="J5" s="410" t="str">
        <f>ROWS(J$1:J5)&amp;")"</f>
        <v>5)</v>
      </c>
      <c r="K5" s="411" t="s">
        <v>1561</v>
      </c>
      <c r="L5" s="411"/>
      <c r="M5" s="411"/>
      <c r="N5" s="411"/>
      <c r="O5" s="411"/>
      <c r="P5" s="411"/>
      <c r="Q5" s="411"/>
      <c r="R5" s="411"/>
      <c r="S5" s="411"/>
    </row>
    <row r="6" spans="1:19" ht="39" x14ac:dyDescent="0.25">
      <c r="A6" s="412">
        <v>39908</v>
      </c>
      <c r="B6" s="413">
        <v>1.3948238920765021E-2</v>
      </c>
      <c r="C6">
        <v>43.03</v>
      </c>
      <c r="J6" s="410" t="str">
        <f>ROWS(J$1:J6)&amp;")"</f>
        <v>6)</v>
      </c>
      <c r="K6" s="411" t="s">
        <v>1562</v>
      </c>
      <c r="L6" s="411"/>
      <c r="M6" s="411"/>
      <c r="N6" s="411"/>
      <c r="O6" s="411"/>
      <c r="P6" s="411"/>
      <c r="Q6" s="411"/>
      <c r="R6" s="411"/>
      <c r="S6" s="411"/>
    </row>
    <row r="7" spans="1:19" x14ac:dyDescent="0.25">
      <c r="A7" s="412">
        <v>39909</v>
      </c>
      <c r="B7" s="413">
        <v>0.49261952139551646</v>
      </c>
      <c r="C7">
        <v>43.94</v>
      </c>
    </row>
    <row r="8" spans="1:19" x14ac:dyDescent="0.25">
      <c r="A8" s="412">
        <v>39910</v>
      </c>
      <c r="B8" s="413">
        <v>0.83507342224425618</v>
      </c>
      <c r="C8">
        <v>43.74</v>
      </c>
    </row>
    <row r="9" spans="1:19" x14ac:dyDescent="0.25">
      <c r="A9" s="412">
        <v>39911</v>
      </c>
      <c r="B9" s="413">
        <v>0.93304792675110204</v>
      </c>
      <c r="C9">
        <v>48.37</v>
      </c>
    </row>
    <row r="10" spans="1:19" x14ac:dyDescent="0.25">
      <c r="A10" s="412">
        <v>39912</v>
      </c>
      <c r="B10" s="413">
        <v>3.086387324874762E-2</v>
      </c>
      <c r="C10">
        <v>42.56</v>
      </c>
    </row>
    <row r="11" spans="1:19" x14ac:dyDescent="0.25">
      <c r="A11" s="412">
        <v>39913</v>
      </c>
      <c r="B11" s="413">
        <v>0.37076430936306948</v>
      </c>
      <c r="C11">
        <v>41.18</v>
      </c>
    </row>
    <row r="12" spans="1:19" x14ac:dyDescent="0.25">
      <c r="A12" s="412">
        <v>39914</v>
      </c>
      <c r="B12" s="413">
        <v>0.24418885120404754</v>
      </c>
      <c r="C12">
        <v>47.980000000000004</v>
      </c>
    </row>
    <row r="13" spans="1:19" x14ac:dyDescent="0.25">
      <c r="A13" s="412">
        <v>39915</v>
      </c>
      <c r="B13" s="413">
        <v>0.22160463272276409</v>
      </c>
      <c r="C13">
        <v>47.62</v>
      </c>
    </row>
    <row r="14" spans="1:19" x14ac:dyDescent="0.25">
      <c r="A14" s="412">
        <v>39916</v>
      </c>
      <c r="B14" s="413">
        <v>0.73260493511802394</v>
      </c>
      <c r="C14">
        <v>44.99</v>
      </c>
    </row>
    <row r="15" spans="1:19" x14ac:dyDescent="0.25">
      <c r="A15" s="412">
        <v>39917</v>
      </c>
      <c r="B15" s="413">
        <v>0.49052335369229239</v>
      </c>
      <c r="C15">
        <v>43.41</v>
      </c>
    </row>
    <row r="16" spans="1:19" x14ac:dyDescent="0.25">
      <c r="A16" s="412">
        <v>39918</v>
      </c>
      <c r="B16" s="413">
        <v>0.27050617814723843</v>
      </c>
      <c r="C16">
        <v>41.82</v>
      </c>
    </row>
    <row r="17" spans="1:3" x14ac:dyDescent="0.25">
      <c r="A17" s="412">
        <v>39919</v>
      </c>
      <c r="B17" s="413">
        <v>0.4950739118005747</v>
      </c>
      <c r="C17">
        <v>49.31</v>
      </c>
    </row>
    <row r="18" spans="1:3" x14ac:dyDescent="0.25">
      <c r="A18" s="412">
        <v>39920</v>
      </c>
      <c r="B18" s="413">
        <v>0.72728927390612785</v>
      </c>
      <c r="C18">
        <v>42.77</v>
      </c>
    </row>
    <row r="19" spans="1:3" x14ac:dyDescent="0.25">
      <c r="A19" s="412">
        <v>39921</v>
      </c>
      <c r="B19" s="413">
        <v>7.8056296587392993E-2</v>
      </c>
      <c r="C19">
        <v>45.769999999999996</v>
      </c>
    </row>
    <row r="20" spans="1:3" x14ac:dyDescent="0.25">
      <c r="A20" s="412">
        <v>39922</v>
      </c>
      <c r="B20" s="413">
        <v>2.5721703530354967E-2</v>
      </c>
      <c r="C20">
        <v>42.04</v>
      </c>
    </row>
    <row r="21" spans="1:3" x14ac:dyDescent="0.25">
      <c r="A21" s="412">
        <v>39923</v>
      </c>
      <c r="B21" s="413">
        <v>0.99817869066818865</v>
      </c>
      <c r="C21">
        <v>41.81</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168">
    <tabColor theme="9" tint="-0.249977111117893"/>
  </sheetPr>
  <dimension ref="A1:WVR148"/>
  <sheetViews>
    <sheetView topLeftCell="A7" zoomScale="130" zoomScaleNormal="130" workbookViewId="0">
      <selection activeCell="A7" sqref="A1:XFD1048576"/>
    </sheetView>
  </sheetViews>
  <sheetFormatPr defaultColWidth="9.140625" defaultRowHeight="15" x14ac:dyDescent="0.25"/>
  <cols>
    <col min="1" max="1" width="2.85546875" style="408" bestFit="1" customWidth="1"/>
    <col min="2" max="2" width="9.140625" style="408"/>
    <col min="3" max="10" width="16.5703125" style="408" customWidth="1"/>
    <col min="257" max="257" width="2.85546875" bestFit="1" customWidth="1"/>
    <col min="259" max="266" width="16.5703125" customWidth="1"/>
    <col min="513" max="513" width="2.85546875" bestFit="1" customWidth="1"/>
    <col min="515" max="522" width="16.5703125" customWidth="1"/>
    <col min="769" max="769" width="2.85546875" bestFit="1" customWidth="1"/>
    <col min="771" max="778" width="16.5703125" customWidth="1"/>
    <col min="1025" max="1025" width="2.85546875" bestFit="1" customWidth="1"/>
    <col min="1027" max="1034" width="16.5703125" customWidth="1"/>
    <col min="1281" max="1281" width="2.85546875" bestFit="1" customWidth="1"/>
    <col min="1283" max="1290" width="16.5703125" customWidth="1"/>
    <col min="1537" max="1537" width="2.85546875" bestFit="1" customWidth="1"/>
    <col min="1539" max="1546" width="16.5703125" customWidth="1"/>
    <col min="1793" max="1793" width="2.85546875" bestFit="1" customWidth="1"/>
    <col min="1795" max="1802" width="16.5703125" customWidth="1"/>
    <col min="2049" max="2049" width="2.85546875" bestFit="1" customWidth="1"/>
    <col min="2051" max="2058" width="16.5703125" customWidth="1"/>
    <col min="2305" max="2305" width="2.85546875" bestFit="1" customWidth="1"/>
    <col min="2307" max="2314" width="16.5703125" customWidth="1"/>
    <col min="2561" max="2561" width="2.85546875" bestFit="1" customWidth="1"/>
    <col min="2563" max="2570" width="16.5703125" customWidth="1"/>
    <col min="2817" max="2817" width="2.85546875" bestFit="1" customWidth="1"/>
    <col min="2819" max="2826" width="16.5703125" customWidth="1"/>
    <col min="3073" max="3073" width="2.85546875" bestFit="1" customWidth="1"/>
    <col min="3075" max="3082" width="16.5703125" customWidth="1"/>
    <col min="3329" max="3329" width="2.85546875" bestFit="1" customWidth="1"/>
    <col min="3331" max="3338" width="16.5703125" customWidth="1"/>
    <col min="3585" max="3585" width="2.85546875" bestFit="1" customWidth="1"/>
    <col min="3587" max="3594" width="16.5703125" customWidth="1"/>
    <col min="3841" max="3841" width="2.85546875" bestFit="1" customWidth="1"/>
    <col min="3843" max="3850" width="16.5703125" customWidth="1"/>
    <col min="4097" max="4097" width="2.85546875" bestFit="1" customWidth="1"/>
    <col min="4099" max="4106" width="16.5703125" customWidth="1"/>
    <col min="4353" max="4353" width="2.85546875" bestFit="1" customWidth="1"/>
    <col min="4355" max="4362" width="16.5703125" customWidth="1"/>
    <col min="4609" max="4609" width="2.85546875" bestFit="1" customWidth="1"/>
    <col min="4611" max="4618" width="16.5703125" customWidth="1"/>
    <col min="4865" max="4865" width="2.85546875" bestFit="1" customWidth="1"/>
    <col min="4867" max="4874" width="16.5703125" customWidth="1"/>
    <col min="5121" max="5121" width="2.85546875" bestFit="1" customWidth="1"/>
    <col min="5123" max="5130" width="16.5703125" customWidth="1"/>
    <col min="5377" max="5377" width="2.85546875" bestFit="1" customWidth="1"/>
    <col min="5379" max="5386" width="16.5703125" customWidth="1"/>
    <col min="5633" max="5633" width="2.85546875" bestFit="1" customWidth="1"/>
    <col min="5635" max="5642" width="16.5703125" customWidth="1"/>
    <col min="5889" max="5889" width="2.85546875" bestFit="1" customWidth="1"/>
    <col min="5891" max="5898" width="16.5703125" customWidth="1"/>
    <col min="6145" max="6145" width="2.85546875" bestFit="1" customWidth="1"/>
    <col min="6147" max="6154" width="16.5703125" customWidth="1"/>
    <col min="6401" max="6401" width="2.85546875" bestFit="1" customWidth="1"/>
    <col min="6403" max="6410" width="16.5703125" customWidth="1"/>
    <col min="6657" max="6657" width="2.85546875" bestFit="1" customWidth="1"/>
    <col min="6659" max="6666" width="16.5703125" customWidth="1"/>
    <col min="6913" max="6913" width="2.85546875" bestFit="1" customWidth="1"/>
    <col min="6915" max="6922" width="16.5703125" customWidth="1"/>
    <col min="7169" max="7169" width="2.85546875" bestFit="1" customWidth="1"/>
    <col min="7171" max="7178" width="16.5703125" customWidth="1"/>
    <col min="7425" max="7425" width="2.85546875" bestFit="1" customWidth="1"/>
    <col min="7427" max="7434" width="16.5703125" customWidth="1"/>
    <col min="7681" max="7681" width="2.85546875" bestFit="1" customWidth="1"/>
    <col min="7683" max="7690" width="16.5703125" customWidth="1"/>
    <col min="7937" max="7937" width="2.85546875" bestFit="1" customWidth="1"/>
    <col min="7939" max="7946" width="16.5703125" customWidth="1"/>
    <col min="8193" max="8193" width="2.85546875" bestFit="1" customWidth="1"/>
    <col min="8195" max="8202" width="16.5703125" customWidth="1"/>
    <col min="8449" max="8449" width="2.85546875" bestFit="1" customWidth="1"/>
    <col min="8451" max="8458" width="16.5703125" customWidth="1"/>
    <col min="8705" max="8705" width="2.85546875" bestFit="1" customWidth="1"/>
    <col min="8707" max="8714" width="16.5703125" customWidth="1"/>
    <col min="8961" max="8961" width="2.85546875" bestFit="1" customWidth="1"/>
    <col min="8963" max="8970" width="16.5703125" customWidth="1"/>
    <col min="9217" max="9217" width="2.85546875" bestFit="1" customWidth="1"/>
    <col min="9219" max="9226" width="16.5703125" customWidth="1"/>
    <col min="9473" max="9473" width="2.85546875" bestFit="1" customWidth="1"/>
    <col min="9475" max="9482" width="16.5703125" customWidth="1"/>
    <col min="9729" max="9729" width="2.85546875" bestFit="1" customWidth="1"/>
    <col min="9731" max="9738" width="16.5703125" customWidth="1"/>
    <col min="9985" max="9985" width="2.85546875" bestFit="1" customWidth="1"/>
    <col min="9987" max="9994" width="16.5703125" customWidth="1"/>
    <col min="10241" max="10241" width="2.85546875" bestFit="1" customWidth="1"/>
    <col min="10243" max="10250" width="16.5703125" customWidth="1"/>
    <col min="10497" max="10497" width="2.85546875" bestFit="1" customWidth="1"/>
    <col min="10499" max="10506" width="16.5703125" customWidth="1"/>
    <col min="10753" max="10753" width="2.85546875" bestFit="1" customWidth="1"/>
    <col min="10755" max="10762" width="16.5703125" customWidth="1"/>
    <col min="11009" max="11009" width="2.85546875" bestFit="1" customWidth="1"/>
    <col min="11011" max="11018" width="16.5703125" customWidth="1"/>
    <col min="11265" max="11265" width="2.85546875" bestFit="1" customWidth="1"/>
    <col min="11267" max="11274" width="16.5703125" customWidth="1"/>
    <col min="11521" max="11521" width="2.85546875" bestFit="1" customWidth="1"/>
    <col min="11523" max="11530" width="16.5703125" customWidth="1"/>
    <col min="11777" max="11777" width="2.85546875" bestFit="1" customWidth="1"/>
    <col min="11779" max="11786" width="16.5703125" customWidth="1"/>
    <col min="12033" max="12033" width="2.85546875" bestFit="1" customWidth="1"/>
    <col min="12035" max="12042" width="16.5703125" customWidth="1"/>
    <col min="12289" max="12289" width="2.85546875" bestFit="1" customWidth="1"/>
    <col min="12291" max="12298" width="16.5703125" customWidth="1"/>
    <col min="12545" max="12545" width="2.85546875" bestFit="1" customWidth="1"/>
    <col min="12547" max="12554" width="16.5703125" customWidth="1"/>
    <col min="12801" max="12801" width="2.85546875" bestFit="1" customWidth="1"/>
    <col min="12803" max="12810" width="16.5703125" customWidth="1"/>
    <col min="13057" max="13057" width="2.85546875" bestFit="1" customWidth="1"/>
    <col min="13059" max="13066" width="16.5703125" customWidth="1"/>
    <col min="13313" max="13313" width="2.85546875" bestFit="1" customWidth="1"/>
    <col min="13315" max="13322" width="16.5703125" customWidth="1"/>
    <col min="13569" max="13569" width="2.85546875" bestFit="1" customWidth="1"/>
    <col min="13571" max="13578" width="16.5703125" customWidth="1"/>
    <col min="13825" max="13825" width="2.85546875" bestFit="1" customWidth="1"/>
    <col min="13827" max="13834" width="16.5703125" customWidth="1"/>
    <col min="14081" max="14081" width="2.85546875" bestFit="1" customWidth="1"/>
    <col min="14083" max="14090" width="16.5703125" customWidth="1"/>
    <col min="14337" max="14337" width="2.85546875" bestFit="1" customWidth="1"/>
    <col min="14339" max="14346" width="16.5703125" customWidth="1"/>
    <col min="14593" max="14593" width="2.85546875" bestFit="1" customWidth="1"/>
    <col min="14595" max="14602" width="16.5703125" customWidth="1"/>
    <col min="14849" max="14849" width="2.85546875" bestFit="1" customWidth="1"/>
    <col min="14851" max="14858" width="16.5703125" customWidth="1"/>
    <col min="15105" max="15105" width="2.85546875" bestFit="1" customWidth="1"/>
    <col min="15107" max="15114" width="16.5703125" customWidth="1"/>
    <col min="15361" max="15361" width="2.85546875" bestFit="1" customWidth="1"/>
    <col min="15363" max="15370" width="16.5703125" customWidth="1"/>
    <col min="15617" max="15617" width="2.85546875" bestFit="1" customWidth="1"/>
    <col min="15619" max="15626" width="16.5703125" customWidth="1"/>
    <col min="15873" max="15873" width="2.85546875" bestFit="1" customWidth="1"/>
    <col min="15875" max="15882" width="16.5703125" customWidth="1"/>
    <col min="16129" max="16129" width="2.85546875" bestFit="1" customWidth="1"/>
    <col min="16131" max="16138" width="16.5703125" customWidth="1"/>
    <col min="16139" max="16384" width="9.140625" style="408"/>
  </cols>
  <sheetData>
    <row r="1" spans="1:10" s="408" customFormat="1" ht="25.5" x14ac:dyDescent="0.2">
      <c r="A1" s="410" t="str">
        <f>ROWS(A$1:A1)&amp;")"</f>
        <v>1)</v>
      </c>
      <c r="B1" s="411" t="s">
        <v>1563</v>
      </c>
      <c r="C1" s="411"/>
      <c r="D1" s="411"/>
      <c r="E1" s="411"/>
    </row>
    <row r="2" spans="1:10" s="408" customFormat="1" ht="38.25" x14ac:dyDescent="0.2">
      <c r="A2" s="410" t="str">
        <f>ROWS(A$1:A2)&amp;")"</f>
        <v>2)</v>
      </c>
      <c r="B2" s="411" t="s">
        <v>1558</v>
      </c>
      <c r="C2" s="411"/>
      <c r="D2" s="411"/>
      <c r="E2" s="411"/>
    </row>
    <row r="3" spans="1:10" s="408" customFormat="1" ht="38.25" x14ac:dyDescent="0.2">
      <c r="A3" s="410" t="str">
        <f>ROWS(A$1:A3)&amp;")"</f>
        <v>3)</v>
      </c>
      <c r="B3" s="411" t="s">
        <v>1559</v>
      </c>
      <c r="C3" s="411"/>
      <c r="D3" s="411"/>
      <c r="E3" s="411"/>
    </row>
    <row r="4" spans="1:10" s="408" customFormat="1" ht="51" x14ac:dyDescent="0.2">
      <c r="A4" s="410" t="str">
        <f>ROWS(A$1:A4)&amp;")"</f>
        <v>4)</v>
      </c>
      <c r="B4" s="411" t="s">
        <v>1564</v>
      </c>
      <c r="C4" s="411"/>
      <c r="D4" s="411"/>
      <c r="E4" s="411"/>
    </row>
    <row r="5" spans="1:10" s="408" customFormat="1" ht="12.75" x14ac:dyDescent="0.2">
      <c r="A5" s="410" t="str">
        <f>ROWS(A$1:A5)&amp;")"</f>
        <v>5)</v>
      </c>
      <c r="B5" s="414" t="s">
        <v>1561</v>
      </c>
      <c r="C5" s="411"/>
      <c r="D5" s="411"/>
      <c r="E5" s="411"/>
    </row>
    <row r="6" spans="1:10" s="408" customFormat="1" ht="63.75" x14ac:dyDescent="0.2">
      <c r="A6" s="410" t="str">
        <f>ROWS(A$1:A6)&amp;")"</f>
        <v>6)</v>
      </c>
      <c r="B6" s="414" t="s">
        <v>1562</v>
      </c>
      <c r="C6" s="411"/>
      <c r="D6" s="411"/>
      <c r="E6" s="411"/>
    </row>
    <row r="8" spans="1:10" s="408" customFormat="1" ht="12.75" x14ac:dyDescent="0.2">
      <c r="B8" s="415" t="s">
        <v>129</v>
      </c>
      <c r="C8" s="415" t="s">
        <v>130</v>
      </c>
      <c r="D8" s="415" t="s">
        <v>834</v>
      </c>
      <c r="E8" s="415" t="s">
        <v>835</v>
      </c>
      <c r="F8" s="415" t="s">
        <v>836</v>
      </c>
      <c r="G8" s="415" t="s">
        <v>837</v>
      </c>
      <c r="H8" s="415" t="s">
        <v>1565</v>
      </c>
      <c r="I8" s="415" t="s">
        <v>372</v>
      </c>
      <c r="J8" s="415" t="s">
        <v>373</v>
      </c>
    </row>
    <row r="10" spans="1:10" s="408" customFormat="1" ht="12.75" x14ac:dyDescent="0.2">
      <c r="B10" s="408" t="s">
        <v>1566</v>
      </c>
    </row>
    <row r="11" spans="1:10" s="408" customFormat="1" ht="12.75" x14ac:dyDescent="0.2">
      <c r="B11" s="408" t="s">
        <v>7</v>
      </c>
    </row>
    <row r="12" spans="1:10" s="408" customFormat="1" ht="12.75" x14ac:dyDescent="0.2">
      <c r="B12" s="408" t="s">
        <v>1567</v>
      </c>
    </row>
    <row r="13" spans="1:10" s="408" customFormat="1" ht="12.75" x14ac:dyDescent="0.2">
      <c r="B13" s="408" t="s">
        <v>870</v>
      </c>
    </row>
    <row r="14" spans="1:10" s="408" customFormat="1" ht="12.75" x14ac:dyDescent="0.2">
      <c r="B14" s="408" t="s">
        <v>838</v>
      </c>
    </row>
    <row r="15" spans="1:10" s="408" customFormat="1" ht="12.75" x14ac:dyDescent="0.2">
      <c r="B15" s="408">
        <v>98104</v>
      </c>
    </row>
    <row r="16" spans="1:10" s="408" customFormat="1" ht="12.75" x14ac:dyDescent="0.2">
      <c r="B16" s="408" t="s">
        <v>1568</v>
      </c>
    </row>
    <row r="17" spans="2:2" s="408" customFormat="1" ht="12.75" x14ac:dyDescent="0.2">
      <c r="B17" s="408" t="str">
        <f>B10&amp;"_"&amp;B11&amp;"@notaol.com"</f>
        <v>Steve_Chin@notaol.com</v>
      </c>
    </row>
    <row r="18" spans="2:2" s="408" customFormat="1" ht="12.75" x14ac:dyDescent="0.2">
      <c r="B18" s="408" t="str">
        <f>B11&amp;"_"&amp;B12&amp;"@notaol.com"</f>
        <v>Chin_14 17th St.@notaol.com</v>
      </c>
    </row>
    <row r="20" spans="2:2" s="408" customFormat="1" ht="12.75" x14ac:dyDescent="0.2">
      <c r="B20" s="408" t="s">
        <v>1569</v>
      </c>
    </row>
    <row r="21" spans="2:2" s="408" customFormat="1" ht="12.75" x14ac:dyDescent="0.2">
      <c r="B21" s="408" t="s">
        <v>1570</v>
      </c>
    </row>
    <row r="22" spans="2:2" s="408" customFormat="1" ht="12.75" x14ac:dyDescent="0.2">
      <c r="B22" s="408" t="s">
        <v>1571</v>
      </c>
    </row>
    <row r="23" spans="2:2" s="408" customFormat="1" ht="12.75" x14ac:dyDescent="0.2">
      <c r="B23" s="408" t="s">
        <v>870</v>
      </c>
    </row>
    <row r="24" spans="2:2" s="408" customFormat="1" ht="12.75" x14ac:dyDescent="0.2">
      <c r="B24" s="408" t="s">
        <v>838</v>
      </c>
    </row>
    <row r="25" spans="2:2" s="408" customFormat="1" ht="12.75" x14ac:dyDescent="0.2">
      <c r="B25" s="408">
        <v>98106</v>
      </c>
    </row>
    <row r="26" spans="2:2" s="408" customFormat="1" ht="12.75" x14ac:dyDescent="0.2">
      <c r="B26" s="408" t="s">
        <v>1572</v>
      </c>
    </row>
    <row r="27" spans="2:2" s="408" customFormat="1" ht="12.75" x14ac:dyDescent="0.2">
      <c r="B27" s="408" t="str">
        <f>B20&amp;"_"&amp;B21&amp;"@notaol.com"</f>
        <v>Troun_Tenn@notaol.com</v>
      </c>
    </row>
    <row r="28" spans="2:2" s="408" customFormat="1" ht="12.75" x14ac:dyDescent="0.2">
      <c r="B28" s="408" t="str">
        <f>B21&amp;"_"&amp;B22&amp;"@notaol.com"</f>
        <v>Tenn_6 19th St.@notaol.com</v>
      </c>
    </row>
    <row r="30" spans="2:2" s="408" customFormat="1" ht="12.75" x14ac:dyDescent="0.2">
      <c r="B30" s="408" t="s">
        <v>1573</v>
      </c>
    </row>
    <row r="31" spans="2:2" s="408" customFormat="1" ht="12.75" x14ac:dyDescent="0.2">
      <c r="B31" s="408" t="s">
        <v>1574</v>
      </c>
    </row>
    <row r="32" spans="2:2" s="408" customFormat="1" ht="12.75" x14ac:dyDescent="0.2">
      <c r="B32" s="408" t="s">
        <v>1575</v>
      </c>
    </row>
    <row r="33" spans="2:2" s="408" customFormat="1" ht="12.75" x14ac:dyDescent="0.2">
      <c r="B33" s="408" t="s">
        <v>870</v>
      </c>
    </row>
    <row r="34" spans="2:2" s="408" customFormat="1" ht="12.75" x14ac:dyDescent="0.2">
      <c r="B34" s="408" t="s">
        <v>838</v>
      </c>
    </row>
    <row r="35" spans="2:2" s="408" customFormat="1" ht="12.75" x14ac:dyDescent="0.2">
      <c r="B35" s="408">
        <v>98117</v>
      </c>
    </row>
    <row r="36" spans="2:2" s="408" customFormat="1" ht="12.75" x14ac:dyDescent="0.2">
      <c r="B36" s="408" t="s">
        <v>1576</v>
      </c>
    </row>
    <row r="37" spans="2:2" s="408" customFormat="1" ht="12.75" x14ac:dyDescent="0.2">
      <c r="B37" s="408" t="str">
        <f>B30&amp;"_"&amp;B31&amp;"@notaol.com"</f>
        <v>Rhond_Tradfren@notaol.com</v>
      </c>
    </row>
    <row r="38" spans="2:2" s="408" customFormat="1" ht="12.75" x14ac:dyDescent="0.2">
      <c r="B38" s="408" t="str">
        <f>B31&amp;"_"&amp;B32&amp;"@notaol.com"</f>
        <v>Tradfren_10 13th St.@notaol.com</v>
      </c>
    </row>
    <row r="40" spans="2:2" s="408" customFormat="1" ht="12.75" x14ac:dyDescent="0.2">
      <c r="B40" s="408" t="s">
        <v>1577</v>
      </c>
    </row>
    <row r="41" spans="2:2" s="408" customFormat="1" ht="12.75" x14ac:dyDescent="0.2">
      <c r="B41" s="408" t="s">
        <v>1578</v>
      </c>
    </row>
    <row r="42" spans="2:2" s="408" customFormat="1" ht="12.75" x14ac:dyDescent="0.2">
      <c r="B42" s="408" t="s">
        <v>1579</v>
      </c>
    </row>
    <row r="43" spans="2:2" s="408" customFormat="1" ht="12.75" x14ac:dyDescent="0.2">
      <c r="B43" s="408" t="s">
        <v>870</v>
      </c>
    </row>
    <row r="44" spans="2:2" s="408" customFormat="1" ht="12.75" x14ac:dyDescent="0.2">
      <c r="B44" s="408" t="s">
        <v>838</v>
      </c>
    </row>
    <row r="45" spans="2:2" s="408" customFormat="1" ht="12.75" x14ac:dyDescent="0.2">
      <c r="B45" s="408">
        <v>98111</v>
      </c>
    </row>
    <row r="46" spans="2:2" s="408" customFormat="1" ht="12.75" x14ac:dyDescent="0.2">
      <c r="B46" s="408" t="s">
        <v>1580</v>
      </c>
    </row>
    <row r="47" spans="2:2" s="408" customFormat="1" ht="12.75" x14ac:dyDescent="0.2">
      <c r="B47" s="408" t="str">
        <f>B40&amp;"_"&amp;B41&amp;"@notaol.com"</f>
        <v>Sheli_Das@notaol.com</v>
      </c>
    </row>
    <row r="48" spans="2:2" s="408" customFormat="1" ht="12.75" x14ac:dyDescent="0.2">
      <c r="B48" s="408" t="str">
        <f>B41&amp;"_"&amp;B42&amp;"@notaol.com"</f>
        <v>Das_2 15th St.@notaol.com</v>
      </c>
    </row>
    <row r="50" spans="2:2" s="408" customFormat="1" ht="12.75" x14ac:dyDescent="0.2">
      <c r="B50" s="408" t="s">
        <v>1581</v>
      </c>
    </row>
    <row r="51" spans="2:2" s="408" customFormat="1" ht="12.75" x14ac:dyDescent="0.2">
      <c r="B51" s="408" t="s">
        <v>1582</v>
      </c>
    </row>
    <row r="52" spans="2:2" s="408" customFormat="1" ht="12.75" x14ac:dyDescent="0.2">
      <c r="B52" s="408" t="s">
        <v>1583</v>
      </c>
    </row>
    <row r="53" spans="2:2" s="408" customFormat="1" ht="12.75" x14ac:dyDescent="0.2">
      <c r="B53" s="408" t="s">
        <v>870</v>
      </c>
    </row>
    <row r="54" spans="2:2" s="408" customFormat="1" ht="12.75" x14ac:dyDescent="0.2">
      <c r="B54" s="408" t="s">
        <v>838</v>
      </c>
    </row>
    <row r="55" spans="2:2" s="408" customFormat="1" ht="12.75" x14ac:dyDescent="0.2">
      <c r="B55" s="408">
        <v>98114</v>
      </c>
    </row>
    <row r="56" spans="2:2" s="408" customFormat="1" ht="12.75" x14ac:dyDescent="0.2">
      <c r="B56" s="408" t="s">
        <v>1584</v>
      </c>
    </row>
    <row r="57" spans="2:2" s="408" customFormat="1" ht="12.75" x14ac:dyDescent="0.2">
      <c r="B57" s="408" t="str">
        <f>B50&amp;"_"&amp;B51&amp;"@notaol.com"</f>
        <v>Jon_Teddy@notaol.com</v>
      </c>
    </row>
    <row r="58" spans="2:2" s="408" customFormat="1" ht="12.75" x14ac:dyDescent="0.2">
      <c r="B58" s="408" t="str">
        <f>B51&amp;"_"&amp;B52&amp;"@notaol.com"</f>
        <v>Teddy_3 17th St.@notaol.com</v>
      </c>
    </row>
    <row r="60" spans="2:2" s="408" customFormat="1" ht="12.75" x14ac:dyDescent="0.2">
      <c r="B60" s="408" t="s">
        <v>1585</v>
      </c>
    </row>
    <row r="61" spans="2:2" s="408" customFormat="1" ht="12.75" x14ac:dyDescent="0.2">
      <c r="B61" s="408" t="s">
        <v>1586</v>
      </c>
    </row>
    <row r="62" spans="2:2" s="408" customFormat="1" ht="12.75" x14ac:dyDescent="0.2">
      <c r="B62" s="408" t="s">
        <v>1587</v>
      </c>
    </row>
    <row r="63" spans="2:2" s="408" customFormat="1" ht="12.75" x14ac:dyDescent="0.2">
      <c r="B63" s="408" t="s">
        <v>870</v>
      </c>
    </row>
    <row r="64" spans="2:2" s="408" customFormat="1" ht="12.75" x14ac:dyDescent="0.2">
      <c r="B64" s="408" t="s">
        <v>838</v>
      </c>
    </row>
    <row r="65" spans="2:2" s="408" customFormat="1" ht="12.75" x14ac:dyDescent="0.2">
      <c r="B65" s="408">
        <v>98114</v>
      </c>
    </row>
    <row r="66" spans="2:2" s="408" customFormat="1" ht="12.75" x14ac:dyDescent="0.2">
      <c r="B66" s="408" t="s">
        <v>1588</v>
      </c>
    </row>
    <row r="67" spans="2:2" s="408" customFormat="1" ht="12.75" x14ac:dyDescent="0.2">
      <c r="B67" s="408" t="str">
        <f>B60&amp;"_"&amp;B61&amp;"@notaol.com"</f>
        <v>Jeri_Yessler@notaol.com</v>
      </c>
    </row>
    <row r="68" spans="2:2" s="408" customFormat="1" ht="12.75" x14ac:dyDescent="0.2">
      <c r="B68" s="408" t="str">
        <f>B61&amp;"_"&amp;B62&amp;"@notaol.com"</f>
        <v>Yessler_12 16th St.@notaol.com</v>
      </c>
    </row>
    <row r="70" spans="2:2" s="408" customFormat="1" ht="12.75" x14ac:dyDescent="0.2">
      <c r="B70" s="408" t="s">
        <v>1589</v>
      </c>
    </row>
    <row r="71" spans="2:2" s="408" customFormat="1" ht="12.75" x14ac:dyDescent="0.2">
      <c r="B71" s="408" t="s">
        <v>1590</v>
      </c>
    </row>
    <row r="72" spans="2:2" s="408" customFormat="1" ht="12.75" x14ac:dyDescent="0.2">
      <c r="B72" s="408" t="s">
        <v>1591</v>
      </c>
    </row>
    <row r="73" spans="2:2" s="408" customFormat="1" ht="12.75" x14ac:dyDescent="0.2">
      <c r="B73" s="408" t="s">
        <v>870</v>
      </c>
    </row>
    <row r="74" spans="2:2" s="408" customFormat="1" ht="12.75" x14ac:dyDescent="0.2">
      <c r="B74" s="408" t="s">
        <v>838</v>
      </c>
    </row>
    <row r="75" spans="2:2" s="408" customFormat="1" ht="12.75" x14ac:dyDescent="0.2">
      <c r="B75" s="408">
        <v>98113</v>
      </c>
    </row>
    <row r="76" spans="2:2" s="408" customFormat="1" ht="12.75" x14ac:dyDescent="0.2">
      <c r="B76" s="408" t="s">
        <v>1592</v>
      </c>
    </row>
    <row r="77" spans="2:2" s="408" customFormat="1" ht="12.75" x14ac:dyDescent="0.2">
      <c r="B77" s="408" t="str">
        <f>B70&amp;"_"&amp;B71&amp;"@notaol.com"</f>
        <v>Luke_Suix@notaol.com</v>
      </c>
    </row>
    <row r="78" spans="2:2" s="408" customFormat="1" ht="12.75" x14ac:dyDescent="0.2">
      <c r="B78" s="408" t="str">
        <f>B71&amp;"_"&amp;B72&amp;"@notaol.com"</f>
        <v>Suix_8 19th St.@notaol.com</v>
      </c>
    </row>
    <row r="80" spans="2:2" s="408" customFormat="1" ht="12.75" x14ac:dyDescent="0.2">
      <c r="B80" s="408" t="s">
        <v>1589</v>
      </c>
    </row>
    <row r="81" spans="2:2" s="408" customFormat="1" ht="12.75" x14ac:dyDescent="0.2">
      <c r="B81" s="408" t="s">
        <v>1593</v>
      </c>
    </row>
    <row r="82" spans="2:2" s="408" customFormat="1" ht="12.75" x14ac:dyDescent="0.2">
      <c r="B82" s="408" t="s">
        <v>1594</v>
      </c>
    </row>
    <row r="83" spans="2:2" s="408" customFormat="1" ht="12.75" x14ac:dyDescent="0.2">
      <c r="B83" s="408" t="s">
        <v>870</v>
      </c>
    </row>
    <row r="84" spans="2:2" s="408" customFormat="1" ht="12.75" x14ac:dyDescent="0.2">
      <c r="B84" s="408" t="s">
        <v>838</v>
      </c>
    </row>
    <row r="85" spans="2:2" s="408" customFormat="1" ht="12.75" x14ac:dyDescent="0.2">
      <c r="B85" s="408">
        <v>98108</v>
      </c>
    </row>
    <row r="86" spans="2:2" s="408" customFormat="1" ht="12.75" x14ac:dyDescent="0.2">
      <c r="B86" s="408" t="s">
        <v>1595</v>
      </c>
    </row>
    <row r="87" spans="2:2" s="408" customFormat="1" ht="12.75" x14ac:dyDescent="0.2">
      <c r="B87" s="408" t="str">
        <f>B80&amp;"_"&amp;B81&amp;"@notaol.com"</f>
        <v>Luke_Red@notaol.com</v>
      </c>
    </row>
    <row r="88" spans="2:2" s="408" customFormat="1" ht="12.75" x14ac:dyDescent="0.2">
      <c r="B88" s="408" t="str">
        <f>B81&amp;"_"&amp;B82&amp;"@notaol.com"</f>
        <v>Red_15 16th St.@notaol.com</v>
      </c>
    </row>
    <row r="90" spans="2:2" s="408" customFormat="1" ht="12.75" x14ac:dyDescent="0.2">
      <c r="B90" s="408" t="s">
        <v>1585</v>
      </c>
    </row>
    <row r="91" spans="2:2" s="408" customFormat="1" ht="12.75" x14ac:dyDescent="0.2">
      <c r="B91" s="408" t="s">
        <v>1596</v>
      </c>
    </row>
    <row r="92" spans="2:2" s="408" customFormat="1" ht="12.75" x14ac:dyDescent="0.2">
      <c r="B92" s="408" t="s">
        <v>1597</v>
      </c>
    </row>
    <row r="93" spans="2:2" s="408" customFormat="1" ht="12.75" x14ac:dyDescent="0.2">
      <c r="B93" s="408" t="s">
        <v>870</v>
      </c>
    </row>
    <row r="94" spans="2:2" s="408" customFormat="1" ht="12.75" x14ac:dyDescent="0.2">
      <c r="B94" s="408" t="s">
        <v>838</v>
      </c>
    </row>
    <row r="95" spans="2:2" s="408" customFormat="1" ht="12.75" x14ac:dyDescent="0.2">
      <c r="B95" s="408">
        <v>98112</v>
      </c>
    </row>
    <row r="96" spans="2:2" s="408" customFormat="1" ht="12.75" x14ac:dyDescent="0.2">
      <c r="B96" s="408" t="s">
        <v>1598</v>
      </c>
    </row>
    <row r="97" spans="2:2" s="408" customFormat="1" ht="12.75" x14ac:dyDescent="0.2">
      <c r="B97" s="408" t="str">
        <f>B90&amp;"_"&amp;B91&amp;"@notaol.com"</f>
        <v>Jeri_Smythe@notaol.com</v>
      </c>
    </row>
    <row r="98" spans="2:2" s="408" customFormat="1" ht="12.75" x14ac:dyDescent="0.2">
      <c r="B98" s="408" t="str">
        <f>B91&amp;"_"&amp;B92&amp;"@notaol.com"</f>
        <v>Smythe_14 19th St.@notaol.com</v>
      </c>
    </row>
    <row r="100" spans="2:2" s="408" customFormat="1" ht="12.75" x14ac:dyDescent="0.2">
      <c r="B100" s="408" t="s">
        <v>1589</v>
      </c>
    </row>
    <row r="101" spans="2:2" s="408" customFormat="1" ht="12.75" x14ac:dyDescent="0.2">
      <c r="B101" s="408" t="s">
        <v>1500</v>
      </c>
    </row>
    <row r="102" spans="2:2" s="408" customFormat="1" ht="12.75" x14ac:dyDescent="0.2">
      <c r="B102" s="408" t="s">
        <v>1599</v>
      </c>
    </row>
    <row r="103" spans="2:2" s="408" customFormat="1" ht="12.75" x14ac:dyDescent="0.2">
      <c r="B103" s="408" t="s">
        <v>870</v>
      </c>
    </row>
    <row r="104" spans="2:2" s="408" customFormat="1" ht="12.75" x14ac:dyDescent="0.2">
      <c r="B104" s="408" t="s">
        <v>838</v>
      </c>
    </row>
    <row r="105" spans="2:2" s="408" customFormat="1" ht="12.75" x14ac:dyDescent="0.2">
      <c r="B105" s="408">
        <v>98106</v>
      </c>
    </row>
    <row r="106" spans="2:2" s="408" customFormat="1" ht="12.75" x14ac:dyDescent="0.2">
      <c r="B106" s="408" t="s">
        <v>1600</v>
      </c>
    </row>
    <row r="107" spans="2:2" s="408" customFormat="1" ht="12.75" x14ac:dyDescent="0.2">
      <c r="B107" s="408" t="str">
        <f>B100&amp;"_"&amp;B101&amp;"@notaol.com"</f>
        <v>Luke_Rad@notaol.com</v>
      </c>
    </row>
    <row r="108" spans="2:2" s="408" customFormat="1" ht="12.75" x14ac:dyDescent="0.2">
      <c r="B108" s="408" t="str">
        <f>B101&amp;"_"&amp;B102&amp;"@notaol.com"</f>
        <v>Rad_3 16th St.@notaol.com</v>
      </c>
    </row>
    <row r="110" spans="2:2" s="408" customFormat="1" ht="12.75" x14ac:dyDescent="0.2">
      <c r="B110" s="408" t="s">
        <v>1581</v>
      </c>
    </row>
    <row r="111" spans="2:2" s="408" customFormat="1" ht="12.75" x14ac:dyDescent="0.2">
      <c r="B111" s="408" t="s">
        <v>1601</v>
      </c>
    </row>
    <row r="112" spans="2:2" s="408" customFormat="1" ht="12.75" x14ac:dyDescent="0.2">
      <c r="B112" s="408" t="s">
        <v>1602</v>
      </c>
    </row>
    <row r="113" spans="2:2" s="408" customFormat="1" ht="12.75" x14ac:dyDescent="0.2">
      <c r="B113" s="408" t="s">
        <v>870</v>
      </c>
    </row>
    <row r="114" spans="2:2" s="408" customFormat="1" ht="12.75" x14ac:dyDescent="0.2">
      <c r="B114" s="408" t="s">
        <v>838</v>
      </c>
    </row>
    <row r="115" spans="2:2" s="408" customFormat="1" ht="12.75" x14ac:dyDescent="0.2">
      <c r="B115" s="408">
        <v>98116</v>
      </c>
    </row>
    <row r="116" spans="2:2" s="408" customFormat="1" ht="12.75" x14ac:dyDescent="0.2">
      <c r="B116" s="408" t="s">
        <v>1603</v>
      </c>
    </row>
    <row r="117" spans="2:2" s="408" customFormat="1" ht="12.75" x14ac:dyDescent="0.2">
      <c r="B117" s="408" t="str">
        <f>B110&amp;"_"&amp;B111&amp;"@notaol.com"</f>
        <v>Jon_Dap@notaol.com</v>
      </c>
    </row>
    <row r="118" spans="2:2" s="408" customFormat="1" ht="12.75" x14ac:dyDescent="0.2">
      <c r="B118" s="408" t="str">
        <f>B111&amp;"_"&amp;B112&amp;"@notaol.com"</f>
        <v>Dap_5 19th St.@notaol.com</v>
      </c>
    </row>
    <row r="120" spans="2:2" s="408" customFormat="1" ht="12.75" x14ac:dyDescent="0.2">
      <c r="B120" s="408" t="s">
        <v>1566</v>
      </c>
    </row>
    <row r="121" spans="2:2" s="408" customFormat="1" ht="12.75" x14ac:dyDescent="0.2">
      <c r="B121" s="408" t="s">
        <v>1604</v>
      </c>
    </row>
    <row r="122" spans="2:2" s="408" customFormat="1" ht="12.75" x14ac:dyDescent="0.2">
      <c r="B122" s="408" t="s">
        <v>1605</v>
      </c>
    </row>
    <row r="123" spans="2:2" s="408" customFormat="1" ht="12.75" x14ac:dyDescent="0.2">
      <c r="B123" s="408" t="s">
        <v>870</v>
      </c>
    </row>
    <row r="124" spans="2:2" s="408" customFormat="1" ht="12.75" x14ac:dyDescent="0.2">
      <c r="B124" s="408" t="s">
        <v>838</v>
      </c>
    </row>
    <row r="125" spans="2:2" s="408" customFormat="1" ht="12.75" x14ac:dyDescent="0.2">
      <c r="B125" s="408">
        <v>98111</v>
      </c>
    </row>
    <row r="126" spans="2:2" s="408" customFormat="1" ht="12.75" x14ac:dyDescent="0.2">
      <c r="B126" s="408" t="s">
        <v>1606</v>
      </c>
    </row>
    <row r="127" spans="2:2" s="408" customFormat="1" ht="12.75" x14ac:dyDescent="0.2">
      <c r="B127" s="408" t="str">
        <f>B120&amp;"_"&amp;B121&amp;"@notaol.com"</f>
        <v>Steve_Gupis@notaol.com</v>
      </c>
    </row>
    <row r="128" spans="2:2" s="408" customFormat="1" ht="12.75" x14ac:dyDescent="0.2">
      <c r="B128" s="408" t="str">
        <f>B121&amp;"_"&amp;B122&amp;"@notaol.com"</f>
        <v>Gupis_6 17th St.@notaol.com</v>
      </c>
    </row>
    <row r="130" spans="2:2" s="408" customFormat="1" ht="12.75" x14ac:dyDescent="0.2">
      <c r="B130" s="408" t="s">
        <v>1581</v>
      </c>
    </row>
    <row r="131" spans="2:2" s="408" customFormat="1" ht="12.75" x14ac:dyDescent="0.2">
      <c r="B131" s="408" t="s">
        <v>1607</v>
      </c>
    </row>
    <row r="132" spans="2:2" s="408" customFormat="1" ht="12.75" x14ac:dyDescent="0.2">
      <c r="B132" s="408" t="s">
        <v>1608</v>
      </c>
    </row>
    <row r="133" spans="2:2" s="408" customFormat="1" ht="12.75" x14ac:dyDescent="0.2">
      <c r="B133" s="408" t="s">
        <v>870</v>
      </c>
    </row>
    <row r="134" spans="2:2" s="408" customFormat="1" ht="12.75" x14ac:dyDescent="0.2">
      <c r="B134" s="408" t="s">
        <v>838</v>
      </c>
    </row>
    <row r="135" spans="2:2" s="408" customFormat="1" ht="12.75" x14ac:dyDescent="0.2">
      <c r="B135" s="408">
        <v>98104</v>
      </c>
    </row>
    <row r="136" spans="2:2" s="408" customFormat="1" ht="12.75" x14ac:dyDescent="0.2">
      <c r="B136" s="408" t="s">
        <v>1609</v>
      </c>
    </row>
    <row r="137" spans="2:2" s="408" customFormat="1" ht="12.75" x14ac:dyDescent="0.2">
      <c r="B137" s="408" t="str">
        <f>B130&amp;"_"&amp;B131&amp;"@notaol.com"</f>
        <v>Jon_Summi@notaol.com</v>
      </c>
    </row>
    <row r="138" spans="2:2" s="408" customFormat="1" ht="12.75" x14ac:dyDescent="0.2">
      <c r="B138" s="408" t="str">
        <f>B131&amp;"_"&amp;B132&amp;"@notaol.com"</f>
        <v>Summi_4 14th St.@notaol.com</v>
      </c>
    </row>
    <row r="140" spans="2:2" s="408" customFormat="1" ht="12.75" x14ac:dyDescent="0.2">
      <c r="B140" s="408" t="s">
        <v>1577</v>
      </c>
    </row>
    <row r="141" spans="2:2" s="408" customFormat="1" ht="12.75" x14ac:dyDescent="0.2">
      <c r="B141" s="408" t="s">
        <v>1610</v>
      </c>
    </row>
    <row r="142" spans="2:2" s="408" customFormat="1" ht="12.75" x14ac:dyDescent="0.2">
      <c r="B142" s="408" t="s">
        <v>1611</v>
      </c>
    </row>
    <row r="143" spans="2:2" s="408" customFormat="1" ht="12.75" x14ac:dyDescent="0.2">
      <c r="B143" s="408" t="s">
        <v>870</v>
      </c>
    </row>
    <row r="144" spans="2:2" s="408" customFormat="1" ht="12.75" x14ac:dyDescent="0.2">
      <c r="B144" s="408" t="s">
        <v>838</v>
      </c>
    </row>
    <row r="145" spans="2:2" s="408" customFormat="1" ht="12.75" x14ac:dyDescent="0.2">
      <c r="B145" s="408">
        <v>98110</v>
      </c>
    </row>
    <row r="146" spans="2:2" s="408" customFormat="1" ht="12.75" x14ac:dyDescent="0.2">
      <c r="B146" s="408" t="s">
        <v>1612</v>
      </c>
    </row>
    <row r="147" spans="2:2" s="408" customFormat="1" ht="12.75" x14ac:dyDescent="0.2">
      <c r="B147" s="408" t="str">
        <f>B140&amp;"_"&amp;B141&amp;"@notaol.com"</f>
        <v>Sheli_Fun@notaol.com</v>
      </c>
    </row>
    <row r="148" spans="2:2" s="408" customFormat="1" ht="12.75" x14ac:dyDescent="0.2">
      <c r="B148" s="408" t="str">
        <f>B141&amp;"_"&amp;B142&amp;"@notaol.com"</f>
        <v>Fun_7 15th St.@notaol.com</v>
      </c>
    </row>
  </sheetData>
  <pageMargins left="0.75" right="0.75" top="1" bottom="1" header="0.5" footer="0.5"/>
  <pageSetup orientation="portrait" r:id="rId1"/>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169">
    <tabColor theme="9" tint="-0.249977111117893"/>
  </sheetPr>
  <dimension ref="A1:WVR148"/>
  <sheetViews>
    <sheetView zoomScaleNormal="100" workbookViewId="0">
      <selection sqref="A1:XFD1048576"/>
    </sheetView>
  </sheetViews>
  <sheetFormatPr defaultColWidth="9.140625" defaultRowHeight="15" x14ac:dyDescent="0.25"/>
  <cols>
    <col min="1" max="1" width="2.85546875" style="408" bestFit="1" customWidth="1"/>
    <col min="2" max="2" width="9.140625" style="408"/>
    <col min="3" max="10" width="16.5703125" style="408" customWidth="1"/>
    <col min="257" max="257" width="2.85546875" bestFit="1" customWidth="1"/>
    <col min="259" max="266" width="16.5703125" customWidth="1"/>
    <col min="513" max="513" width="2.85546875" bestFit="1" customWidth="1"/>
    <col min="515" max="522" width="16.5703125" customWidth="1"/>
    <col min="769" max="769" width="2.85546875" bestFit="1" customWidth="1"/>
    <col min="771" max="778" width="16.5703125" customWidth="1"/>
    <col min="1025" max="1025" width="2.85546875" bestFit="1" customWidth="1"/>
    <col min="1027" max="1034" width="16.5703125" customWidth="1"/>
    <col min="1281" max="1281" width="2.85546875" bestFit="1" customWidth="1"/>
    <col min="1283" max="1290" width="16.5703125" customWidth="1"/>
    <col min="1537" max="1537" width="2.85546875" bestFit="1" customWidth="1"/>
    <col min="1539" max="1546" width="16.5703125" customWidth="1"/>
    <col min="1793" max="1793" width="2.85546875" bestFit="1" customWidth="1"/>
    <col min="1795" max="1802" width="16.5703125" customWidth="1"/>
    <col min="2049" max="2049" width="2.85546875" bestFit="1" customWidth="1"/>
    <col min="2051" max="2058" width="16.5703125" customWidth="1"/>
    <col min="2305" max="2305" width="2.85546875" bestFit="1" customWidth="1"/>
    <col min="2307" max="2314" width="16.5703125" customWidth="1"/>
    <col min="2561" max="2561" width="2.85546875" bestFit="1" customWidth="1"/>
    <col min="2563" max="2570" width="16.5703125" customWidth="1"/>
    <col min="2817" max="2817" width="2.85546875" bestFit="1" customWidth="1"/>
    <col min="2819" max="2826" width="16.5703125" customWidth="1"/>
    <col min="3073" max="3073" width="2.85546875" bestFit="1" customWidth="1"/>
    <col min="3075" max="3082" width="16.5703125" customWidth="1"/>
    <col min="3329" max="3329" width="2.85546875" bestFit="1" customWidth="1"/>
    <col min="3331" max="3338" width="16.5703125" customWidth="1"/>
    <col min="3585" max="3585" width="2.85546875" bestFit="1" customWidth="1"/>
    <col min="3587" max="3594" width="16.5703125" customWidth="1"/>
    <col min="3841" max="3841" width="2.85546875" bestFit="1" customWidth="1"/>
    <col min="3843" max="3850" width="16.5703125" customWidth="1"/>
    <col min="4097" max="4097" width="2.85546875" bestFit="1" customWidth="1"/>
    <col min="4099" max="4106" width="16.5703125" customWidth="1"/>
    <col min="4353" max="4353" width="2.85546875" bestFit="1" customWidth="1"/>
    <col min="4355" max="4362" width="16.5703125" customWidth="1"/>
    <col min="4609" max="4609" width="2.85546875" bestFit="1" customWidth="1"/>
    <col min="4611" max="4618" width="16.5703125" customWidth="1"/>
    <col min="4865" max="4865" width="2.85546875" bestFit="1" customWidth="1"/>
    <col min="4867" max="4874" width="16.5703125" customWidth="1"/>
    <col min="5121" max="5121" width="2.85546875" bestFit="1" customWidth="1"/>
    <col min="5123" max="5130" width="16.5703125" customWidth="1"/>
    <col min="5377" max="5377" width="2.85546875" bestFit="1" customWidth="1"/>
    <col min="5379" max="5386" width="16.5703125" customWidth="1"/>
    <col min="5633" max="5633" width="2.85546875" bestFit="1" customWidth="1"/>
    <col min="5635" max="5642" width="16.5703125" customWidth="1"/>
    <col min="5889" max="5889" width="2.85546875" bestFit="1" customWidth="1"/>
    <col min="5891" max="5898" width="16.5703125" customWidth="1"/>
    <col min="6145" max="6145" width="2.85546875" bestFit="1" customWidth="1"/>
    <col min="6147" max="6154" width="16.5703125" customWidth="1"/>
    <col min="6401" max="6401" width="2.85546875" bestFit="1" customWidth="1"/>
    <col min="6403" max="6410" width="16.5703125" customWidth="1"/>
    <col min="6657" max="6657" width="2.85546875" bestFit="1" customWidth="1"/>
    <col min="6659" max="6666" width="16.5703125" customWidth="1"/>
    <col min="6913" max="6913" width="2.85546875" bestFit="1" customWidth="1"/>
    <col min="6915" max="6922" width="16.5703125" customWidth="1"/>
    <col min="7169" max="7169" width="2.85546875" bestFit="1" customWidth="1"/>
    <col min="7171" max="7178" width="16.5703125" customWidth="1"/>
    <col min="7425" max="7425" width="2.85546875" bestFit="1" customWidth="1"/>
    <col min="7427" max="7434" width="16.5703125" customWidth="1"/>
    <col min="7681" max="7681" width="2.85546875" bestFit="1" customWidth="1"/>
    <col min="7683" max="7690" width="16.5703125" customWidth="1"/>
    <col min="7937" max="7937" width="2.85546875" bestFit="1" customWidth="1"/>
    <col min="7939" max="7946" width="16.5703125" customWidth="1"/>
    <col min="8193" max="8193" width="2.85546875" bestFit="1" customWidth="1"/>
    <col min="8195" max="8202" width="16.5703125" customWidth="1"/>
    <col min="8449" max="8449" width="2.85546875" bestFit="1" customWidth="1"/>
    <col min="8451" max="8458" width="16.5703125" customWidth="1"/>
    <col min="8705" max="8705" width="2.85546875" bestFit="1" customWidth="1"/>
    <col min="8707" max="8714" width="16.5703125" customWidth="1"/>
    <col min="8961" max="8961" width="2.85546875" bestFit="1" customWidth="1"/>
    <col min="8963" max="8970" width="16.5703125" customWidth="1"/>
    <col min="9217" max="9217" width="2.85546875" bestFit="1" customWidth="1"/>
    <col min="9219" max="9226" width="16.5703125" customWidth="1"/>
    <col min="9473" max="9473" width="2.85546875" bestFit="1" customWidth="1"/>
    <col min="9475" max="9482" width="16.5703125" customWidth="1"/>
    <col min="9729" max="9729" width="2.85546875" bestFit="1" customWidth="1"/>
    <col min="9731" max="9738" width="16.5703125" customWidth="1"/>
    <col min="9985" max="9985" width="2.85546875" bestFit="1" customWidth="1"/>
    <col min="9987" max="9994" width="16.5703125" customWidth="1"/>
    <col min="10241" max="10241" width="2.85546875" bestFit="1" customWidth="1"/>
    <col min="10243" max="10250" width="16.5703125" customWidth="1"/>
    <col min="10497" max="10497" width="2.85546875" bestFit="1" customWidth="1"/>
    <col min="10499" max="10506" width="16.5703125" customWidth="1"/>
    <col min="10753" max="10753" width="2.85546875" bestFit="1" customWidth="1"/>
    <col min="10755" max="10762" width="16.5703125" customWidth="1"/>
    <col min="11009" max="11009" width="2.85546875" bestFit="1" customWidth="1"/>
    <col min="11011" max="11018" width="16.5703125" customWidth="1"/>
    <col min="11265" max="11265" width="2.85546875" bestFit="1" customWidth="1"/>
    <col min="11267" max="11274" width="16.5703125" customWidth="1"/>
    <col min="11521" max="11521" width="2.85546875" bestFit="1" customWidth="1"/>
    <col min="11523" max="11530" width="16.5703125" customWidth="1"/>
    <col min="11777" max="11777" width="2.85546875" bestFit="1" customWidth="1"/>
    <col min="11779" max="11786" width="16.5703125" customWidth="1"/>
    <col min="12033" max="12033" width="2.85546875" bestFit="1" customWidth="1"/>
    <col min="12035" max="12042" width="16.5703125" customWidth="1"/>
    <col min="12289" max="12289" width="2.85546875" bestFit="1" customWidth="1"/>
    <col min="12291" max="12298" width="16.5703125" customWidth="1"/>
    <col min="12545" max="12545" width="2.85546875" bestFit="1" customWidth="1"/>
    <col min="12547" max="12554" width="16.5703125" customWidth="1"/>
    <col min="12801" max="12801" width="2.85546875" bestFit="1" customWidth="1"/>
    <col min="12803" max="12810" width="16.5703125" customWidth="1"/>
    <col min="13057" max="13057" width="2.85546875" bestFit="1" customWidth="1"/>
    <col min="13059" max="13066" width="16.5703125" customWidth="1"/>
    <col min="13313" max="13313" width="2.85546875" bestFit="1" customWidth="1"/>
    <col min="13315" max="13322" width="16.5703125" customWidth="1"/>
    <col min="13569" max="13569" width="2.85546875" bestFit="1" customWidth="1"/>
    <col min="13571" max="13578" width="16.5703125" customWidth="1"/>
    <col min="13825" max="13825" width="2.85546875" bestFit="1" customWidth="1"/>
    <col min="13827" max="13834" width="16.5703125" customWidth="1"/>
    <col min="14081" max="14081" width="2.85546875" bestFit="1" customWidth="1"/>
    <col min="14083" max="14090" width="16.5703125" customWidth="1"/>
    <col min="14337" max="14337" width="2.85546875" bestFit="1" customWidth="1"/>
    <col min="14339" max="14346" width="16.5703125" customWidth="1"/>
    <col min="14593" max="14593" width="2.85546875" bestFit="1" customWidth="1"/>
    <col min="14595" max="14602" width="16.5703125" customWidth="1"/>
    <col min="14849" max="14849" width="2.85546875" bestFit="1" customWidth="1"/>
    <col min="14851" max="14858" width="16.5703125" customWidth="1"/>
    <col min="15105" max="15105" width="2.85546875" bestFit="1" customWidth="1"/>
    <col min="15107" max="15114" width="16.5703125" customWidth="1"/>
    <col min="15361" max="15361" width="2.85546875" bestFit="1" customWidth="1"/>
    <col min="15363" max="15370" width="16.5703125" customWidth="1"/>
    <col min="15617" max="15617" width="2.85546875" bestFit="1" customWidth="1"/>
    <col min="15619" max="15626" width="16.5703125" customWidth="1"/>
    <col min="15873" max="15873" width="2.85546875" bestFit="1" customWidth="1"/>
    <col min="15875" max="15882" width="16.5703125" customWidth="1"/>
    <col min="16129" max="16129" width="2.85546875" bestFit="1" customWidth="1"/>
    <col min="16131" max="16138" width="16.5703125" customWidth="1"/>
    <col min="16139" max="16384" width="9.140625" style="408"/>
  </cols>
  <sheetData>
    <row r="1" spans="1:10" s="408" customFormat="1" ht="25.5" x14ac:dyDescent="0.2">
      <c r="A1" s="410" t="str">
        <f>ROWS(A$1:A1)&amp;")"</f>
        <v>1)</v>
      </c>
      <c r="B1" s="411" t="s">
        <v>1563</v>
      </c>
      <c r="C1" s="411"/>
      <c r="D1" s="411"/>
      <c r="E1" s="411"/>
    </row>
    <row r="2" spans="1:10" s="408" customFormat="1" ht="38.25" x14ac:dyDescent="0.2">
      <c r="A2" s="410" t="str">
        <f>ROWS(A$1:A2)&amp;")"</f>
        <v>2)</v>
      </c>
      <c r="B2" s="411" t="s">
        <v>1558</v>
      </c>
      <c r="C2" s="411"/>
      <c r="D2" s="411"/>
      <c r="E2" s="411"/>
    </row>
    <row r="3" spans="1:10" s="408" customFormat="1" ht="38.25" x14ac:dyDescent="0.2">
      <c r="A3" s="410" t="str">
        <f>ROWS(A$1:A3)&amp;")"</f>
        <v>3)</v>
      </c>
      <c r="B3" s="411" t="s">
        <v>1559</v>
      </c>
      <c r="C3" s="411"/>
      <c r="D3" s="411"/>
      <c r="E3" s="411"/>
    </row>
    <row r="4" spans="1:10" s="408" customFormat="1" ht="51" x14ac:dyDescent="0.2">
      <c r="A4" s="410" t="str">
        <f>ROWS(A$1:A4)&amp;")"</f>
        <v>4)</v>
      </c>
      <c r="B4" s="411" t="s">
        <v>1564</v>
      </c>
      <c r="C4" s="411"/>
      <c r="D4" s="411"/>
      <c r="E4" s="411"/>
    </row>
    <row r="5" spans="1:10" s="408" customFormat="1" ht="12.75" x14ac:dyDescent="0.2">
      <c r="A5" s="410" t="str">
        <f>ROWS(A$1:A5)&amp;")"</f>
        <v>5)</v>
      </c>
      <c r="B5" s="414" t="s">
        <v>1561</v>
      </c>
      <c r="C5" s="411"/>
      <c r="D5" s="411"/>
      <c r="E5" s="411"/>
    </row>
    <row r="6" spans="1:10" s="408" customFormat="1" ht="63.75" x14ac:dyDescent="0.2">
      <c r="A6" s="410" t="str">
        <f>ROWS(A$1:A6)&amp;")"</f>
        <v>6)</v>
      </c>
      <c r="B6" s="414" t="s">
        <v>1562</v>
      </c>
      <c r="C6" s="411"/>
      <c r="D6" s="411"/>
      <c r="E6" s="411"/>
    </row>
    <row r="8" spans="1:10" s="408" customFormat="1" ht="12.75" x14ac:dyDescent="0.2">
      <c r="B8" s="415" t="s">
        <v>129</v>
      </c>
      <c r="C8" s="415" t="s">
        <v>130</v>
      </c>
      <c r="D8" s="415" t="s">
        <v>834</v>
      </c>
      <c r="E8" s="415" t="s">
        <v>835</v>
      </c>
      <c r="F8" s="415" t="s">
        <v>836</v>
      </c>
      <c r="G8" s="415" t="s">
        <v>837</v>
      </c>
      <c r="H8" s="415" t="s">
        <v>1565</v>
      </c>
      <c r="I8" s="415" t="s">
        <v>372</v>
      </c>
      <c r="J8" s="415" t="s">
        <v>373</v>
      </c>
    </row>
    <row r="9" spans="1:10" s="408" customFormat="1" ht="12.75" x14ac:dyDescent="0.2"/>
    <row r="10" spans="1:10" s="408" customFormat="1" ht="12.75" x14ac:dyDescent="0.2">
      <c r="B10" s="408" t="s">
        <v>1566</v>
      </c>
    </row>
    <row r="11" spans="1:10" s="408" customFormat="1" ht="12.75" x14ac:dyDescent="0.2">
      <c r="B11" s="408" t="s">
        <v>7</v>
      </c>
    </row>
    <row r="12" spans="1:10" s="408" customFormat="1" ht="12.75" x14ac:dyDescent="0.2">
      <c r="B12" s="408" t="s">
        <v>1567</v>
      </c>
    </row>
    <row r="13" spans="1:10" s="408" customFormat="1" ht="12.75" x14ac:dyDescent="0.2">
      <c r="B13" s="408" t="s">
        <v>870</v>
      </c>
    </row>
    <row r="14" spans="1:10" s="408" customFormat="1" ht="12.75" x14ac:dyDescent="0.2">
      <c r="B14" s="408" t="s">
        <v>838</v>
      </c>
    </row>
    <row r="15" spans="1:10" s="408" customFormat="1" ht="12.75" x14ac:dyDescent="0.2">
      <c r="B15" s="408">
        <v>98104</v>
      </c>
    </row>
    <row r="16" spans="1:10" s="408" customFormat="1" ht="12.75" x14ac:dyDescent="0.2">
      <c r="B16" s="408" t="s">
        <v>1568</v>
      </c>
    </row>
    <row r="17" spans="2:2" s="408" customFormat="1" ht="12.75" x14ac:dyDescent="0.2">
      <c r="B17" s="408" t="str">
        <f>B10&amp;"_"&amp;B11&amp;"@notaol.com"</f>
        <v>Steve_Chin@notaol.com</v>
      </c>
    </row>
    <row r="18" spans="2:2" s="408" customFormat="1" ht="12.75" x14ac:dyDescent="0.2">
      <c r="B18" s="408" t="str">
        <f>B11&amp;"_"&amp;B12&amp;"@notaol.com"</f>
        <v>Chin_14 17th St.@notaol.com</v>
      </c>
    </row>
    <row r="19" spans="2:2" s="408" customFormat="1" ht="12.75" x14ac:dyDescent="0.2"/>
    <row r="20" spans="2:2" s="408" customFormat="1" ht="12.75" x14ac:dyDescent="0.2">
      <c r="B20" s="408" t="s">
        <v>1569</v>
      </c>
    </row>
    <row r="21" spans="2:2" s="408" customFormat="1" ht="12.75" x14ac:dyDescent="0.2">
      <c r="B21" s="408" t="s">
        <v>1570</v>
      </c>
    </row>
    <row r="22" spans="2:2" s="408" customFormat="1" ht="12.75" x14ac:dyDescent="0.2">
      <c r="B22" s="408" t="s">
        <v>1571</v>
      </c>
    </row>
    <row r="23" spans="2:2" s="408" customFormat="1" ht="12.75" x14ac:dyDescent="0.2">
      <c r="B23" s="408" t="s">
        <v>870</v>
      </c>
    </row>
    <row r="24" spans="2:2" s="408" customFormat="1" ht="12.75" x14ac:dyDescent="0.2">
      <c r="B24" s="408" t="s">
        <v>838</v>
      </c>
    </row>
    <row r="25" spans="2:2" s="408" customFormat="1" ht="12.75" x14ac:dyDescent="0.2">
      <c r="B25" s="408">
        <v>98106</v>
      </c>
    </row>
    <row r="26" spans="2:2" s="408" customFormat="1" ht="12.75" x14ac:dyDescent="0.2">
      <c r="B26" s="408" t="s">
        <v>1572</v>
      </c>
    </row>
    <row r="27" spans="2:2" s="408" customFormat="1" ht="12.75" x14ac:dyDescent="0.2">
      <c r="B27" s="408" t="str">
        <f>B20&amp;"_"&amp;B21&amp;"@notaol.com"</f>
        <v>Troun_Tenn@notaol.com</v>
      </c>
    </row>
    <row r="28" spans="2:2" s="408" customFormat="1" ht="12.75" x14ac:dyDescent="0.2">
      <c r="B28" s="408" t="str">
        <f>B21&amp;"_"&amp;B22&amp;"@notaol.com"</f>
        <v>Tenn_6 19th St.@notaol.com</v>
      </c>
    </row>
    <row r="30" spans="2:2" s="408" customFormat="1" ht="12.75" x14ac:dyDescent="0.2">
      <c r="B30" s="408" t="s">
        <v>1573</v>
      </c>
    </row>
    <row r="31" spans="2:2" s="408" customFormat="1" ht="12.75" x14ac:dyDescent="0.2">
      <c r="B31" s="408" t="s">
        <v>1574</v>
      </c>
    </row>
    <row r="32" spans="2:2" s="408" customFormat="1" ht="12.75" x14ac:dyDescent="0.2">
      <c r="B32" s="408" t="s">
        <v>1575</v>
      </c>
    </row>
    <row r="33" spans="2:2" s="408" customFormat="1" ht="12.75" x14ac:dyDescent="0.2">
      <c r="B33" s="408" t="s">
        <v>870</v>
      </c>
    </row>
    <row r="34" spans="2:2" s="408" customFormat="1" ht="12.75" x14ac:dyDescent="0.2">
      <c r="B34" s="408" t="s">
        <v>838</v>
      </c>
    </row>
    <row r="35" spans="2:2" s="408" customFormat="1" ht="12.75" x14ac:dyDescent="0.2">
      <c r="B35" s="408">
        <v>98117</v>
      </c>
    </row>
    <row r="36" spans="2:2" s="408" customFormat="1" ht="12.75" x14ac:dyDescent="0.2">
      <c r="B36" s="408" t="s">
        <v>1576</v>
      </c>
    </row>
    <row r="37" spans="2:2" s="408" customFormat="1" ht="12.75" x14ac:dyDescent="0.2">
      <c r="B37" s="408" t="str">
        <f>B30&amp;"_"&amp;B31&amp;"@notaol.com"</f>
        <v>Rhond_Tradfren@notaol.com</v>
      </c>
    </row>
    <row r="38" spans="2:2" s="408" customFormat="1" ht="12.75" x14ac:dyDescent="0.2">
      <c r="B38" s="408" t="str">
        <f>B31&amp;"_"&amp;B32&amp;"@notaol.com"</f>
        <v>Tradfren_10 13th St.@notaol.com</v>
      </c>
    </row>
    <row r="40" spans="2:2" s="408" customFormat="1" ht="12.75" x14ac:dyDescent="0.2">
      <c r="B40" s="408" t="s">
        <v>1577</v>
      </c>
    </row>
    <row r="41" spans="2:2" s="408" customFormat="1" ht="12.75" x14ac:dyDescent="0.2">
      <c r="B41" s="408" t="s">
        <v>1578</v>
      </c>
    </row>
    <row r="42" spans="2:2" s="408" customFormat="1" ht="12.75" x14ac:dyDescent="0.2">
      <c r="B42" s="408" t="s">
        <v>1579</v>
      </c>
    </row>
    <row r="43" spans="2:2" s="408" customFormat="1" ht="12.75" x14ac:dyDescent="0.2">
      <c r="B43" s="408" t="s">
        <v>870</v>
      </c>
    </row>
    <row r="44" spans="2:2" s="408" customFormat="1" ht="12.75" x14ac:dyDescent="0.2">
      <c r="B44" s="408" t="s">
        <v>838</v>
      </c>
    </row>
    <row r="45" spans="2:2" s="408" customFormat="1" ht="12.75" x14ac:dyDescent="0.2">
      <c r="B45" s="408">
        <v>98111</v>
      </c>
    </row>
    <row r="46" spans="2:2" s="408" customFormat="1" ht="12.75" x14ac:dyDescent="0.2">
      <c r="B46" s="408" t="s">
        <v>1580</v>
      </c>
    </row>
    <row r="47" spans="2:2" s="408" customFormat="1" ht="12.75" x14ac:dyDescent="0.2">
      <c r="B47" s="408" t="str">
        <f>B40&amp;"_"&amp;B41&amp;"@notaol.com"</f>
        <v>Sheli_Das@notaol.com</v>
      </c>
    </row>
    <row r="48" spans="2:2" s="408" customFormat="1" ht="12.75" x14ac:dyDescent="0.2">
      <c r="B48" s="408" t="str">
        <f>B41&amp;"_"&amp;B42&amp;"@notaol.com"</f>
        <v>Das_2 15th St.@notaol.com</v>
      </c>
    </row>
    <row r="50" spans="2:2" s="408" customFormat="1" ht="12.75" x14ac:dyDescent="0.2">
      <c r="B50" s="408" t="s">
        <v>1581</v>
      </c>
    </row>
    <row r="51" spans="2:2" s="408" customFormat="1" ht="12.75" x14ac:dyDescent="0.2">
      <c r="B51" s="408" t="s">
        <v>1582</v>
      </c>
    </row>
    <row r="52" spans="2:2" s="408" customFormat="1" ht="12.75" x14ac:dyDescent="0.2">
      <c r="B52" s="408" t="s">
        <v>1583</v>
      </c>
    </row>
    <row r="53" spans="2:2" s="408" customFormat="1" ht="12.75" x14ac:dyDescent="0.2">
      <c r="B53" s="408" t="s">
        <v>870</v>
      </c>
    </row>
    <row r="54" spans="2:2" s="408" customFormat="1" ht="12.75" x14ac:dyDescent="0.2">
      <c r="B54" s="408" t="s">
        <v>838</v>
      </c>
    </row>
    <row r="55" spans="2:2" s="408" customFormat="1" ht="12.75" x14ac:dyDescent="0.2">
      <c r="B55" s="408">
        <v>98114</v>
      </c>
    </row>
    <row r="56" spans="2:2" s="408" customFormat="1" ht="12.75" x14ac:dyDescent="0.2">
      <c r="B56" s="408" t="s">
        <v>1584</v>
      </c>
    </row>
    <row r="57" spans="2:2" s="408" customFormat="1" ht="12.75" x14ac:dyDescent="0.2">
      <c r="B57" s="408" t="str">
        <f>B50&amp;"_"&amp;B51&amp;"@notaol.com"</f>
        <v>Jon_Teddy@notaol.com</v>
      </c>
    </row>
    <row r="58" spans="2:2" s="408" customFormat="1" ht="12.75" x14ac:dyDescent="0.2">
      <c r="B58" s="408" t="str">
        <f>B51&amp;"_"&amp;B52&amp;"@notaol.com"</f>
        <v>Teddy_3 17th St.@notaol.com</v>
      </c>
    </row>
    <row r="60" spans="2:2" s="408" customFormat="1" ht="12.75" x14ac:dyDescent="0.2">
      <c r="B60" s="408" t="s">
        <v>1585</v>
      </c>
    </row>
    <row r="61" spans="2:2" s="408" customFormat="1" ht="12.75" x14ac:dyDescent="0.2">
      <c r="B61" s="408" t="s">
        <v>1586</v>
      </c>
    </row>
    <row r="62" spans="2:2" s="408" customFormat="1" ht="12.75" x14ac:dyDescent="0.2">
      <c r="B62" s="408" t="s">
        <v>1587</v>
      </c>
    </row>
    <row r="63" spans="2:2" s="408" customFormat="1" ht="12.75" x14ac:dyDescent="0.2">
      <c r="B63" s="408" t="s">
        <v>870</v>
      </c>
    </row>
    <row r="64" spans="2:2" s="408" customFormat="1" ht="12.75" x14ac:dyDescent="0.2">
      <c r="B64" s="408" t="s">
        <v>838</v>
      </c>
    </row>
    <row r="65" spans="2:2" s="408" customFormat="1" ht="12.75" x14ac:dyDescent="0.2">
      <c r="B65" s="408">
        <v>98114</v>
      </c>
    </row>
    <row r="66" spans="2:2" s="408" customFormat="1" ht="12.75" x14ac:dyDescent="0.2">
      <c r="B66" s="408" t="s">
        <v>1588</v>
      </c>
    </row>
    <row r="67" spans="2:2" s="408" customFormat="1" ht="12.75" x14ac:dyDescent="0.2">
      <c r="B67" s="408" t="str">
        <f>B60&amp;"_"&amp;B61&amp;"@notaol.com"</f>
        <v>Jeri_Yessler@notaol.com</v>
      </c>
    </row>
    <row r="68" spans="2:2" s="408" customFormat="1" ht="12.75" x14ac:dyDescent="0.2">
      <c r="B68" s="408" t="str">
        <f>B61&amp;"_"&amp;B62&amp;"@notaol.com"</f>
        <v>Yessler_12 16th St.@notaol.com</v>
      </c>
    </row>
    <row r="70" spans="2:2" s="408" customFormat="1" ht="12.75" x14ac:dyDescent="0.2">
      <c r="B70" s="408" t="s">
        <v>1589</v>
      </c>
    </row>
    <row r="71" spans="2:2" s="408" customFormat="1" ht="12.75" x14ac:dyDescent="0.2">
      <c r="B71" s="408" t="s">
        <v>1590</v>
      </c>
    </row>
    <row r="72" spans="2:2" s="408" customFormat="1" ht="12.75" x14ac:dyDescent="0.2">
      <c r="B72" s="408" t="s">
        <v>1591</v>
      </c>
    </row>
    <row r="73" spans="2:2" s="408" customFormat="1" ht="12.75" x14ac:dyDescent="0.2">
      <c r="B73" s="408" t="s">
        <v>870</v>
      </c>
    </row>
    <row r="74" spans="2:2" s="408" customFormat="1" ht="12.75" x14ac:dyDescent="0.2">
      <c r="B74" s="408" t="s">
        <v>838</v>
      </c>
    </row>
    <row r="75" spans="2:2" s="408" customFormat="1" ht="12.75" x14ac:dyDescent="0.2">
      <c r="B75" s="408">
        <v>98113</v>
      </c>
    </row>
    <row r="76" spans="2:2" s="408" customFormat="1" ht="12.75" x14ac:dyDescent="0.2">
      <c r="B76" s="408" t="s">
        <v>1592</v>
      </c>
    </row>
    <row r="77" spans="2:2" s="408" customFormat="1" ht="12.75" x14ac:dyDescent="0.2">
      <c r="B77" s="408" t="str">
        <f>B70&amp;"_"&amp;B71&amp;"@notaol.com"</f>
        <v>Luke_Suix@notaol.com</v>
      </c>
    </row>
    <row r="78" spans="2:2" s="408" customFormat="1" ht="12.75" x14ac:dyDescent="0.2">
      <c r="B78" s="408" t="str">
        <f>B71&amp;"_"&amp;B72&amp;"@notaol.com"</f>
        <v>Suix_8 19th St.@notaol.com</v>
      </c>
    </row>
    <row r="80" spans="2:2" s="408" customFormat="1" ht="12.75" x14ac:dyDescent="0.2">
      <c r="B80" s="408" t="s">
        <v>1589</v>
      </c>
    </row>
    <row r="81" spans="2:2" s="408" customFormat="1" ht="12.75" x14ac:dyDescent="0.2">
      <c r="B81" s="408" t="s">
        <v>1593</v>
      </c>
    </row>
    <row r="82" spans="2:2" s="408" customFormat="1" ht="12.75" x14ac:dyDescent="0.2">
      <c r="B82" s="408" t="s">
        <v>1594</v>
      </c>
    </row>
    <row r="83" spans="2:2" s="408" customFormat="1" ht="12.75" x14ac:dyDescent="0.2">
      <c r="B83" s="408" t="s">
        <v>870</v>
      </c>
    </row>
    <row r="84" spans="2:2" s="408" customFormat="1" ht="12.75" x14ac:dyDescent="0.2">
      <c r="B84" s="408" t="s">
        <v>838</v>
      </c>
    </row>
    <row r="85" spans="2:2" s="408" customFormat="1" ht="12.75" x14ac:dyDescent="0.2">
      <c r="B85" s="408">
        <v>98108</v>
      </c>
    </row>
    <row r="86" spans="2:2" s="408" customFormat="1" ht="12.75" x14ac:dyDescent="0.2">
      <c r="B86" s="408" t="s">
        <v>1595</v>
      </c>
    </row>
    <row r="87" spans="2:2" s="408" customFormat="1" ht="12.75" x14ac:dyDescent="0.2">
      <c r="B87" s="408" t="str">
        <f>B80&amp;"_"&amp;B81&amp;"@notaol.com"</f>
        <v>Luke_Red@notaol.com</v>
      </c>
    </row>
    <row r="88" spans="2:2" s="408" customFormat="1" ht="12.75" x14ac:dyDescent="0.2">
      <c r="B88" s="408" t="str">
        <f>B81&amp;"_"&amp;B82&amp;"@notaol.com"</f>
        <v>Red_15 16th St.@notaol.com</v>
      </c>
    </row>
    <row r="90" spans="2:2" s="408" customFormat="1" ht="12.75" x14ac:dyDescent="0.2">
      <c r="B90" s="408" t="s">
        <v>1585</v>
      </c>
    </row>
    <row r="91" spans="2:2" s="408" customFormat="1" ht="12.75" x14ac:dyDescent="0.2">
      <c r="B91" s="408" t="s">
        <v>1596</v>
      </c>
    </row>
    <row r="92" spans="2:2" s="408" customFormat="1" ht="12.75" x14ac:dyDescent="0.2">
      <c r="B92" s="408" t="s">
        <v>1597</v>
      </c>
    </row>
    <row r="93" spans="2:2" s="408" customFormat="1" ht="12.75" x14ac:dyDescent="0.2">
      <c r="B93" s="408" t="s">
        <v>870</v>
      </c>
    </row>
    <row r="94" spans="2:2" s="408" customFormat="1" ht="12.75" x14ac:dyDescent="0.2">
      <c r="B94" s="408" t="s">
        <v>838</v>
      </c>
    </row>
    <row r="95" spans="2:2" s="408" customFormat="1" ht="12.75" x14ac:dyDescent="0.2">
      <c r="B95" s="408">
        <v>98112</v>
      </c>
    </row>
    <row r="96" spans="2:2" s="408" customFormat="1" ht="12.75" x14ac:dyDescent="0.2">
      <c r="B96" s="408" t="s">
        <v>1598</v>
      </c>
    </row>
    <row r="97" spans="2:2" s="408" customFormat="1" ht="12.75" x14ac:dyDescent="0.2">
      <c r="B97" s="408" t="str">
        <f>B90&amp;"_"&amp;B91&amp;"@notaol.com"</f>
        <v>Jeri_Smythe@notaol.com</v>
      </c>
    </row>
    <row r="98" spans="2:2" s="408" customFormat="1" ht="12.75" x14ac:dyDescent="0.2">
      <c r="B98" s="408" t="str">
        <f>B91&amp;"_"&amp;B92&amp;"@notaol.com"</f>
        <v>Smythe_14 19th St.@notaol.com</v>
      </c>
    </row>
    <row r="100" spans="2:2" s="408" customFormat="1" ht="12.75" x14ac:dyDescent="0.2">
      <c r="B100" s="408" t="s">
        <v>1589</v>
      </c>
    </row>
    <row r="101" spans="2:2" s="408" customFormat="1" ht="12.75" x14ac:dyDescent="0.2">
      <c r="B101" s="408" t="s">
        <v>1500</v>
      </c>
    </row>
    <row r="102" spans="2:2" s="408" customFormat="1" ht="12.75" x14ac:dyDescent="0.2">
      <c r="B102" s="408" t="s">
        <v>1599</v>
      </c>
    </row>
    <row r="103" spans="2:2" s="408" customFormat="1" ht="12.75" x14ac:dyDescent="0.2">
      <c r="B103" s="408" t="s">
        <v>870</v>
      </c>
    </row>
    <row r="104" spans="2:2" s="408" customFormat="1" ht="12.75" x14ac:dyDescent="0.2">
      <c r="B104" s="408" t="s">
        <v>838</v>
      </c>
    </row>
    <row r="105" spans="2:2" s="408" customFormat="1" ht="12.75" x14ac:dyDescent="0.2">
      <c r="B105" s="408">
        <v>98106</v>
      </c>
    </row>
    <row r="106" spans="2:2" s="408" customFormat="1" ht="12.75" x14ac:dyDescent="0.2">
      <c r="B106" s="408" t="s">
        <v>1600</v>
      </c>
    </row>
    <row r="107" spans="2:2" s="408" customFormat="1" ht="12.75" x14ac:dyDescent="0.2">
      <c r="B107" s="408" t="str">
        <f>B100&amp;"_"&amp;B101&amp;"@notaol.com"</f>
        <v>Luke_Rad@notaol.com</v>
      </c>
    </row>
    <row r="108" spans="2:2" s="408" customFormat="1" ht="12.75" x14ac:dyDescent="0.2">
      <c r="B108" s="408" t="str">
        <f>B101&amp;"_"&amp;B102&amp;"@notaol.com"</f>
        <v>Rad_3 16th St.@notaol.com</v>
      </c>
    </row>
    <row r="110" spans="2:2" s="408" customFormat="1" ht="12.75" x14ac:dyDescent="0.2">
      <c r="B110" s="408" t="s">
        <v>1581</v>
      </c>
    </row>
    <row r="111" spans="2:2" s="408" customFormat="1" ht="12.75" x14ac:dyDescent="0.2">
      <c r="B111" s="408" t="s">
        <v>1601</v>
      </c>
    </row>
    <row r="112" spans="2:2" s="408" customFormat="1" ht="12.75" x14ac:dyDescent="0.2">
      <c r="B112" s="408" t="s">
        <v>1602</v>
      </c>
    </row>
    <row r="113" spans="2:2" s="408" customFormat="1" ht="12.75" x14ac:dyDescent="0.2">
      <c r="B113" s="408" t="s">
        <v>870</v>
      </c>
    </row>
    <row r="114" spans="2:2" s="408" customFormat="1" ht="12.75" x14ac:dyDescent="0.2">
      <c r="B114" s="408" t="s">
        <v>838</v>
      </c>
    </row>
    <row r="115" spans="2:2" s="408" customFormat="1" ht="12.75" x14ac:dyDescent="0.2">
      <c r="B115" s="408">
        <v>98116</v>
      </c>
    </row>
    <row r="116" spans="2:2" s="408" customFormat="1" ht="12.75" x14ac:dyDescent="0.2">
      <c r="B116" s="408" t="s">
        <v>1603</v>
      </c>
    </row>
    <row r="117" spans="2:2" s="408" customFormat="1" ht="12.75" x14ac:dyDescent="0.2">
      <c r="B117" s="408" t="str">
        <f>B110&amp;"_"&amp;B111&amp;"@notaol.com"</f>
        <v>Jon_Dap@notaol.com</v>
      </c>
    </row>
    <row r="118" spans="2:2" s="408" customFormat="1" ht="12.75" x14ac:dyDescent="0.2">
      <c r="B118" s="408" t="str">
        <f>B111&amp;"_"&amp;B112&amp;"@notaol.com"</f>
        <v>Dap_5 19th St.@notaol.com</v>
      </c>
    </row>
    <row r="120" spans="2:2" s="408" customFormat="1" ht="12.75" x14ac:dyDescent="0.2">
      <c r="B120" s="408" t="s">
        <v>1566</v>
      </c>
    </row>
    <row r="121" spans="2:2" s="408" customFormat="1" ht="12.75" x14ac:dyDescent="0.2">
      <c r="B121" s="408" t="s">
        <v>1604</v>
      </c>
    </row>
    <row r="122" spans="2:2" s="408" customFormat="1" ht="12.75" x14ac:dyDescent="0.2">
      <c r="B122" s="408" t="s">
        <v>1605</v>
      </c>
    </row>
    <row r="123" spans="2:2" s="408" customFormat="1" ht="12.75" x14ac:dyDescent="0.2">
      <c r="B123" s="408" t="s">
        <v>870</v>
      </c>
    </row>
    <row r="124" spans="2:2" s="408" customFormat="1" ht="12.75" x14ac:dyDescent="0.2">
      <c r="B124" s="408" t="s">
        <v>838</v>
      </c>
    </row>
    <row r="125" spans="2:2" s="408" customFormat="1" ht="12.75" x14ac:dyDescent="0.2">
      <c r="B125" s="408">
        <v>98111</v>
      </c>
    </row>
    <row r="126" spans="2:2" s="408" customFormat="1" ht="12.75" x14ac:dyDescent="0.2">
      <c r="B126" s="408" t="s">
        <v>1606</v>
      </c>
    </row>
    <row r="127" spans="2:2" s="408" customFormat="1" ht="12.75" x14ac:dyDescent="0.2">
      <c r="B127" s="408" t="str">
        <f>B120&amp;"_"&amp;B121&amp;"@notaol.com"</f>
        <v>Steve_Gupis@notaol.com</v>
      </c>
    </row>
    <row r="128" spans="2:2" s="408" customFormat="1" ht="12.75" x14ac:dyDescent="0.2">
      <c r="B128" s="408" t="str">
        <f>B121&amp;"_"&amp;B122&amp;"@notaol.com"</f>
        <v>Gupis_6 17th St.@notaol.com</v>
      </c>
    </row>
    <row r="130" spans="2:2" s="408" customFormat="1" ht="12.75" x14ac:dyDescent="0.2">
      <c r="B130" s="408" t="s">
        <v>1581</v>
      </c>
    </row>
    <row r="131" spans="2:2" s="408" customFormat="1" ht="12.75" x14ac:dyDescent="0.2">
      <c r="B131" s="408" t="s">
        <v>1607</v>
      </c>
    </row>
    <row r="132" spans="2:2" s="408" customFormat="1" ht="12.75" x14ac:dyDescent="0.2">
      <c r="B132" s="408" t="s">
        <v>1608</v>
      </c>
    </row>
    <row r="133" spans="2:2" s="408" customFormat="1" ht="12.75" x14ac:dyDescent="0.2">
      <c r="B133" s="408" t="s">
        <v>870</v>
      </c>
    </row>
    <row r="134" spans="2:2" s="408" customFormat="1" ht="12.75" x14ac:dyDescent="0.2">
      <c r="B134" s="408" t="s">
        <v>838</v>
      </c>
    </row>
    <row r="135" spans="2:2" s="408" customFormat="1" ht="12.75" x14ac:dyDescent="0.2">
      <c r="B135" s="408">
        <v>98104</v>
      </c>
    </row>
    <row r="136" spans="2:2" s="408" customFormat="1" ht="12.75" x14ac:dyDescent="0.2">
      <c r="B136" s="408" t="s">
        <v>1609</v>
      </c>
    </row>
    <row r="137" spans="2:2" s="408" customFormat="1" ht="12.75" x14ac:dyDescent="0.2">
      <c r="B137" s="408" t="str">
        <f>B130&amp;"_"&amp;B131&amp;"@notaol.com"</f>
        <v>Jon_Summi@notaol.com</v>
      </c>
    </row>
    <row r="138" spans="2:2" s="408" customFormat="1" ht="12.75" x14ac:dyDescent="0.2">
      <c r="B138" s="408" t="str">
        <f>B131&amp;"_"&amp;B132&amp;"@notaol.com"</f>
        <v>Summi_4 14th St.@notaol.com</v>
      </c>
    </row>
    <row r="140" spans="2:2" s="408" customFormat="1" ht="12.75" x14ac:dyDescent="0.2">
      <c r="B140" s="408" t="s">
        <v>1577</v>
      </c>
    </row>
    <row r="141" spans="2:2" s="408" customFormat="1" ht="12.75" x14ac:dyDescent="0.2">
      <c r="B141" s="408" t="s">
        <v>1610</v>
      </c>
    </row>
    <row r="142" spans="2:2" s="408" customFormat="1" ht="12.75" x14ac:dyDescent="0.2">
      <c r="B142" s="408" t="s">
        <v>1611</v>
      </c>
    </row>
    <row r="143" spans="2:2" s="408" customFormat="1" ht="12.75" x14ac:dyDescent="0.2">
      <c r="B143" s="408" t="s">
        <v>870</v>
      </c>
    </row>
    <row r="144" spans="2:2" s="408" customFormat="1" ht="12.75" x14ac:dyDescent="0.2">
      <c r="B144" s="408" t="s">
        <v>838</v>
      </c>
    </row>
    <row r="145" spans="2:2" s="408" customFormat="1" ht="12.75" x14ac:dyDescent="0.2">
      <c r="B145" s="408">
        <v>98110</v>
      </c>
    </row>
    <row r="146" spans="2:2" s="408" customFormat="1" ht="12.75" x14ac:dyDescent="0.2">
      <c r="B146" s="408" t="s">
        <v>1612</v>
      </c>
    </row>
    <row r="147" spans="2:2" s="408" customFormat="1" ht="12.75" x14ac:dyDescent="0.2">
      <c r="B147" s="408" t="str">
        <f>B140&amp;"_"&amp;B141&amp;"@notaol.com"</f>
        <v>Sheli_Fun@notaol.com</v>
      </c>
    </row>
    <row r="148" spans="2:2" s="408" customFormat="1" ht="12.75" x14ac:dyDescent="0.2">
      <c r="B148" s="408" t="str">
        <f>B141&amp;"_"&amp;B142&amp;"@notaol.com"</f>
        <v>Fun_7 15th St.@notaol.com</v>
      </c>
    </row>
  </sheetData>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170">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8" bestFit="1" customWidth="1"/>
    <col min="2" max="2" width="9.140625" style="408"/>
    <col min="3" max="10" width="16.5703125" style="408" customWidth="1"/>
    <col min="11" max="256" width="9.140625" style="408"/>
    <col min="257" max="257" width="2.85546875" style="408" bestFit="1" customWidth="1"/>
    <col min="258" max="258" width="9.140625" style="408"/>
    <col min="259" max="266" width="16.5703125" style="408" customWidth="1"/>
    <col min="267" max="512" width="9.140625" style="408"/>
    <col min="513" max="513" width="2.85546875" style="408" bestFit="1" customWidth="1"/>
    <col min="514" max="514" width="9.140625" style="408"/>
    <col min="515" max="522" width="16.5703125" style="408" customWidth="1"/>
    <col min="523" max="768" width="9.140625" style="408"/>
    <col min="769" max="769" width="2.85546875" style="408" bestFit="1" customWidth="1"/>
    <col min="770" max="770" width="9.140625" style="408"/>
    <col min="771" max="778" width="16.5703125" style="408" customWidth="1"/>
    <col min="779" max="1024" width="9.140625" style="408"/>
    <col min="1025" max="1025" width="2.85546875" style="408" bestFit="1" customWidth="1"/>
    <col min="1026" max="1026" width="9.140625" style="408"/>
    <col min="1027" max="1034" width="16.5703125" style="408" customWidth="1"/>
    <col min="1035" max="1280" width="9.140625" style="408"/>
    <col min="1281" max="1281" width="2.85546875" style="408" bestFit="1" customWidth="1"/>
    <col min="1282" max="1282" width="9.140625" style="408"/>
    <col min="1283" max="1290" width="16.5703125" style="408" customWidth="1"/>
    <col min="1291" max="1536" width="9.140625" style="408"/>
    <col min="1537" max="1537" width="2.85546875" style="408" bestFit="1" customWidth="1"/>
    <col min="1538" max="1538" width="9.140625" style="408"/>
    <col min="1539" max="1546" width="16.5703125" style="408" customWidth="1"/>
    <col min="1547" max="1792" width="9.140625" style="408"/>
    <col min="1793" max="1793" width="2.85546875" style="408" bestFit="1" customWidth="1"/>
    <col min="1794" max="1794" width="9.140625" style="408"/>
    <col min="1795" max="1802" width="16.5703125" style="408" customWidth="1"/>
    <col min="1803" max="2048" width="9.140625" style="408"/>
    <col min="2049" max="2049" width="2.85546875" style="408" bestFit="1" customWidth="1"/>
    <col min="2050" max="2050" width="9.140625" style="408"/>
    <col min="2051" max="2058" width="16.5703125" style="408" customWidth="1"/>
    <col min="2059" max="2304" width="9.140625" style="408"/>
    <col min="2305" max="2305" width="2.85546875" style="408" bestFit="1" customWidth="1"/>
    <col min="2306" max="2306" width="9.140625" style="408"/>
    <col min="2307" max="2314" width="16.5703125" style="408" customWidth="1"/>
    <col min="2315" max="2560" width="9.140625" style="408"/>
    <col min="2561" max="2561" width="2.85546875" style="408" bestFit="1" customWidth="1"/>
    <col min="2562" max="2562" width="9.140625" style="408"/>
    <col min="2563" max="2570" width="16.5703125" style="408" customWidth="1"/>
    <col min="2571" max="2816" width="9.140625" style="408"/>
    <col min="2817" max="2817" width="2.85546875" style="408" bestFit="1" customWidth="1"/>
    <col min="2818" max="2818" width="9.140625" style="408"/>
    <col min="2819" max="2826" width="16.5703125" style="408" customWidth="1"/>
    <col min="2827" max="3072" width="9.140625" style="408"/>
    <col min="3073" max="3073" width="2.85546875" style="408" bestFit="1" customWidth="1"/>
    <col min="3074" max="3074" width="9.140625" style="408"/>
    <col min="3075" max="3082" width="16.5703125" style="408" customWidth="1"/>
    <col min="3083" max="3328" width="9.140625" style="408"/>
    <col min="3329" max="3329" width="2.85546875" style="408" bestFit="1" customWidth="1"/>
    <col min="3330" max="3330" width="9.140625" style="408"/>
    <col min="3331" max="3338" width="16.5703125" style="408" customWidth="1"/>
    <col min="3339" max="3584" width="9.140625" style="408"/>
    <col min="3585" max="3585" width="2.85546875" style="408" bestFit="1" customWidth="1"/>
    <col min="3586" max="3586" width="9.140625" style="408"/>
    <col min="3587" max="3594" width="16.5703125" style="408" customWidth="1"/>
    <col min="3595" max="3840" width="9.140625" style="408"/>
    <col min="3841" max="3841" width="2.85546875" style="408" bestFit="1" customWidth="1"/>
    <col min="3842" max="3842" width="9.140625" style="408"/>
    <col min="3843" max="3850" width="16.5703125" style="408" customWidth="1"/>
    <col min="3851" max="4096" width="9.140625" style="408"/>
    <col min="4097" max="4097" width="2.85546875" style="408" bestFit="1" customWidth="1"/>
    <col min="4098" max="4098" width="9.140625" style="408"/>
    <col min="4099" max="4106" width="16.5703125" style="408" customWidth="1"/>
    <col min="4107" max="4352" width="9.140625" style="408"/>
    <col min="4353" max="4353" width="2.85546875" style="408" bestFit="1" customWidth="1"/>
    <col min="4354" max="4354" width="9.140625" style="408"/>
    <col min="4355" max="4362" width="16.5703125" style="408" customWidth="1"/>
    <col min="4363" max="4608" width="9.140625" style="408"/>
    <col min="4609" max="4609" width="2.85546875" style="408" bestFit="1" customWidth="1"/>
    <col min="4610" max="4610" width="9.140625" style="408"/>
    <col min="4611" max="4618" width="16.5703125" style="408" customWidth="1"/>
    <col min="4619" max="4864" width="9.140625" style="408"/>
    <col min="4865" max="4865" width="2.85546875" style="408" bestFit="1" customWidth="1"/>
    <col min="4866" max="4866" width="9.140625" style="408"/>
    <col min="4867" max="4874" width="16.5703125" style="408" customWidth="1"/>
    <col min="4875" max="5120" width="9.140625" style="408"/>
    <col min="5121" max="5121" width="2.85546875" style="408" bestFit="1" customWidth="1"/>
    <col min="5122" max="5122" width="9.140625" style="408"/>
    <col min="5123" max="5130" width="16.5703125" style="408" customWidth="1"/>
    <col min="5131" max="5376" width="9.140625" style="408"/>
    <col min="5377" max="5377" width="2.85546875" style="408" bestFit="1" customWidth="1"/>
    <col min="5378" max="5378" width="9.140625" style="408"/>
    <col min="5379" max="5386" width="16.5703125" style="408" customWidth="1"/>
    <col min="5387" max="5632" width="9.140625" style="408"/>
    <col min="5633" max="5633" width="2.85546875" style="408" bestFit="1" customWidth="1"/>
    <col min="5634" max="5634" width="9.140625" style="408"/>
    <col min="5635" max="5642" width="16.5703125" style="408" customWidth="1"/>
    <col min="5643" max="5888" width="9.140625" style="408"/>
    <col min="5889" max="5889" width="2.85546875" style="408" bestFit="1" customWidth="1"/>
    <col min="5890" max="5890" width="9.140625" style="408"/>
    <col min="5891" max="5898" width="16.5703125" style="408" customWidth="1"/>
    <col min="5899" max="6144" width="9.140625" style="408"/>
    <col min="6145" max="6145" width="2.85546875" style="408" bestFit="1" customWidth="1"/>
    <col min="6146" max="6146" width="9.140625" style="408"/>
    <col min="6147" max="6154" width="16.5703125" style="408" customWidth="1"/>
    <col min="6155" max="6400" width="9.140625" style="408"/>
    <col min="6401" max="6401" width="2.85546875" style="408" bestFit="1" customWidth="1"/>
    <col min="6402" max="6402" width="9.140625" style="408"/>
    <col min="6403" max="6410" width="16.5703125" style="408" customWidth="1"/>
    <col min="6411" max="6656" width="9.140625" style="408"/>
    <col min="6657" max="6657" width="2.85546875" style="408" bestFit="1" customWidth="1"/>
    <col min="6658" max="6658" width="9.140625" style="408"/>
    <col min="6659" max="6666" width="16.5703125" style="408" customWidth="1"/>
    <col min="6667" max="6912" width="9.140625" style="408"/>
    <col min="6913" max="6913" width="2.85546875" style="408" bestFit="1" customWidth="1"/>
    <col min="6914" max="6914" width="9.140625" style="408"/>
    <col min="6915" max="6922" width="16.5703125" style="408" customWidth="1"/>
    <col min="6923" max="7168" width="9.140625" style="408"/>
    <col min="7169" max="7169" width="2.85546875" style="408" bestFit="1" customWidth="1"/>
    <col min="7170" max="7170" width="9.140625" style="408"/>
    <col min="7171" max="7178" width="16.5703125" style="408" customWidth="1"/>
    <col min="7179" max="7424" width="9.140625" style="408"/>
    <col min="7425" max="7425" width="2.85546875" style="408" bestFit="1" customWidth="1"/>
    <col min="7426" max="7426" width="9.140625" style="408"/>
    <col min="7427" max="7434" width="16.5703125" style="408" customWidth="1"/>
    <col min="7435" max="7680" width="9.140625" style="408"/>
    <col min="7681" max="7681" width="2.85546875" style="408" bestFit="1" customWidth="1"/>
    <col min="7682" max="7682" width="9.140625" style="408"/>
    <col min="7683" max="7690" width="16.5703125" style="408" customWidth="1"/>
    <col min="7691" max="7936" width="9.140625" style="408"/>
    <col min="7937" max="7937" width="2.85546875" style="408" bestFit="1" customWidth="1"/>
    <col min="7938" max="7938" width="9.140625" style="408"/>
    <col min="7939" max="7946" width="16.5703125" style="408" customWidth="1"/>
    <col min="7947" max="8192" width="9.140625" style="408"/>
    <col min="8193" max="8193" width="2.85546875" style="408" bestFit="1" customWidth="1"/>
    <col min="8194" max="8194" width="9.140625" style="408"/>
    <col min="8195" max="8202" width="16.5703125" style="408" customWidth="1"/>
    <col min="8203" max="8448" width="9.140625" style="408"/>
    <col min="8449" max="8449" width="2.85546875" style="408" bestFit="1" customWidth="1"/>
    <col min="8450" max="8450" width="9.140625" style="408"/>
    <col min="8451" max="8458" width="16.5703125" style="408" customWidth="1"/>
    <col min="8459" max="8704" width="9.140625" style="408"/>
    <col min="8705" max="8705" width="2.85546875" style="408" bestFit="1" customWidth="1"/>
    <col min="8706" max="8706" width="9.140625" style="408"/>
    <col min="8707" max="8714" width="16.5703125" style="408" customWidth="1"/>
    <col min="8715" max="8960" width="9.140625" style="408"/>
    <col min="8961" max="8961" width="2.85546875" style="408" bestFit="1" customWidth="1"/>
    <col min="8962" max="8962" width="9.140625" style="408"/>
    <col min="8963" max="8970" width="16.5703125" style="408" customWidth="1"/>
    <col min="8971" max="9216" width="9.140625" style="408"/>
    <col min="9217" max="9217" width="2.85546875" style="408" bestFit="1" customWidth="1"/>
    <col min="9218" max="9218" width="9.140625" style="408"/>
    <col min="9219" max="9226" width="16.5703125" style="408" customWidth="1"/>
    <col min="9227" max="9472" width="9.140625" style="408"/>
    <col min="9473" max="9473" width="2.85546875" style="408" bestFit="1" customWidth="1"/>
    <col min="9474" max="9474" width="9.140625" style="408"/>
    <col min="9475" max="9482" width="16.5703125" style="408" customWidth="1"/>
    <col min="9483" max="9728" width="9.140625" style="408"/>
    <col min="9729" max="9729" width="2.85546875" style="408" bestFit="1" customWidth="1"/>
    <col min="9730" max="9730" width="9.140625" style="408"/>
    <col min="9731" max="9738" width="16.5703125" style="408" customWidth="1"/>
    <col min="9739" max="9984" width="9.140625" style="408"/>
    <col min="9985" max="9985" width="2.85546875" style="408" bestFit="1" customWidth="1"/>
    <col min="9986" max="9986" width="9.140625" style="408"/>
    <col min="9987" max="9994" width="16.5703125" style="408" customWidth="1"/>
    <col min="9995" max="10240" width="9.140625" style="408"/>
    <col min="10241" max="10241" width="2.85546875" style="408" bestFit="1" customWidth="1"/>
    <col min="10242" max="10242" width="9.140625" style="408"/>
    <col min="10243" max="10250" width="16.5703125" style="408" customWidth="1"/>
    <col min="10251" max="10496" width="9.140625" style="408"/>
    <col min="10497" max="10497" width="2.85546875" style="408" bestFit="1" customWidth="1"/>
    <col min="10498" max="10498" width="9.140625" style="408"/>
    <col min="10499" max="10506" width="16.5703125" style="408" customWidth="1"/>
    <col min="10507" max="10752" width="9.140625" style="408"/>
    <col min="10753" max="10753" width="2.85546875" style="408" bestFit="1" customWidth="1"/>
    <col min="10754" max="10754" width="9.140625" style="408"/>
    <col min="10755" max="10762" width="16.5703125" style="408" customWidth="1"/>
    <col min="10763" max="11008" width="9.140625" style="408"/>
    <col min="11009" max="11009" width="2.85546875" style="408" bestFit="1" customWidth="1"/>
    <col min="11010" max="11010" width="9.140625" style="408"/>
    <col min="11011" max="11018" width="16.5703125" style="408" customWidth="1"/>
    <col min="11019" max="11264" width="9.140625" style="408"/>
    <col min="11265" max="11265" width="2.85546875" style="408" bestFit="1" customWidth="1"/>
    <col min="11266" max="11266" width="9.140625" style="408"/>
    <col min="11267" max="11274" width="16.5703125" style="408" customWidth="1"/>
    <col min="11275" max="11520" width="9.140625" style="408"/>
    <col min="11521" max="11521" width="2.85546875" style="408" bestFit="1" customWidth="1"/>
    <col min="11522" max="11522" width="9.140625" style="408"/>
    <col min="11523" max="11530" width="16.5703125" style="408" customWidth="1"/>
    <col min="11531" max="11776" width="9.140625" style="408"/>
    <col min="11777" max="11777" width="2.85546875" style="408" bestFit="1" customWidth="1"/>
    <col min="11778" max="11778" width="9.140625" style="408"/>
    <col min="11779" max="11786" width="16.5703125" style="408" customWidth="1"/>
    <col min="11787" max="12032" width="9.140625" style="408"/>
    <col min="12033" max="12033" width="2.85546875" style="408" bestFit="1" customWidth="1"/>
    <col min="12034" max="12034" width="9.140625" style="408"/>
    <col min="12035" max="12042" width="16.5703125" style="408" customWidth="1"/>
    <col min="12043" max="12288" width="9.140625" style="408"/>
    <col min="12289" max="12289" width="2.85546875" style="408" bestFit="1" customWidth="1"/>
    <col min="12290" max="12290" width="9.140625" style="408"/>
    <col min="12291" max="12298" width="16.5703125" style="408" customWidth="1"/>
    <col min="12299" max="12544" width="9.140625" style="408"/>
    <col min="12545" max="12545" width="2.85546875" style="408" bestFit="1" customWidth="1"/>
    <col min="12546" max="12546" width="9.140625" style="408"/>
    <col min="12547" max="12554" width="16.5703125" style="408" customWidth="1"/>
    <col min="12555" max="12800" width="9.140625" style="408"/>
    <col min="12801" max="12801" width="2.85546875" style="408" bestFit="1" customWidth="1"/>
    <col min="12802" max="12802" width="9.140625" style="408"/>
    <col min="12803" max="12810" width="16.5703125" style="408" customWidth="1"/>
    <col min="12811" max="13056" width="9.140625" style="408"/>
    <col min="13057" max="13057" width="2.85546875" style="408" bestFit="1" customWidth="1"/>
    <col min="13058" max="13058" width="9.140625" style="408"/>
    <col min="13059" max="13066" width="16.5703125" style="408" customWidth="1"/>
    <col min="13067" max="13312" width="9.140625" style="408"/>
    <col min="13313" max="13313" width="2.85546875" style="408" bestFit="1" customWidth="1"/>
    <col min="13314" max="13314" width="9.140625" style="408"/>
    <col min="13315" max="13322" width="16.5703125" style="408" customWidth="1"/>
    <col min="13323" max="13568" width="9.140625" style="408"/>
    <col min="13569" max="13569" width="2.85546875" style="408" bestFit="1" customWidth="1"/>
    <col min="13570" max="13570" width="9.140625" style="408"/>
    <col min="13571" max="13578" width="16.5703125" style="408" customWidth="1"/>
    <col min="13579" max="13824" width="9.140625" style="408"/>
    <col min="13825" max="13825" width="2.85546875" style="408" bestFit="1" customWidth="1"/>
    <col min="13826" max="13826" width="9.140625" style="408"/>
    <col min="13827" max="13834" width="16.5703125" style="408" customWidth="1"/>
    <col min="13835" max="14080" width="9.140625" style="408"/>
    <col min="14081" max="14081" width="2.85546875" style="408" bestFit="1" customWidth="1"/>
    <col min="14082" max="14082" width="9.140625" style="408"/>
    <col min="14083" max="14090" width="16.5703125" style="408" customWidth="1"/>
    <col min="14091" max="14336" width="9.140625" style="408"/>
    <col min="14337" max="14337" width="2.85546875" style="408" bestFit="1" customWidth="1"/>
    <col min="14338" max="14338" width="9.140625" style="408"/>
    <col min="14339" max="14346" width="16.5703125" style="408" customWidth="1"/>
    <col min="14347" max="14592" width="9.140625" style="408"/>
    <col min="14593" max="14593" width="2.85546875" style="408" bestFit="1" customWidth="1"/>
    <col min="14594" max="14594" width="9.140625" style="408"/>
    <col min="14595" max="14602" width="16.5703125" style="408" customWidth="1"/>
    <col min="14603" max="14848" width="9.140625" style="408"/>
    <col min="14849" max="14849" width="2.85546875" style="408" bestFit="1" customWidth="1"/>
    <col min="14850" max="14850" width="9.140625" style="408"/>
    <col min="14851" max="14858" width="16.5703125" style="408" customWidth="1"/>
    <col min="14859" max="15104" width="9.140625" style="408"/>
    <col min="15105" max="15105" width="2.85546875" style="408" bestFit="1" customWidth="1"/>
    <col min="15106" max="15106" width="9.140625" style="408"/>
    <col min="15107" max="15114" width="16.5703125" style="408" customWidth="1"/>
    <col min="15115" max="15360" width="9.140625" style="408"/>
    <col min="15361" max="15361" width="2.85546875" style="408" bestFit="1" customWidth="1"/>
    <col min="15362" max="15362" width="9.140625" style="408"/>
    <col min="15363" max="15370" width="16.5703125" style="408" customWidth="1"/>
    <col min="15371" max="15616" width="9.140625" style="408"/>
    <col min="15617" max="15617" width="2.85546875" style="408" bestFit="1" customWidth="1"/>
    <col min="15618" max="15618" width="9.140625" style="408"/>
    <col min="15619" max="15626" width="16.5703125" style="408" customWidth="1"/>
    <col min="15627" max="15872" width="9.140625" style="408"/>
    <col min="15873" max="15873" width="2.85546875" style="408" bestFit="1" customWidth="1"/>
    <col min="15874" max="15874" width="9.140625" style="408"/>
    <col min="15875" max="15882" width="16.5703125" style="408" customWidth="1"/>
    <col min="15883" max="16128" width="9.140625" style="408"/>
    <col min="16129" max="16129" width="2.85546875" style="408" bestFit="1" customWidth="1"/>
    <col min="16130" max="16130" width="9.140625" style="408"/>
    <col min="16131" max="16138" width="16.5703125" style="408" customWidth="1"/>
    <col min="16139" max="16384" width="9.140625" style="408"/>
  </cols>
  <sheetData>
    <row r="1" spans="1:10" ht="25.5" x14ac:dyDescent="0.2">
      <c r="A1" s="410" t="str">
        <f>ROWS(A$1:A1)&amp;")"</f>
        <v>1)</v>
      </c>
      <c r="B1" s="411" t="s">
        <v>1563</v>
      </c>
      <c r="C1" s="411"/>
      <c r="D1" s="411"/>
      <c r="E1" s="411"/>
    </row>
    <row r="2" spans="1:10" ht="25.5" x14ac:dyDescent="0.2">
      <c r="A2" s="410" t="str">
        <f>ROWS(A$1:A2)&amp;")"</f>
        <v>2)</v>
      </c>
      <c r="B2" s="411" t="s">
        <v>1613</v>
      </c>
      <c r="C2" s="411"/>
      <c r="D2" s="411"/>
      <c r="E2" s="411"/>
    </row>
    <row r="3" spans="1:10" ht="38.25" x14ac:dyDescent="0.2">
      <c r="A3" s="410" t="str">
        <f>ROWS(A$1:A3)&amp;")"</f>
        <v>3)</v>
      </c>
      <c r="B3" s="411" t="s">
        <v>1559</v>
      </c>
      <c r="C3" s="411"/>
      <c r="D3" s="411"/>
      <c r="E3" s="411"/>
    </row>
    <row r="4" spans="1:10" ht="51" x14ac:dyDescent="0.2">
      <c r="A4" s="410" t="str">
        <f>ROWS(A$1:A4)&amp;")"</f>
        <v>4)</v>
      </c>
      <c r="B4" s="411" t="s">
        <v>1564</v>
      </c>
      <c r="C4" s="411"/>
      <c r="D4" s="411"/>
      <c r="E4" s="411"/>
    </row>
    <row r="5" spans="1:10" x14ac:dyDescent="0.2">
      <c r="A5" s="410" t="str">
        <f>ROWS(A$1:A5)&amp;")"</f>
        <v>5)</v>
      </c>
      <c r="B5" s="414" t="s">
        <v>1561</v>
      </c>
      <c r="C5" s="411"/>
      <c r="D5" s="411"/>
      <c r="E5" s="411"/>
    </row>
    <row r="6" spans="1:10" ht="63.75" x14ac:dyDescent="0.2">
      <c r="A6" s="410" t="str">
        <f>ROWS(A$1:A6)&amp;")"</f>
        <v>6)</v>
      </c>
      <c r="B6" s="414" t="s">
        <v>1562</v>
      </c>
      <c r="C6" s="411"/>
      <c r="D6" s="411"/>
      <c r="E6" s="411"/>
    </row>
    <row r="8" spans="1:10" x14ac:dyDescent="0.2">
      <c r="B8" s="415" t="s">
        <v>129</v>
      </c>
      <c r="C8" s="415" t="s">
        <v>130</v>
      </c>
      <c r="D8" s="415" t="s">
        <v>834</v>
      </c>
      <c r="E8" s="415" t="s">
        <v>835</v>
      </c>
      <c r="F8" s="415" t="s">
        <v>836</v>
      </c>
      <c r="G8" s="415" t="s">
        <v>837</v>
      </c>
      <c r="H8" s="415" t="s">
        <v>1565</v>
      </c>
      <c r="I8" s="415" t="s">
        <v>372</v>
      </c>
      <c r="J8" s="415" t="s">
        <v>373</v>
      </c>
    </row>
    <row r="10" spans="1:10" x14ac:dyDescent="0.2">
      <c r="B10" s="408" t="s">
        <v>1566</v>
      </c>
    </row>
    <row r="11" spans="1:10" x14ac:dyDescent="0.2">
      <c r="B11" s="408" t="s">
        <v>7</v>
      </c>
    </row>
    <row r="12" spans="1:10" x14ac:dyDescent="0.2">
      <c r="B12" s="408" t="s">
        <v>1567</v>
      </c>
    </row>
    <row r="13" spans="1:10" x14ac:dyDescent="0.2">
      <c r="B13" s="408" t="s">
        <v>870</v>
      </c>
    </row>
    <row r="14" spans="1:10" x14ac:dyDescent="0.2">
      <c r="B14" s="408" t="s">
        <v>838</v>
      </c>
    </row>
    <row r="15" spans="1:10" x14ac:dyDescent="0.2">
      <c r="B15" s="408">
        <v>98104</v>
      </c>
    </row>
    <row r="16" spans="1:10" x14ac:dyDescent="0.2">
      <c r="B16" s="408" t="s">
        <v>1568</v>
      </c>
    </row>
    <row r="17" spans="2:2" x14ac:dyDescent="0.2">
      <c r="B17" s="408" t="str">
        <f>B10&amp;"_"&amp;B11&amp;"@notaol.com"</f>
        <v>Steve_Chin@notaol.com</v>
      </c>
    </row>
    <row r="18" spans="2:2" x14ac:dyDescent="0.2">
      <c r="B18" s="408" t="str">
        <f>B11&amp;"_"&amp;B12&amp;"@notaol.com"</f>
        <v>Chin_14 17th St.@notaol.com</v>
      </c>
    </row>
    <row r="20" spans="2:2" x14ac:dyDescent="0.2">
      <c r="B20" s="408" t="s">
        <v>1569</v>
      </c>
    </row>
    <row r="21" spans="2:2" x14ac:dyDescent="0.2">
      <c r="B21" s="408" t="s">
        <v>1570</v>
      </c>
    </row>
    <row r="22" spans="2:2" x14ac:dyDescent="0.2">
      <c r="B22" s="408" t="s">
        <v>1571</v>
      </c>
    </row>
    <row r="23" spans="2:2" x14ac:dyDescent="0.2">
      <c r="B23" s="408" t="s">
        <v>870</v>
      </c>
    </row>
    <row r="24" spans="2:2" x14ac:dyDescent="0.2">
      <c r="B24" s="408" t="s">
        <v>838</v>
      </c>
    </row>
    <row r="25" spans="2:2" x14ac:dyDescent="0.2">
      <c r="B25" s="408">
        <v>98106</v>
      </c>
    </row>
    <row r="26" spans="2:2" x14ac:dyDescent="0.2">
      <c r="B26" s="408" t="s">
        <v>1572</v>
      </c>
    </row>
    <row r="27" spans="2:2" x14ac:dyDescent="0.2">
      <c r="B27" s="408" t="str">
        <f>B20&amp;"_"&amp;B21&amp;"@notaol.com"</f>
        <v>Troun_Tenn@notaol.com</v>
      </c>
    </row>
    <row r="28" spans="2:2" x14ac:dyDescent="0.2">
      <c r="B28" s="408" t="str">
        <f>B21&amp;"_"&amp;B22&amp;"@notaol.com"</f>
        <v>Tenn_6 19th St.@notaol.com</v>
      </c>
    </row>
    <row r="30" spans="2:2" x14ac:dyDescent="0.2">
      <c r="B30" s="408" t="s">
        <v>1573</v>
      </c>
    </row>
    <row r="31" spans="2:2" x14ac:dyDescent="0.2">
      <c r="B31" s="408" t="s">
        <v>1574</v>
      </c>
    </row>
    <row r="32" spans="2:2" x14ac:dyDescent="0.2">
      <c r="B32" s="408" t="s">
        <v>1575</v>
      </c>
    </row>
    <row r="33" spans="2:2" x14ac:dyDescent="0.2">
      <c r="B33" s="408" t="s">
        <v>870</v>
      </c>
    </row>
    <row r="34" spans="2:2" x14ac:dyDescent="0.2">
      <c r="B34" s="408" t="s">
        <v>838</v>
      </c>
    </row>
    <row r="35" spans="2:2" x14ac:dyDescent="0.2">
      <c r="B35" s="408">
        <v>98117</v>
      </c>
    </row>
    <row r="36" spans="2:2" x14ac:dyDescent="0.2">
      <c r="B36" s="408" t="s">
        <v>1576</v>
      </c>
    </row>
    <row r="37" spans="2:2" x14ac:dyDescent="0.2">
      <c r="B37" s="408" t="str">
        <f>B30&amp;"_"&amp;B31&amp;"@notaol.com"</f>
        <v>Rhond_Tradfren@notaol.com</v>
      </c>
    </row>
    <row r="38" spans="2:2" x14ac:dyDescent="0.2">
      <c r="B38" s="408" t="str">
        <f>B31&amp;"_"&amp;B32&amp;"@notaol.com"</f>
        <v>Tradfren_10 13th St.@notaol.com</v>
      </c>
    </row>
    <row r="40" spans="2:2" x14ac:dyDescent="0.2">
      <c r="B40" s="408" t="s">
        <v>1577</v>
      </c>
    </row>
    <row r="41" spans="2:2" x14ac:dyDescent="0.2">
      <c r="B41" s="408" t="s">
        <v>1578</v>
      </c>
    </row>
    <row r="42" spans="2:2" x14ac:dyDescent="0.2">
      <c r="B42" s="408" t="s">
        <v>1579</v>
      </c>
    </row>
    <row r="43" spans="2:2" x14ac:dyDescent="0.2">
      <c r="B43" s="408" t="s">
        <v>870</v>
      </c>
    </row>
    <row r="44" spans="2:2" x14ac:dyDescent="0.2">
      <c r="B44" s="408" t="s">
        <v>838</v>
      </c>
    </row>
    <row r="45" spans="2:2" x14ac:dyDescent="0.2">
      <c r="B45" s="408">
        <v>98111</v>
      </c>
    </row>
    <row r="46" spans="2:2" x14ac:dyDescent="0.2">
      <c r="B46" s="408" t="s">
        <v>1580</v>
      </c>
    </row>
    <row r="47" spans="2:2" x14ac:dyDescent="0.2">
      <c r="B47" s="408" t="str">
        <f>B40&amp;"_"&amp;B41&amp;"@notaol.com"</f>
        <v>Sheli_Das@notaol.com</v>
      </c>
    </row>
    <row r="48" spans="2:2" x14ac:dyDescent="0.2">
      <c r="B48" s="408" t="str">
        <f>B41&amp;"_"&amp;B42&amp;"@notaol.com"</f>
        <v>Das_2 15th St.@notaol.com</v>
      </c>
    </row>
    <row r="50" spans="2:2" x14ac:dyDescent="0.2">
      <c r="B50" s="408" t="s">
        <v>1581</v>
      </c>
    </row>
    <row r="51" spans="2:2" x14ac:dyDescent="0.2">
      <c r="B51" s="408" t="s">
        <v>1582</v>
      </c>
    </row>
    <row r="52" spans="2:2" x14ac:dyDescent="0.2">
      <c r="B52" s="408" t="s">
        <v>1583</v>
      </c>
    </row>
    <row r="53" spans="2:2" x14ac:dyDescent="0.2">
      <c r="B53" s="408" t="s">
        <v>870</v>
      </c>
    </row>
    <row r="54" spans="2:2" x14ac:dyDescent="0.2">
      <c r="B54" s="408" t="s">
        <v>838</v>
      </c>
    </row>
    <row r="55" spans="2:2" x14ac:dyDescent="0.2">
      <c r="B55" s="408">
        <v>98114</v>
      </c>
    </row>
    <row r="56" spans="2:2" x14ac:dyDescent="0.2">
      <c r="B56" s="408" t="s">
        <v>1584</v>
      </c>
    </row>
    <row r="57" spans="2:2" x14ac:dyDescent="0.2">
      <c r="B57" s="408" t="str">
        <f>B50&amp;"_"&amp;B51&amp;"@notaol.com"</f>
        <v>Jon_Teddy@notaol.com</v>
      </c>
    </row>
    <row r="58" spans="2:2" x14ac:dyDescent="0.2">
      <c r="B58" s="408" t="str">
        <f>B51&amp;"_"&amp;B52&amp;"@notaol.com"</f>
        <v>Teddy_3 17th St.@notaol.com</v>
      </c>
    </row>
    <row r="60" spans="2:2" x14ac:dyDescent="0.2">
      <c r="B60" s="408" t="s">
        <v>1585</v>
      </c>
    </row>
    <row r="61" spans="2:2" x14ac:dyDescent="0.2">
      <c r="B61" s="408" t="s">
        <v>1586</v>
      </c>
    </row>
    <row r="62" spans="2:2" x14ac:dyDescent="0.2">
      <c r="B62" s="408" t="s">
        <v>1587</v>
      </c>
    </row>
    <row r="63" spans="2:2" x14ac:dyDescent="0.2">
      <c r="B63" s="408" t="s">
        <v>870</v>
      </c>
    </row>
    <row r="64" spans="2:2" x14ac:dyDescent="0.2">
      <c r="B64" s="408" t="s">
        <v>838</v>
      </c>
    </row>
    <row r="65" spans="2:2" x14ac:dyDescent="0.2">
      <c r="B65" s="408">
        <v>98114</v>
      </c>
    </row>
    <row r="66" spans="2:2" x14ac:dyDescent="0.2">
      <c r="B66" s="408" t="s">
        <v>1588</v>
      </c>
    </row>
    <row r="67" spans="2:2" x14ac:dyDescent="0.2">
      <c r="B67" s="408" t="str">
        <f>B60&amp;"_"&amp;B61&amp;"@notaol.com"</f>
        <v>Jeri_Yessler@notaol.com</v>
      </c>
    </row>
    <row r="68" spans="2:2" x14ac:dyDescent="0.2">
      <c r="B68" s="408" t="str">
        <f>B61&amp;"_"&amp;B62&amp;"@notaol.com"</f>
        <v>Yessler_12 16th St.@notaol.com</v>
      </c>
    </row>
    <row r="70" spans="2:2" x14ac:dyDescent="0.2">
      <c r="B70" s="408" t="s">
        <v>1589</v>
      </c>
    </row>
    <row r="71" spans="2:2" x14ac:dyDescent="0.2">
      <c r="B71" s="408" t="s">
        <v>1590</v>
      </c>
    </row>
    <row r="72" spans="2:2" x14ac:dyDescent="0.2">
      <c r="B72" s="408" t="s">
        <v>1591</v>
      </c>
    </row>
    <row r="73" spans="2:2" x14ac:dyDescent="0.2">
      <c r="B73" s="408" t="s">
        <v>870</v>
      </c>
    </row>
    <row r="74" spans="2:2" x14ac:dyDescent="0.2">
      <c r="B74" s="408" t="s">
        <v>838</v>
      </c>
    </row>
    <row r="75" spans="2:2" x14ac:dyDescent="0.2">
      <c r="B75" s="408">
        <v>98113</v>
      </c>
    </row>
    <row r="76" spans="2:2" x14ac:dyDescent="0.2">
      <c r="B76" s="408" t="s">
        <v>1592</v>
      </c>
    </row>
    <row r="77" spans="2:2" x14ac:dyDescent="0.2">
      <c r="B77" s="408" t="str">
        <f>B70&amp;"_"&amp;B71&amp;"@notaol.com"</f>
        <v>Luke_Suix@notaol.com</v>
      </c>
    </row>
    <row r="78" spans="2:2" x14ac:dyDescent="0.2">
      <c r="B78" s="408" t="str">
        <f>B71&amp;"_"&amp;B72&amp;"@notaol.com"</f>
        <v>Suix_8 19th St.@notaol.com</v>
      </c>
    </row>
    <row r="80" spans="2:2" x14ac:dyDescent="0.2">
      <c r="B80" s="408" t="s">
        <v>1589</v>
      </c>
    </row>
    <row r="81" spans="2:2" x14ac:dyDescent="0.2">
      <c r="B81" s="408" t="s">
        <v>1593</v>
      </c>
    </row>
    <row r="82" spans="2:2" x14ac:dyDescent="0.2">
      <c r="B82" s="408" t="s">
        <v>1594</v>
      </c>
    </row>
    <row r="83" spans="2:2" x14ac:dyDescent="0.2">
      <c r="B83" s="408" t="s">
        <v>870</v>
      </c>
    </row>
    <row r="84" spans="2:2" x14ac:dyDescent="0.2">
      <c r="B84" s="408" t="s">
        <v>838</v>
      </c>
    </row>
    <row r="85" spans="2:2" x14ac:dyDescent="0.2">
      <c r="B85" s="408">
        <v>98108</v>
      </c>
    </row>
    <row r="86" spans="2:2" x14ac:dyDescent="0.2">
      <c r="B86" s="408" t="s">
        <v>1595</v>
      </c>
    </row>
    <row r="87" spans="2:2" x14ac:dyDescent="0.2">
      <c r="B87" s="408" t="str">
        <f>B80&amp;"_"&amp;B81&amp;"@notaol.com"</f>
        <v>Luke_Red@notaol.com</v>
      </c>
    </row>
    <row r="88" spans="2:2" x14ac:dyDescent="0.2">
      <c r="B88" s="408" t="str">
        <f>B81&amp;"_"&amp;B82&amp;"@notaol.com"</f>
        <v>Red_15 16th St.@notaol.com</v>
      </c>
    </row>
    <row r="90" spans="2:2" x14ac:dyDescent="0.2">
      <c r="B90" s="408" t="s">
        <v>1585</v>
      </c>
    </row>
    <row r="91" spans="2:2" x14ac:dyDescent="0.2">
      <c r="B91" s="408" t="s">
        <v>1596</v>
      </c>
    </row>
    <row r="92" spans="2:2" x14ac:dyDescent="0.2">
      <c r="B92" s="408" t="s">
        <v>1597</v>
      </c>
    </row>
    <row r="93" spans="2:2" x14ac:dyDescent="0.2">
      <c r="B93" s="408" t="s">
        <v>870</v>
      </c>
    </row>
    <row r="94" spans="2:2" x14ac:dyDescent="0.2">
      <c r="B94" s="408" t="s">
        <v>838</v>
      </c>
    </row>
    <row r="95" spans="2:2" x14ac:dyDescent="0.2">
      <c r="B95" s="408">
        <v>98112</v>
      </c>
    </row>
    <row r="96" spans="2:2" x14ac:dyDescent="0.2">
      <c r="B96" s="408" t="s">
        <v>1598</v>
      </c>
    </row>
    <row r="97" spans="2:2" x14ac:dyDescent="0.2">
      <c r="B97" s="408" t="str">
        <f>B90&amp;"_"&amp;B91&amp;"@notaol.com"</f>
        <v>Jeri_Smythe@notaol.com</v>
      </c>
    </row>
    <row r="98" spans="2:2" x14ac:dyDescent="0.2">
      <c r="B98" s="408" t="str">
        <f>B91&amp;"_"&amp;B92&amp;"@notaol.com"</f>
        <v>Smythe_14 19th St.@notaol.com</v>
      </c>
    </row>
    <row r="100" spans="2:2" x14ac:dyDescent="0.2">
      <c r="B100" s="408" t="s">
        <v>1589</v>
      </c>
    </row>
    <row r="101" spans="2:2" x14ac:dyDescent="0.2">
      <c r="B101" s="408" t="s">
        <v>1500</v>
      </c>
    </row>
    <row r="102" spans="2:2" x14ac:dyDescent="0.2">
      <c r="B102" s="408" t="s">
        <v>1599</v>
      </c>
    </row>
    <row r="103" spans="2:2" x14ac:dyDescent="0.2">
      <c r="B103" s="408" t="s">
        <v>870</v>
      </c>
    </row>
    <row r="104" spans="2:2" x14ac:dyDescent="0.2">
      <c r="B104" s="408" t="s">
        <v>838</v>
      </c>
    </row>
    <row r="105" spans="2:2" x14ac:dyDescent="0.2">
      <c r="B105" s="408">
        <v>98106</v>
      </c>
    </row>
    <row r="106" spans="2:2" x14ac:dyDescent="0.2">
      <c r="B106" s="408" t="s">
        <v>1600</v>
      </c>
    </row>
    <row r="107" spans="2:2" x14ac:dyDescent="0.2">
      <c r="B107" s="408" t="str">
        <f>B100&amp;"_"&amp;B101&amp;"@notaol.com"</f>
        <v>Luke_Rad@notaol.com</v>
      </c>
    </row>
    <row r="108" spans="2:2" x14ac:dyDescent="0.2">
      <c r="B108" s="408" t="str">
        <f>B101&amp;"_"&amp;B102&amp;"@notaol.com"</f>
        <v>Rad_3 16th St.@notaol.com</v>
      </c>
    </row>
    <row r="110" spans="2:2" x14ac:dyDescent="0.2">
      <c r="B110" s="408" t="s">
        <v>1581</v>
      </c>
    </row>
    <row r="111" spans="2:2" x14ac:dyDescent="0.2">
      <c r="B111" s="408" t="s">
        <v>1601</v>
      </c>
    </row>
    <row r="112" spans="2:2" x14ac:dyDescent="0.2">
      <c r="B112" s="408" t="s">
        <v>1602</v>
      </c>
    </row>
    <row r="113" spans="2:2" x14ac:dyDescent="0.2">
      <c r="B113" s="408" t="s">
        <v>870</v>
      </c>
    </row>
    <row r="114" spans="2:2" x14ac:dyDescent="0.2">
      <c r="B114" s="408" t="s">
        <v>838</v>
      </c>
    </row>
    <row r="115" spans="2:2" x14ac:dyDescent="0.2">
      <c r="B115" s="408">
        <v>98116</v>
      </c>
    </row>
    <row r="116" spans="2:2" x14ac:dyDescent="0.2">
      <c r="B116" s="408" t="s">
        <v>1603</v>
      </c>
    </row>
    <row r="117" spans="2:2" x14ac:dyDescent="0.2">
      <c r="B117" s="408" t="str">
        <f>B110&amp;"_"&amp;B111&amp;"@notaol.com"</f>
        <v>Jon_Dap@notaol.com</v>
      </c>
    </row>
    <row r="118" spans="2:2" x14ac:dyDescent="0.2">
      <c r="B118" s="408" t="str">
        <f>B111&amp;"_"&amp;B112&amp;"@notaol.com"</f>
        <v>Dap_5 19th St.@notaol.com</v>
      </c>
    </row>
    <row r="120" spans="2:2" x14ac:dyDescent="0.2">
      <c r="B120" s="408" t="s">
        <v>1566</v>
      </c>
    </row>
    <row r="121" spans="2:2" x14ac:dyDescent="0.2">
      <c r="B121" s="408" t="s">
        <v>1604</v>
      </c>
    </row>
    <row r="122" spans="2:2" x14ac:dyDescent="0.2">
      <c r="B122" s="408" t="s">
        <v>1605</v>
      </c>
    </row>
    <row r="123" spans="2:2" x14ac:dyDescent="0.2">
      <c r="B123" s="408" t="s">
        <v>870</v>
      </c>
    </row>
    <row r="124" spans="2:2" x14ac:dyDescent="0.2">
      <c r="B124" s="408" t="s">
        <v>838</v>
      </c>
    </row>
    <row r="125" spans="2:2" x14ac:dyDescent="0.2">
      <c r="B125" s="408">
        <v>98111</v>
      </c>
    </row>
    <row r="126" spans="2:2" x14ac:dyDescent="0.2">
      <c r="B126" s="408" t="s">
        <v>1606</v>
      </c>
    </row>
    <row r="127" spans="2:2" x14ac:dyDescent="0.2">
      <c r="B127" s="408" t="str">
        <f>B120&amp;"_"&amp;B121&amp;"@notaol.com"</f>
        <v>Steve_Gupis@notaol.com</v>
      </c>
    </row>
    <row r="128" spans="2:2" x14ac:dyDescent="0.2">
      <c r="B128" s="408" t="str">
        <f>B121&amp;"_"&amp;B122&amp;"@notaol.com"</f>
        <v>Gupis_6 17th St.@notaol.com</v>
      </c>
    </row>
    <row r="130" spans="2:2" x14ac:dyDescent="0.2">
      <c r="B130" s="408" t="s">
        <v>1581</v>
      </c>
    </row>
    <row r="131" spans="2:2" x14ac:dyDescent="0.2">
      <c r="B131" s="408" t="s">
        <v>1607</v>
      </c>
    </row>
    <row r="132" spans="2:2" x14ac:dyDescent="0.2">
      <c r="B132" s="408" t="s">
        <v>1608</v>
      </c>
    </row>
    <row r="133" spans="2:2" x14ac:dyDescent="0.2">
      <c r="B133" s="408" t="s">
        <v>870</v>
      </c>
    </row>
    <row r="134" spans="2:2" x14ac:dyDescent="0.2">
      <c r="B134" s="408" t="s">
        <v>838</v>
      </c>
    </row>
    <row r="135" spans="2:2" x14ac:dyDescent="0.2">
      <c r="B135" s="408">
        <v>98104</v>
      </c>
    </row>
    <row r="136" spans="2:2" x14ac:dyDescent="0.2">
      <c r="B136" s="408" t="s">
        <v>1609</v>
      </c>
    </row>
    <row r="137" spans="2:2" x14ac:dyDescent="0.2">
      <c r="B137" s="408" t="str">
        <f>B130&amp;"_"&amp;B131&amp;"@notaol.com"</f>
        <v>Jon_Summi@notaol.com</v>
      </c>
    </row>
    <row r="138" spans="2:2" x14ac:dyDescent="0.2">
      <c r="B138" s="408" t="str">
        <f>B131&amp;"_"&amp;B132&amp;"@notaol.com"</f>
        <v>Summi_4 14th St.@notaol.com</v>
      </c>
    </row>
    <row r="140" spans="2:2" x14ac:dyDescent="0.2">
      <c r="B140" s="408" t="s">
        <v>1577</v>
      </c>
    </row>
    <row r="141" spans="2:2" x14ac:dyDescent="0.2">
      <c r="B141" s="408" t="s">
        <v>1610</v>
      </c>
    </row>
    <row r="142" spans="2:2" x14ac:dyDescent="0.2">
      <c r="B142" s="408" t="s">
        <v>1611</v>
      </c>
    </row>
    <row r="143" spans="2:2" x14ac:dyDescent="0.2">
      <c r="B143" s="408" t="s">
        <v>870</v>
      </c>
    </row>
    <row r="144" spans="2:2" x14ac:dyDescent="0.2">
      <c r="B144" s="408" t="s">
        <v>838</v>
      </c>
    </row>
    <row r="145" spans="2:2" x14ac:dyDescent="0.2">
      <c r="B145" s="408">
        <v>98110</v>
      </c>
    </row>
    <row r="146" spans="2:2" x14ac:dyDescent="0.2">
      <c r="B146" s="408" t="s">
        <v>1612</v>
      </c>
    </row>
    <row r="147" spans="2:2" x14ac:dyDescent="0.2">
      <c r="B147" s="408" t="str">
        <f>B140&amp;"_"&amp;B141&amp;"@notaol.com"</f>
        <v>Sheli_Fun@notaol.com</v>
      </c>
    </row>
    <row r="148" spans="2:2" x14ac:dyDescent="0.2">
      <c r="B148" s="408" t="str">
        <f>B141&amp;"_"&amp;B142&amp;"@notaol.com"</f>
        <v>Fun_7 15th St.@notaol.com</v>
      </c>
    </row>
  </sheetData>
  <pageMargins left="0.75" right="0.75" top="1" bottom="1" header="0.5" footer="0.5"/>
  <pageSetup orientation="portrait" r:id="rId1"/>
  <headerFooter alignWithMargins="0"/>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178">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8" bestFit="1" customWidth="1"/>
    <col min="2" max="2" width="9.140625" style="408"/>
    <col min="3" max="10" width="16.5703125" style="408" customWidth="1"/>
    <col min="11" max="256" width="9.140625" style="408"/>
    <col min="257" max="257" width="2.85546875" style="408" bestFit="1" customWidth="1"/>
    <col min="258" max="258" width="9.140625" style="408"/>
    <col min="259" max="266" width="16.5703125" style="408" customWidth="1"/>
    <col min="267" max="512" width="9.140625" style="408"/>
    <col min="513" max="513" width="2.85546875" style="408" bestFit="1" customWidth="1"/>
    <col min="514" max="514" width="9.140625" style="408"/>
    <col min="515" max="522" width="16.5703125" style="408" customWidth="1"/>
    <col min="523" max="768" width="9.140625" style="408"/>
    <col min="769" max="769" width="2.85546875" style="408" bestFit="1" customWidth="1"/>
    <col min="770" max="770" width="9.140625" style="408"/>
    <col min="771" max="778" width="16.5703125" style="408" customWidth="1"/>
    <col min="779" max="1024" width="9.140625" style="408"/>
    <col min="1025" max="1025" width="2.85546875" style="408" bestFit="1" customWidth="1"/>
    <col min="1026" max="1026" width="9.140625" style="408"/>
    <col min="1027" max="1034" width="16.5703125" style="408" customWidth="1"/>
    <col min="1035" max="1280" width="9.140625" style="408"/>
    <col min="1281" max="1281" width="2.85546875" style="408" bestFit="1" customWidth="1"/>
    <col min="1282" max="1282" width="9.140625" style="408"/>
    <col min="1283" max="1290" width="16.5703125" style="408" customWidth="1"/>
    <col min="1291" max="1536" width="9.140625" style="408"/>
    <col min="1537" max="1537" width="2.85546875" style="408" bestFit="1" customWidth="1"/>
    <col min="1538" max="1538" width="9.140625" style="408"/>
    <col min="1539" max="1546" width="16.5703125" style="408" customWidth="1"/>
    <col min="1547" max="1792" width="9.140625" style="408"/>
    <col min="1793" max="1793" width="2.85546875" style="408" bestFit="1" customWidth="1"/>
    <col min="1794" max="1794" width="9.140625" style="408"/>
    <col min="1795" max="1802" width="16.5703125" style="408" customWidth="1"/>
    <col min="1803" max="2048" width="9.140625" style="408"/>
    <col min="2049" max="2049" width="2.85546875" style="408" bestFit="1" customWidth="1"/>
    <col min="2050" max="2050" width="9.140625" style="408"/>
    <col min="2051" max="2058" width="16.5703125" style="408" customWidth="1"/>
    <col min="2059" max="2304" width="9.140625" style="408"/>
    <col min="2305" max="2305" width="2.85546875" style="408" bestFit="1" customWidth="1"/>
    <col min="2306" max="2306" width="9.140625" style="408"/>
    <col min="2307" max="2314" width="16.5703125" style="408" customWidth="1"/>
    <col min="2315" max="2560" width="9.140625" style="408"/>
    <col min="2561" max="2561" width="2.85546875" style="408" bestFit="1" customWidth="1"/>
    <col min="2562" max="2562" width="9.140625" style="408"/>
    <col min="2563" max="2570" width="16.5703125" style="408" customWidth="1"/>
    <col min="2571" max="2816" width="9.140625" style="408"/>
    <col min="2817" max="2817" width="2.85546875" style="408" bestFit="1" customWidth="1"/>
    <col min="2818" max="2818" width="9.140625" style="408"/>
    <col min="2819" max="2826" width="16.5703125" style="408" customWidth="1"/>
    <col min="2827" max="3072" width="9.140625" style="408"/>
    <col min="3073" max="3073" width="2.85546875" style="408" bestFit="1" customWidth="1"/>
    <col min="3074" max="3074" width="9.140625" style="408"/>
    <col min="3075" max="3082" width="16.5703125" style="408" customWidth="1"/>
    <col min="3083" max="3328" width="9.140625" style="408"/>
    <col min="3329" max="3329" width="2.85546875" style="408" bestFit="1" customWidth="1"/>
    <col min="3330" max="3330" width="9.140625" style="408"/>
    <col min="3331" max="3338" width="16.5703125" style="408" customWidth="1"/>
    <col min="3339" max="3584" width="9.140625" style="408"/>
    <col min="3585" max="3585" width="2.85546875" style="408" bestFit="1" customWidth="1"/>
    <col min="3586" max="3586" width="9.140625" style="408"/>
    <col min="3587" max="3594" width="16.5703125" style="408" customWidth="1"/>
    <col min="3595" max="3840" width="9.140625" style="408"/>
    <col min="3841" max="3841" width="2.85546875" style="408" bestFit="1" customWidth="1"/>
    <col min="3842" max="3842" width="9.140625" style="408"/>
    <col min="3843" max="3850" width="16.5703125" style="408" customWidth="1"/>
    <col min="3851" max="4096" width="9.140625" style="408"/>
    <col min="4097" max="4097" width="2.85546875" style="408" bestFit="1" customWidth="1"/>
    <col min="4098" max="4098" width="9.140625" style="408"/>
    <col min="4099" max="4106" width="16.5703125" style="408" customWidth="1"/>
    <col min="4107" max="4352" width="9.140625" style="408"/>
    <col min="4353" max="4353" width="2.85546875" style="408" bestFit="1" customWidth="1"/>
    <col min="4354" max="4354" width="9.140625" style="408"/>
    <col min="4355" max="4362" width="16.5703125" style="408" customWidth="1"/>
    <col min="4363" max="4608" width="9.140625" style="408"/>
    <col min="4609" max="4609" width="2.85546875" style="408" bestFit="1" customWidth="1"/>
    <col min="4610" max="4610" width="9.140625" style="408"/>
    <col min="4611" max="4618" width="16.5703125" style="408" customWidth="1"/>
    <col min="4619" max="4864" width="9.140625" style="408"/>
    <col min="4865" max="4865" width="2.85546875" style="408" bestFit="1" customWidth="1"/>
    <col min="4866" max="4866" width="9.140625" style="408"/>
    <col min="4867" max="4874" width="16.5703125" style="408" customWidth="1"/>
    <col min="4875" max="5120" width="9.140625" style="408"/>
    <col min="5121" max="5121" width="2.85546875" style="408" bestFit="1" customWidth="1"/>
    <col min="5122" max="5122" width="9.140625" style="408"/>
    <col min="5123" max="5130" width="16.5703125" style="408" customWidth="1"/>
    <col min="5131" max="5376" width="9.140625" style="408"/>
    <col min="5377" max="5377" width="2.85546875" style="408" bestFit="1" customWidth="1"/>
    <col min="5378" max="5378" width="9.140625" style="408"/>
    <col min="5379" max="5386" width="16.5703125" style="408" customWidth="1"/>
    <col min="5387" max="5632" width="9.140625" style="408"/>
    <col min="5633" max="5633" width="2.85546875" style="408" bestFit="1" customWidth="1"/>
    <col min="5634" max="5634" width="9.140625" style="408"/>
    <col min="5635" max="5642" width="16.5703125" style="408" customWidth="1"/>
    <col min="5643" max="5888" width="9.140625" style="408"/>
    <col min="5889" max="5889" width="2.85546875" style="408" bestFit="1" customWidth="1"/>
    <col min="5890" max="5890" width="9.140625" style="408"/>
    <col min="5891" max="5898" width="16.5703125" style="408" customWidth="1"/>
    <col min="5899" max="6144" width="9.140625" style="408"/>
    <col min="6145" max="6145" width="2.85546875" style="408" bestFit="1" customWidth="1"/>
    <col min="6146" max="6146" width="9.140625" style="408"/>
    <col min="6147" max="6154" width="16.5703125" style="408" customWidth="1"/>
    <col min="6155" max="6400" width="9.140625" style="408"/>
    <col min="6401" max="6401" width="2.85546875" style="408" bestFit="1" customWidth="1"/>
    <col min="6402" max="6402" width="9.140625" style="408"/>
    <col min="6403" max="6410" width="16.5703125" style="408" customWidth="1"/>
    <col min="6411" max="6656" width="9.140625" style="408"/>
    <col min="6657" max="6657" width="2.85546875" style="408" bestFit="1" customWidth="1"/>
    <col min="6658" max="6658" width="9.140625" style="408"/>
    <col min="6659" max="6666" width="16.5703125" style="408" customWidth="1"/>
    <col min="6667" max="6912" width="9.140625" style="408"/>
    <col min="6913" max="6913" width="2.85546875" style="408" bestFit="1" customWidth="1"/>
    <col min="6914" max="6914" width="9.140625" style="408"/>
    <col min="6915" max="6922" width="16.5703125" style="408" customWidth="1"/>
    <col min="6923" max="7168" width="9.140625" style="408"/>
    <col min="7169" max="7169" width="2.85546875" style="408" bestFit="1" customWidth="1"/>
    <col min="7170" max="7170" width="9.140625" style="408"/>
    <col min="7171" max="7178" width="16.5703125" style="408" customWidth="1"/>
    <col min="7179" max="7424" width="9.140625" style="408"/>
    <col min="7425" max="7425" width="2.85546875" style="408" bestFit="1" customWidth="1"/>
    <col min="7426" max="7426" width="9.140625" style="408"/>
    <col min="7427" max="7434" width="16.5703125" style="408" customWidth="1"/>
    <col min="7435" max="7680" width="9.140625" style="408"/>
    <col min="7681" max="7681" width="2.85546875" style="408" bestFit="1" customWidth="1"/>
    <col min="7682" max="7682" width="9.140625" style="408"/>
    <col min="7683" max="7690" width="16.5703125" style="408" customWidth="1"/>
    <col min="7691" max="7936" width="9.140625" style="408"/>
    <col min="7937" max="7937" width="2.85546875" style="408" bestFit="1" customWidth="1"/>
    <col min="7938" max="7938" width="9.140625" style="408"/>
    <col min="7939" max="7946" width="16.5703125" style="408" customWidth="1"/>
    <col min="7947" max="8192" width="9.140625" style="408"/>
    <col min="8193" max="8193" width="2.85546875" style="408" bestFit="1" customWidth="1"/>
    <col min="8194" max="8194" width="9.140625" style="408"/>
    <col min="8195" max="8202" width="16.5703125" style="408" customWidth="1"/>
    <col min="8203" max="8448" width="9.140625" style="408"/>
    <col min="8449" max="8449" width="2.85546875" style="408" bestFit="1" customWidth="1"/>
    <col min="8450" max="8450" width="9.140625" style="408"/>
    <col min="8451" max="8458" width="16.5703125" style="408" customWidth="1"/>
    <col min="8459" max="8704" width="9.140625" style="408"/>
    <col min="8705" max="8705" width="2.85546875" style="408" bestFit="1" customWidth="1"/>
    <col min="8706" max="8706" width="9.140625" style="408"/>
    <col min="8707" max="8714" width="16.5703125" style="408" customWidth="1"/>
    <col min="8715" max="8960" width="9.140625" style="408"/>
    <col min="8961" max="8961" width="2.85546875" style="408" bestFit="1" customWidth="1"/>
    <col min="8962" max="8962" width="9.140625" style="408"/>
    <col min="8963" max="8970" width="16.5703125" style="408" customWidth="1"/>
    <col min="8971" max="9216" width="9.140625" style="408"/>
    <col min="9217" max="9217" width="2.85546875" style="408" bestFit="1" customWidth="1"/>
    <col min="9218" max="9218" width="9.140625" style="408"/>
    <col min="9219" max="9226" width="16.5703125" style="408" customWidth="1"/>
    <col min="9227" max="9472" width="9.140625" style="408"/>
    <col min="9473" max="9473" width="2.85546875" style="408" bestFit="1" customWidth="1"/>
    <col min="9474" max="9474" width="9.140625" style="408"/>
    <col min="9475" max="9482" width="16.5703125" style="408" customWidth="1"/>
    <col min="9483" max="9728" width="9.140625" style="408"/>
    <col min="9729" max="9729" width="2.85546875" style="408" bestFit="1" customWidth="1"/>
    <col min="9730" max="9730" width="9.140625" style="408"/>
    <col min="9731" max="9738" width="16.5703125" style="408" customWidth="1"/>
    <col min="9739" max="9984" width="9.140625" style="408"/>
    <col min="9985" max="9985" width="2.85546875" style="408" bestFit="1" customWidth="1"/>
    <col min="9986" max="9986" width="9.140625" style="408"/>
    <col min="9987" max="9994" width="16.5703125" style="408" customWidth="1"/>
    <col min="9995" max="10240" width="9.140625" style="408"/>
    <col min="10241" max="10241" width="2.85546875" style="408" bestFit="1" customWidth="1"/>
    <col min="10242" max="10242" width="9.140625" style="408"/>
    <col min="10243" max="10250" width="16.5703125" style="408" customWidth="1"/>
    <col min="10251" max="10496" width="9.140625" style="408"/>
    <col min="10497" max="10497" width="2.85546875" style="408" bestFit="1" customWidth="1"/>
    <col min="10498" max="10498" width="9.140625" style="408"/>
    <col min="10499" max="10506" width="16.5703125" style="408" customWidth="1"/>
    <col min="10507" max="10752" width="9.140625" style="408"/>
    <col min="10753" max="10753" width="2.85546875" style="408" bestFit="1" customWidth="1"/>
    <col min="10754" max="10754" width="9.140625" style="408"/>
    <col min="10755" max="10762" width="16.5703125" style="408" customWidth="1"/>
    <col min="10763" max="11008" width="9.140625" style="408"/>
    <col min="11009" max="11009" width="2.85546875" style="408" bestFit="1" customWidth="1"/>
    <col min="11010" max="11010" width="9.140625" style="408"/>
    <col min="11011" max="11018" width="16.5703125" style="408" customWidth="1"/>
    <col min="11019" max="11264" width="9.140625" style="408"/>
    <col min="11265" max="11265" width="2.85546875" style="408" bestFit="1" customWidth="1"/>
    <col min="11266" max="11266" width="9.140625" style="408"/>
    <col min="11267" max="11274" width="16.5703125" style="408" customWidth="1"/>
    <col min="11275" max="11520" width="9.140625" style="408"/>
    <col min="11521" max="11521" width="2.85546875" style="408" bestFit="1" customWidth="1"/>
    <col min="11522" max="11522" width="9.140625" style="408"/>
    <col min="11523" max="11530" width="16.5703125" style="408" customWidth="1"/>
    <col min="11531" max="11776" width="9.140625" style="408"/>
    <col min="11777" max="11777" width="2.85546875" style="408" bestFit="1" customWidth="1"/>
    <col min="11778" max="11778" width="9.140625" style="408"/>
    <col min="11779" max="11786" width="16.5703125" style="408" customWidth="1"/>
    <col min="11787" max="12032" width="9.140625" style="408"/>
    <col min="12033" max="12033" width="2.85546875" style="408" bestFit="1" customWidth="1"/>
    <col min="12034" max="12034" width="9.140625" style="408"/>
    <col min="12035" max="12042" width="16.5703125" style="408" customWidth="1"/>
    <col min="12043" max="12288" width="9.140625" style="408"/>
    <col min="12289" max="12289" width="2.85546875" style="408" bestFit="1" customWidth="1"/>
    <col min="12290" max="12290" width="9.140625" style="408"/>
    <col min="12291" max="12298" width="16.5703125" style="408" customWidth="1"/>
    <col min="12299" max="12544" width="9.140625" style="408"/>
    <col min="12545" max="12545" width="2.85546875" style="408" bestFit="1" customWidth="1"/>
    <col min="12546" max="12546" width="9.140625" style="408"/>
    <col min="12547" max="12554" width="16.5703125" style="408" customWidth="1"/>
    <col min="12555" max="12800" width="9.140625" style="408"/>
    <col min="12801" max="12801" width="2.85546875" style="408" bestFit="1" customWidth="1"/>
    <col min="12802" max="12802" width="9.140625" style="408"/>
    <col min="12803" max="12810" width="16.5703125" style="408" customWidth="1"/>
    <col min="12811" max="13056" width="9.140625" style="408"/>
    <col min="13057" max="13057" width="2.85546875" style="408" bestFit="1" customWidth="1"/>
    <col min="13058" max="13058" width="9.140625" style="408"/>
    <col min="13059" max="13066" width="16.5703125" style="408" customWidth="1"/>
    <col min="13067" max="13312" width="9.140625" style="408"/>
    <col min="13313" max="13313" width="2.85546875" style="408" bestFit="1" customWidth="1"/>
    <col min="13314" max="13314" width="9.140625" style="408"/>
    <col min="13315" max="13322" width="16.5703125" style="408" customWidth="1"/>
    <col min="13323" max="13568" width="9.140625" style="408"/>
    <col min="13569" max="13569" width="2.85546875" style="408" bestFit="1" customWidth="1"/>
    <col min="13570" max="13570" width="9.140625" style="408"/>
    <col min="13571" max="13578" width="16.5703125" style="408" customWidth="1"/>
    <col min="13579" max="13824" width="9.140625" style="408"/>
    <col min="13825" max="13825" width="2.85546875" style="408" bestFit="1" customWidth="1"/>
    <col min="13826" max="13826" width="9.140625" style="408"/>
    <col min="13827" max="13834" width="16.5703125" style="408" customWidth="1"/>
    <col min="13835" max="14080" width="9.140625" style="408"/>
    <col min="14081" max="14081" width="2.85546875" style="408" bestFit="1" customWidth="1"/>
    <col min="14082" max="14082" width="9.140625" style="408"/>
    <col min="14083" max="14090" width="16.5703125" style="408" customWidth="1"/>
    <col min="14091" max="14336" width="9.140625" style="408"/>
    <col min="14337" max="14337" width="2.85546875" style="408" bestFit="1" customWidth="1"/>
    <col min="14338" max="14338" width="9.140625" style="408"/>
    <col min="14339" max="14346" width="16.5703125" style="408" customWidth="1"/>
    <col min="14347" max="14592" width="9.140625" style="408"/>
    <col min="14593" max="14593" width="2.85546875" style="408" bestFit="1" customWidth="1"/>
    <col min="14594" max="14594" width="9.140625" style="408"/>
    <col min="14595" max="14602" width="16.5703125" style="408" customWidth="1"/>
    <col min="14603" max="14848" width="9.140625" style="408"/>
    <col min="14849" max="14849" width="2.85546875" style="408" bestFit="1" customWidth="1"/>
    <col min="14850" max="14850" width="9.140625" style="408"/>
    <col min="14851" max="14858" width="16.5703125" style="408" customWidth="1"/>
    <col min="14859" max="15104" width="9.140625" style="408"/>
    <col min="15105" max="15105" width="2.85546875" style="408" bestFit="1" customWidth="1"/>
    <col min="15106" max="15106" width="9.140625" style="408"/>
    <col min="15107" max="15114" width="16.5703125" style="408" customWidth="1"/>
    <col min="15115" max="15360" width="9.140625" style="408"/>
    <col min="15361" max="15361" width="2.85546875" style="408" bestFit="1" customWidth="1"/>
    <col min="15362" max="15362" width="9.140625" style="408"/>
    <col min="15363" max="15370" width="16.5703125" style="408" customWidth="1"/>
    <col min="15371" max="15616" width="9.140625" style="408"/>
    <col min="15617" max="15617" width="2.85546875" style="408" bestFit="1" customWidth="1"/>
    <col min="15618" max="15618" width="9.140625" style="408"/>
    <col min="15619" max="15626" width="16.5703125" style="408" customWidth="1"/>
    <col min="15627" max="15872" width="9.140625" style="408"/>
    <col min="15873" max="15873" width="2.85546875" style="408" bestFit="1" customWidth="1"/>
    <col min="15874" max="15874" width="9.140625" style="408"/>
    <col min="15875" max="15882" width="16.5703125" style="408" customWidth="1"/>
    <col min="15883" max="16128" width="9.140625" style="408"/>
    <col min="16129" max="16129" width="2.85546875" style="408" bestFit="1" customWidth="1"/>
    <col min="16130" max="16130" width="9.140625" style="408"/>
    <col min="16131" max="16138" width="16.5703125" style="408" customWidth="1"/>
    <col min="16139" max="16384" width="9.140625" style="408"/>
  </cols>
  <sheetData>
    <row r="1" spans="1:10" ht="25.5" x14ac:dyDescent="0.2">
      <c r="A1" s="410" t="str">
        <f>ROWS(A$1:A1)&amp;")"</f>
        <v>1)</v>
      </c>
      <c r="B1" s="411" t="s">
        <v>1563</v>
      </c>
      <c r="C1" s="411"/>
      <c r="D1" s="411"/>
      <c r="E1" s="411"/>
    </row>
    <row r="2" spans="1:10" ht="25.5" x14ac:dyDescent="0.2">
      <c r="A2" s="410" t="str">
        <f>ROWS(A$1:A2)&amp;")"</f>
        <v>2)</v>
      </c>
      <c r="B2" s="411" t="s">
        <v>1613</v>
      </c>
      <c r="C2" s="411"/>
      <c r="D2" s="411"/>
      <c r="E2" s="411"/>
    </row>
    <row r="3" spans="1:10" ht="38.25" x14ac:dyDescent="0.2">
      <c r="A3" s="410" t="str">
        <f>ROWS(A$1:A3)&amp;")"</f>
        <v>3)</v>
      </c>
      <c r="B3" s="411" t="s">
        <v>1559</v>
      </c>
      <c r="C3" s="411"/>
      <c r="D3" s="411"/>
      <c r="E3" s="411"/>
    </row>
    <row r="4" spans="1:10" ht="51" x14ac:dyDescent="0.2">
      <c r="A4" s="410" t="str">
        <f>ROWS(A$1:A4)&amp;")"</f>
        <v>4)</v>
      </c>
      <c r="B4" s="411" t="s">
        <v>1564</v>
      </c>
      <c r="C4" s="411"/>
      <c r="D4" s="411"/>
      <c r="E4" s="411"/>
    </row>
    <row r="5" spans="1:10" x14ac:dyDescent="0.2">
      <c r="A5" s="410" t="str">
        <f>ROWS(A$1:A5)&amp;")"</f>
        <v>5)</v>
      </c>
      <c r="B5" s="414" t="s">
        <v>1561</v>
      </c>
      <c r="C5" s="411"/>
      <c r="D5" s="411"/>
      <c r="E5" s="411"/>
    </row>
    <row r="6" spans="1:10" ht="63.75" x14ac:dyDescent="0.2">
      <c r="A6" s="410" t="str">
        <f>ROWS(A$1:A6)&amp;")"</f>
        <v>6)</v>
      </c>
      <c r="B6" s="414" t="s">
        <v>1562</v>
      </c>
      <c r="C6" s="411"/>
      <c r="D6" s="411"/>
      <c r="E6" s="411"/>
    </row>
    <row r="8" spans="1:10" x14ac:dyDescent="0.2">
      <c r="B8" s="415" t="s">
        <v>129</v>
      </c>
      <c r="C8" s="415" t="s">
        <v>130</v>
      </c>
      <c r="D8" s="415" t="s">
        <v>834</v>
      </c>
      <c r="E8" s="415" t="s">
        <v>835</v>
      </c>
      <c r="F8" s="415" t="s">
        <v>836</v>
      </c>
      <c r="G8" s="415" t="s">
        <v>837</v>
      </c>
      <c r="H8" s="415" t="s">
        <v>1565</v>
      </c>
      <c r="I8" s="415" t="s">
        <v>372</v>
      </c>
      <c r="J8" s="415" t="s">
        <v>373</v>
      </c>
    </row>
    <row r="10" spans="1:10" x14ac:dyDescent="0.2">
      <c r="B10" s="408" t="s">
        <v>1566</v>
      </c>
    </row>
    <row r="11" spans="1:10" x14ac:dyDescent="0.2">
      <c r="B11" s="408" t="s">
        <v>7</v>
      </c>
    </row>
    <row r="12" spans="1:10" x14ac:dyDescent="0.2">
      <c r="B12" s="408" t="s">
        <v>1567</v>
      </c>
    </row>
    <row r="13" spans="1:10" x14ac:dyDescent="0.2">
      <c r="B13" s="408" t="s">
        <v>870</v>
      </c>
    </row>
    <row r="14" spans="1:10" x14ac:dyDescent="0.2">
      <c r="B14" s="408" t="s">
        <v>838</v>
      </c>
    </row>
    <row r="15" spans="1:10" x14ac:dyDescent="0.2">
      <c r="B15" s="408">
        <v>98104</v>
      </c>
    </row>
    <row r="16" spans="1:10" x14ac:dyDescent="0.2">
      <c r="B16" s="408" t="s">
        <v>1568</v>
      </c>
    </row>
    <row r="17" spans="2:2" x14ac:dyDescent="0.2">
      <c r="B17" s="408" t="str">
        <f>B10&amp;"_"&amp;B11&amp;"@notaol.com"</f>
        <v>Steve_Chin@notaol.com</v>
      </c>
    </row>
    <row r="18" spans="2:2" x14ac:dyDescent="0.2">
      <c r="B18" s="408" t="str">
        <f>B11&amp;"_"&amp;B12&amp;"@notaol.com"</f>
        <v>Chin_14 17th St.@notaol.com</v>
      </c>
    </row>
    <row r="20" spans="2:2" x14ac:dyDescent="0.2">
      <c r="B20" s="408" t="s">
        <v>1569</v>
      </c>
    </row>
    <row r="21" spans="2:2" x14ac:dyDescent="0.2">
      <c r="B21" s="408" t="s">
        <v>1570</v>
      </c>
    </row>
    <row r="22" spans="2:2" x14ac:dyDescent="0.2">
      <c r="B22" s="408" t="s">
        <v>1571</v>
      </c>
    </row>
    <row r="23" spans="2:2" x14ac:dyDescent="0.2">
      <c r="B23" s="408" t="s">
        <v>870</v>
      </c>
    </row>
    <row r="24" spans="2:2" x14ac:dyDescent="0.2">
      <c r="B24" s="408" t="s">
        <v>838</v>
      </c>
    </row>
    <row r="25" spans="2:2" x14ac:dyDescent="0.2">
      <c r="B25" s="408">
        <v>98106</v>
      </c>
    </row>
    <row r="26" spans="2:2" x14ac:dyDescent="0.2">
      <c r="B26" s="408" t="s">
        <v>1572</v>
      </c>
    </row>
    <row r="27" spans="2:2" x14ac:dyDescent="0.2">
      <c r="B27" s="408" t="str">
        <f>B20&amp;"_"&amp;B21&amp;"@notaol.com"</f>
        <v>Troun_Tenn@notaol.com</v>
      </c>
    </row>
    <row r="28" spans="2:2" x14ac:dyDescent="0.2">
      <c r="B28" s="408" t="str">
        <f>B21&amp;"_"&amp;B22&amp;"@notaol.com"</f>
        <v>Tenn_6 19th St.@notaol.com</v>
      </c>
    </row>
    <row r="30" spans="2:2" x14ac:dyDescent="0.2">
      <c r="B30" s="408" t="s">
        <v>1573</v>
      </c>
    </row>
    <row r="31" spans="2:2" x14ac:dyDescent="0.2">
      <c r="B31" s="408" t="s">
        <v>1574</v>
      </c>
    </row>
    <row r="32" spans="2:2" x14ac:dyDescent="0.2">
      <c r="B32" s="408" t="s">
        <v>1575</v>
      </c>
    </row>
    <row r="33" spans="2:2" x14ac:dyDescent="0.2">
      <c r="B33" s="408" t="s">
        <v>870</v>
      </c>
    </row>
    <row r="34" spans="2:2" x14ac:dyDescent="0.2">
      <c r="B34" s="408" t="s">
        <v>838</v>
      </c>
    </row>
    <row r="35" spans="2:2" x14ac:dyDescent="0.2">
      <c r="B35" s="408">
        <v>98117</v>
      </c>
    </row>
    <row r="36" spans="2:2" x14ac:dyDescent="0.2">
      <c r="B36" s="408" t="s">
        <v>1576</v>
      </c>
    </row>
    <row r="37" spans="2:2" x14ac:dyDescent="0.2">
      <c r="B37" s="408" t="str">
        <f>B30&amp;"_"&amp;B31&amp;"@notaol.com"</f>
        <v>Rhond_Tradfren@notaol.com</v>
      </c>
    </row>
    <row r="38" spans="2:2" x14ac:dyDescent="0.2">
      <c r="B38" s="408" t="str">
        <f>B31&amp;"_"&amp;B32&amp;"@notaol.com"</f>
        <v>Tradfren_10 13th St.@notaol.com</v>
      </c>
    </row>
    <row r="40" spans="2:2" x14ac:dyDescent="0.2">
      <c r="B40" s="408" t="s">
        <v>1577</v>
      </c>
    </row>
    <row r="41" spans="2:2" x14ac:dyDescent="0.2">
      <c r="B41" s="408" t="s">
        <v>1578</v>
      </c>
    </row>
    <row r="42" spans="2:2" x14ac:dyDescent="0.2">
      <c r="B42" s="408" t="s">
        <v>1579</v>
      </c>
    </row>
    <row r="43" spans="2:2" x14ac:dyDescent="0.2">
      <c r="B43" s="408" t="s">
        <v>870</v>
      </c>
    </row>
    <row r="44" spans="2:2" x14ac:dyDescent="0.2">
      <c r="B44" s="408" t="s">
        <v>838</v>
      </c>
    </row>
    <row r="45" spans="2:2" x14ac:dyDescent="0.2">
      <c r="B45" s="408">
        <v>98111</v>
      </c>
    </row>
    <row r="46" spans="2:2" x14ac:dyDescent="0.2">
      <c r="B46" s="408" t="s">
        <v>1580</v>
      </c>
    </row>
    <row r="47" spans="2:2" x14ac:dyDescent="0.2">
      <c r="B47" s="408" t="str">
        <f>B40&amp;"_"&amp;B41&amp;"@notaol.com"</f>
        <v>Sheli_Das@notaol.com</v>
      </c>
    </row>
    <row r="48" spans="2:2" x14ac:dyDescent="0.2">
      <c r="B48" s="408" t="str">
        <f>B41&amp;"_"&amp;B42&amp;"@notaol.com"</f>
        <v>Das_2 15th St.@notaol.com</v>
      </c>
    </row>
    <row r="50" spans="2:2" x14ac:dyDescent="0.2">
      <c r="B50" s="408" t="s">
        <v>1581</v>
      </c>
    </row>
    <row r="51" spans="2:2" x14ac:dyDescent="0.2">
      <c r="B51" s="408" t="s">
        <v>1582</v>
      </c>
    </row>
    <row r="52" spans="2:2" x14ac:dyDescent="0.2">
      <c r="B52" s="408" t="s">
        <v>1583</v>
      </c>
    </row>
    <row r="53" spans="2:2" x14ac:dyDescent="0.2">
      <c r="B53" s="408" t="s">
        <v>870</v>
      </c>
    </row>
    <row r="54" spans="2:2" x14ac:dyDescent="0.2">
      <c r="B54" s="408" t="s">
        <v>838</v>
      </c>
    </row>
    <row r="55" spans="2:2" x14ac:dyDescent="0.2">
      <c r="B55" s="408">
        <v>98114</v>
      </c>
    </row>
    <row r="56" spans="2:2" x14ac:dyDescent="0.2">
      <c r="B56" s="408" t="s">
        <v>1584</v>
      </c>
    </row>
    <row r="57" spans="2:2" x14ac:dyDescent="0.2">
      <c r="B57" s="408" t="str">
        <f>B50&amp;"_"&amp;B51&amp;"@notaol.com"</f>
        <v>Jon_Teddy@notaol.com</v>
      </c>
    </row>
    <row r="58" spans="2:2" x14ac:dyDescent="0.2">
      <c r="B58" s="408" t="str">
        <f>B51&amp;"_"&amp;B52&amp;"@notaol.com"</f>
        <v>Teddy_3 17th St.@notaol.com</v>
      </c>
    </row>
    <row r="60" spans="2:2" x14ac:dyDescent="0.2">
      <c r="B60" s="408" t="s">
        <v>1585</v>
      </c>
    </row>
    <row r="61" spans="2:2" x14ac:dyDescent="0.2">
      <c r="B61" s="408" t="s">
        <v>1586</v>
      </c>
    </row>
    <row r="62" spans="2:2" x14ac:dyDescent="0.2">
      <c r="B62" s="408" t="s">
        <v>1587</v>
      </c>
    </row>
    <row r="63" spans="2:2" x14ac:dyDescent="0.2">
      <c r="B63" s="408" t="s">
        <v>870</v>
      </c>
    </row>
    <row r="64" spans="2:2" x14ac:dyDescent="0.2">
      <c r="B64" s="408" t="s">
        <v>838</v>
      </c>
    </row>
    <row r="65" spans="2:2" x14ac:dyDescent="0.2">
      <c r="B65" s="408">
        <v>98114</v>
      </c>
    </row>
    <row r="66" spans="2:2" x14ac:dyDescent="0.2">
      <c r="B66" s="408" t="s">
        <v>1588</v>
      </c>
    </row>
    <row r="67" spans="2:2" x14ac:dyDescent="0.2">
      <c r="B67" s="408" t="str">
        <f>B60&amp;"_"&amp;B61&amp;"@notaol.com"</f>
        <v>Jeri_Yessler@notaol.com</v>
      </c>
    </row>
    <row r="68" spans="2:2" x14ac:dyDescent="0.2">
      <c r="B68" s="408" t="str">
        <f>B61&amp;"_"&amp;B62&amp;"@notaol.com"</f>
        <v>Yessler_12 16th St.@notaol.com</v>
      </c>
    </row>
    <row r="70" spans="2:2" x14ac:dyDescent="0.2">
      <c r="B70" s="408" t="s">
        <v>1589</v>
      </c>
    </row>
    <row r="71" spans="2:2" x14ac:dyDescent="0.2">
      <c r="B71" s="408" t="s">
        <v>1590</v>
      </c>
    </row>
    <row r="72" spans="2:2" x14ac:dyDescent="0.2">
      <c r="B72" s="408" t="s">
        <v>1591</v>
      </c>
    </row>
    <row r="73" spans="2:2" x14ac:dyDescent="0.2">
      <c r="B73" s="408" t="s">
        <v>870</v>
      </c>
    </row>
    <row r="74" spans="2:2" x14ac:dyDescent="0.2">
      <c r="B74" s="408" t="s">
        <v>838</v>
      </c>
    </row>
    <row r="75" spans="2:2" x14ac:dyDescent="0.2">
      <c r="B75" s="408">
        <v>98113</v>
      </c>
    </row>
    <row r="76" spans="2:2" x14ac:dyDescent="0.2">
      <c r="B76" s="408" t="s">
        <v>1592</v>
      </c>
    </row>
    <row r="77" spans="2:2" x14ac:dyDescent="0.2">
      <c r="B77" s="408" t="str">
        <f>B70&amp;"_"&amp;B71&amp;"@notaol.com"</f>
        <v>Luke_Suix@notaol.com</v>
      </c>
    </row>
    <row r="78" spans="2:2" x14ac:dyDescent="0.2">
      <c r="B78" s="408" t="str">
        <f>B71&amp;"_"&amp;B72&amp;"@notaol.com"</f>
        <v>Suix_8 19th St.@notaol.com</v>
      </c>
    </row>
    <row r="80" spans="2:2" x14ac:dyDescent="0.2">
      <c r="B80" s="408" t="s">
        <v>1589</v>
      </c>
    </row>
    <row r="81" spans="2:2" x14ac:dyDescent="0.2">
      <c r="B81" s="408" t="s">
        <v>1593</v>
      </c>
    </row>
    <row r="82" spans="2:2" x14ac:dyDescent="0.2">
      <c r="B82" s="408" t="s">
        <v>1594</v>
      </c>
    </row>
    <row r="83" spans="2:2" x14ac:dyDescent="0.2">
      <c r="B83" s="408" t="s">
        <v>870</v>
      </c>
    </row>
    <row r="84" spans="2:2" x14ac:dyDescent="0.2">
      <c r="B84" s="408" t="s">
        <v>838</v>
      </c>
    </row>
    <row r="85" spans="2:2" x14ac:dyDescent="0.2">
      <c r="B85" s="408">
        <v>98108</v>
      </c>
    </row>
    <row r="86" spans="2:2" x14ac:dyDescent="0.2">
      <c r="B86" s="408" t="s">
        <v>1595</v>
      </c>
    </row>
    <row r="87" spans="2:2" x14ac:dyDescent="0.2">
      <c r="B87" s="408" t="str">
        <f>B80&amp;"_"&amp;B81&amp;"@notaol.com"</f>
        <v>Luke_Red@notaol.com</v>
      </c>
    </row>
    <row r="88" spans="2:2" x14ac:dyDescent="0.2">
      <c r="B88" s="408" t="str">
        <f>B81&amp;"_"&amp;B82&amp;"@notaol.com"</f>
        <v>Red_15 16th St.@notaol.com</v>
      </c>
    </row>
    <row r="90" spans="2:2" x14ac:dyDescent="0.2">
      <c r="B90" s="408" t="s">
        <v>1585</v>
      </c>
    </row>
    <row r="91" spans="2:2" x14ac:dyDescent="0.2">
      <c r="B91" s="408" t="s">
        <v>1596</v>
      </c>
    </row>
    <row r="92" spans="2:2" x14ac:dyDescent="0.2">
      <c r="B92" s="408" t="s">
        <v>1597</v>
      </c>
    </row>
    <row r="93" spans="2:2" x14ac:dyDescent="0.2">
      <c r="B93" s="408" t="s">
        <v>870</v>
      </c>
    </row>
    <row r="94" spans="2:2" x14ac:dyDescent="0.2">
      <c r="B94" s="408" t="s">
        <v>838</v>
      </c>
    </row>
    <row r="95" spans="2:2" x14ac:dyDescent="0.2">
      <c r="B95" s="408">
        <v>98112</v>
      </c>
    </row>
    <row r="96" spans="2:2" x14ac:dyDescent="0.2">
      <c r="B96" s="408" t="s">
        <v>1598</v>
      </c>
    </row>
    <row r="97" spans="2:2" x14ac:dyDescent="0.2">
      <c r="B97" s="408" t="str">
        <f>B90&amp;"_"&amp;B91&amp;"@notaol.com"</f>
        <v>Jeri_Smythe@notaol.com</v>
      </c>
    </row>
    <row r="98" spans="2:2" x14ac:dyDescent="0.2">
      <c r="B98" s="408" t="str">
        <f>B91&amp;"_"&amp;B92&amp;"@notaol.com"</f>
        <v>Smythe_14 19th St.@notaol.com</v>
      </c>
    </row>
    <row r="100" spans="2:2" x14ac:dyDescent="0.2">
      <c r="B100" s="408" t="s">
        <v>1589</v>
      </c>
    </row>
    <row r="101" spans="2:2" x14ac:dyDescent="0.2">
      <c r="B101" s="408" t="s">
        <v>1500</v>
      </c>
    </row>
    <row r="102" spans="2:2" x14ac:dyDescent="0.2">
      <c r="B102" s="408" t="s">
        <v>1599</v>
      </c>
    </row>
    <row r="103" spans="2:2" x14ac:dyDescent="0.2">
      <c r="B103" s="408" t="s">
        <v>870</v>
      </c>
    </row>
    <row r="104" spans="2:2" x14ac:dyDescent="0.2">
      <c r="B104" s="408" t="s">
        <v>838</v>
      </c>
    </row>
    <row r="105" spans="2:2" x14ac:dyDescent="0.2">
      <c r="B105" s="408">
        <v>98106</v>
      </c>
    </row>
    <row r="106" spans="2:2" x14ac:dyDescent="0.2">
      <c r="B106" s="408" t="s">
        <v>1600</v>
      </c>
    </row>
    <row r="107" spans="2:2" x14ac:dyDescent="0.2">
      <c r="B107" s="408" t="str">
        <f>B100&amp;"_"&amp;B101&amp;"@notaol.com"</f>
        <v>Luke_Rad@notaol.com</v>
      </c>
    </row>
    <row r="108" spans="2:2" x14ac:dyDescent="0.2">
      <c r="B108" s="408" t="str">
        <f>B101&amp;"_"&amp;B102&amp;"@notaol.com"</f>
        <v>Rad_3 16th St.@notaol.com</v>
      </c>
    </row>
    <row r="110" spans="2:2" x14ac:dyDescent="0.2">
      <c r="B110" s="408" t="s">
        <v>1581</v>
      </c>
    </row>
    <row r="111" spans="2:2" x14ac:dyDescent="0.2">
      <c r="B111" s="408" t="s">
        <v>1601</v>
      </c>
    </row>
    <row r="112" spans="2:2" x14ac:dyDescent="0.2">
      <c r="B112" s="408" t="s">
        <v>1602</v>
      </c>
    </row>
    <row r="113" spans="2:2" x14ac:dyDescent="0.2">
      <c r="B113" s="408" t="s">
        <v>870</v>
      </c>
    </row>
    <row r="114" spans="2:2" x14ac:dyDescent="0.2">
      <c r="B114" s="408" t="s">
        <v>838</v>
      </c>
    </row>
    <row r="115" spans="2:2" x14ac:dyDescent="0.2">
      <c r="B115" s="408">
        <v>98116</v>
      </c>
    </row>
    <row r="116" spans="2:2" x14ac:dyDescent="0.2">
      <c r="B116" s="408" t="s">
        <v>1603</v>
      </c>
    </row>
    <row r="117" spans="2:2" x14ac:dyDescent="0.2">
      <c r="B117" s="408" t="str">
        <f>B110&amp;"_"&amp;B111&amp;"@notaol.com"</f>
        <v>Jon_Dap@notaol.com</v>
      </c>
    </row>
    <row r="118" spans="2:2" x14ac:dyDescent="0.2">
      <c r="B118" s="408" t="str">
        <f>B111&amp;"_"&amp;B112&amp;"@notaol.com"</f>
        <v>Dap_5 19th St.@notaol.com</v>
      </c>
    </row>
    <row r="120" spans="2:2" x14ac:dyDescent="0.2">
      <c r="B120" s="408" t="s">
        <v>1566</v>
      </c>
    </row>
    <row r="121" spans="2:2" x14ac:dyDescent="0.2">
      <c r="B121" s="408" t="s">
        <v>1604</v>
      </c>
    </row>
    <row r="122" spans="2:2" x14ac:dyDescent="0.2">
      <c r="B122" s="408" t="s">
        <v>1605</v>
      </c>
    </row>
    <row r="123" spans="2:2" x14ac:dyDescent="0.2">
      <c r="B123" s="408" t="s">
        <v>870</v>
      </c>
    </row>
    <row r="124" spans="2:2" x14ac:dyDescent="0.2">
      <c r="B124" s="408" t="s">
        <v>838</v>
      </c>
    </row>
    <row r="125" spans="2:2" x14ac:dyDescent="0.2">
      <c r="B125" s="408">
        <v>98111</v>
      </c>
    </row>
    <row r="126" spans="2:2" x14ac:dyDescent="0.2">
      <c r="B126" s="408" t="s">
        <v>1606</v>
      </c>
    </row>
    <row r="127" spans="2:2" x14ac:dyDescent="0.2">
      <c r="B127" s="408" t="str">
        <f>B120&amp;"_"&amp;B121&amp;"@notaol.com"</f>
        <v>Steve_Gupis@notaol.com</v>
      </c>
    </row>
    <row r="128" spans="2:2" x14ac:dyDescent="0.2">
      <c r="B128" s="408" t="str">
        <f>B121&amp;"_"&amp;B122&amp;"@notaol.com"</f>
        <v>Gupis_6 17th St.@notaol.com</v>
      </c>
    </row>
    <row r="130" spans="2:2" x14ac:dyDescent="0.2">
      <c r="B130" s="408" t="s">
        <v>1581</v>
      </c>
    </row>
    <row r="131" spans="2:2" x14ac:dyDescent="0.2">
      <c r="B131" s="408" t="s">
        <v>1607</v>
      </c>
    </row>
    <row r="132" spans="2:2" x14ac:dyDescent="0.2">
      <c r="B132" s="408" t="s">
        <v>1608</v>
      </c>
    </row>
    <row r="133" spans="2:2" x14ac:dyDescent="0.2">
      <c r="B133" s="408" t="s">
        <v>870</v>
      </c>
    </row>
    <row r="134" spans="2:2" x14ac:dyDescent="0.2">
      <c r="B134" s="408" t="s">
        <v>838</v>
      </c>
    </row>
    <row r="135" spans="2:2" x14ac:dyDescent="0.2">
      <c r="B135" s="408">
        <v>98104</v>
      </c>
    </row>
    <row r="136" spans="2:2" x14ac:dyDescent="0.2">
      <c r="B136" s="408" t="s">
        <v>1609</v>
      </c>
    </row>
    <row r="137" spans="2:2" x14ac:dyDescent="0.2">
      <c r="B137" s="408" t="str">
        <f>B130&amp;"_"&amp;B131&amp;"@notaol.com"</f>
        <v>Jon_Summi@notaol.com</v>
      </c>
    </row>
    <row r="138" spans="2:2" x14ac:dyDescent="0.2">
      <c r="B138" s="408" t="str">
        <f>B131&amp;"_"&amp;B132&amp;"@notaol.com"</f>
        <v>Summi_4 14th St.@notaol.com</v>
      </c>
    </row>
    <row r="140" spans="2:2" x14ac:dyDescent="0.2">
      <c r="B140" s="408" t="s">
        <v>1577</v>
      </c>
    </row>
    <row r="141" spans="2:2" x14ac:dyDescent="0.2">
      <c r="B141" s="408" t="s">
        <v>1610</v>
      </c>
    </row>
    <row r="142" spans="2:2" x14ac:dyDescent="0.2">
      <c r="B142" s="408" t="s">
        <v>1611</v>
      </c>
    </row>
    <row r="143" spans="2:2" x14ac:dyDescent="0.2">
      <c r="B143" s="408" t="s">
        <v>870</v>
      </c>
    </row>
    <row r="144" spans="2:2" x14ac:dyDescent="0.2">
      <c r="B144" s="408" t="s">
        <v>838</v>
      </c>
    </row>
    <row r="145" spans="2:2" x14ac:dyDescent="0.2">
      <c r="B145" s="408">
        <v>98110</v>
      </c>
    </row>
    <row r="146" spans="2:2" x14ac:dyDescent="0.2">
      <c r="B146" s="408" t="s">
        <v>1612</v>
      </c>
    </row>
    <row r="147" spans="2:2" x14ac:dyDescent="0.2">
      <c r="B147" s="408" t="str">
        <f>B140&amp;"_"&amp;B141&amp;"@notaol.com"</f>
        <v>Sheli_Fun@notaol.com</v>
      </c>
    </row>
    <row r="148" spans="2:2" x14ac:dyDescent="0.2">
      <c r="B148" s="408" t="str">
        <f>B141&amp;"_"&amp;B142&amp;"@notaol.com"</f>
        <v>Fun_7 15th St.@notaol.com</v>
      </c>
    </row>
  </sheetData>
  <pageMargins left="0.75" right="0.75" top="1" bottom="1" header="0.5" footer="0.5"/>
  <pageSetup orientation="portrait" r:id="rId1"/>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79">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8" bestFit="1" customWidth="1"/>
    <col min="2" max="2" width="9.140625" style="408"/>
    <col min="3" max="10" width="16.5703125" style="408" customWidth="1"/>
    <col min="11" max="256" width="9.140625" style="408"/>
    <col min="257" max="257" width="2.85546875" style="408" bestFit="1" customWidth="1"/>
    <col min="258" max="258" width="9.140625" style="408"/>
    <col min="259" max="266" width="16.5703125" style="408" customWidth="1"/>
    <col min="267" max="512" width="9.140625" style="408"/>
    <col min="513" max="513" width="2.85546875" style="408" bestFit="1" customWidth="1"/>
    <col min="514" max="514" width="9.140625" style="408"/>
    <col min="515" max="522" width="16.5703125" style="408" customWidth="1"/>
    <col min="523" max="768" width="9.140625" style="408"/>
    <col min="769" max="769" width="2.85546875" style="408" bestFit="1" customWidth="1"/>
    <col min="770" max="770" width="9.140625" style="408"/>
    <col min="771" max="778" width="16.5703125" style="408" customWidth="1"/>
    <col min="779" max="1024" width="9.140625" style="408"/>
    <col min="1025" max="1025" width="2.85546875" style="408" bestFit="1" customWidth="1"/>
    <col min="1026" max="1026" width="9.140625" style="408"/>
    <col min="1027" max="1034" width="16.5703125" style="408" customWidth="1"/>
    <col min="1035" max="1280" width="9.140625" style="408"/>
    <col min="1281" max="1281" width="2.85546875" style="408" bestFit="1" customWidth="1"/>
    <col min="1282" max="1282" width="9.140625" style="408"/>
    <col min="1283" max="1290" width="16.5703125" style="408" customWidth="1"/>
    <col min="1291" max="1536" width="9.140625" style="408"/>
    <col min="1537" max="1537" width="2.85546875" style="408" bestFit="1" customWidth="1"/>
    <col min="1538" max="1538" width="9.140625" style="408"/>
    <col min="1539" max="1546" width="16.5703125" style="408" customWidth="1"/>
    <col min="1547" max="1792" width="9.140625" style="408"/>
    <col min="1793" max="1793" width="2.85546875" style="408" bestFit="1" customWidth="1"/>
    <col min="1794" max="1794" width="9.140625" style="408"/>
    <col min="1795" max="1802" width="16.5703125" style="408" customWidth="1"/>
    <col min="1803" max="2048" width="9.140625" style="408"/>
    <col min="2049" max="2049" width="2.85546875" style="408" bestFit="1" customWidth="1"/>
    <col min="2050" max="2050" width="9.140625" style="408"/>
    <col min="2051" max="2058" width="16.5703125" style="408" customWidth="1"/>
    <col min="2059" max="2304" width="9.140625" style="408"/>
    <col min="2305" max="2305" width="2.85546875" style="408" bestFit="1" customWidth="1"/>
    <col min="2306" max="2306" width="9.140625" style="408"/>
    <col min="2307" max="2314" width="16.5703125" style="408" customWidth="1"/>
    <col min="2315" max="2560" width="9.140625" style="408"/>
    <col min="2561" max="2561" width="2.85546875" style="408" bestFit="1" customWidth="1"/>
    <col min="2562" max="2562" width="9.140625" style="408"/>
    <col min="2563" max="2570" width="16.5703125" style="408" customWidth="1"/>
    <col min="2571" max="2816" width="9.140625" style="408"/>
    <col min="2817" max="2817" width="2.85546875" style="408" bestFit="1" customWidth="1"/>
    <col min="2818" max="2818" width="9.140625" style="408"/>
    <col min="2819" max="2826" width="16.5703125" style="408" customWidth="1"/>
    <col min="2827" max="3072" width="9.140625" style="408"/>
    <col min="3073" max="3073" width="2.85546875" style="408" bestFit="1" customWidth="1"/>
    <col min="3074" max="3074" width="9.140625" style="408"/>
    <col min="3075" max="3082" width="16.5703125" style="408" customWidth="1"/>
    <col min="3083" max="3328" width="9.140625" style="408"/>
    <col min="3329" max="3329" width="2.85546875" style="408" bestFit="1" customWidth="1"/>
    <col min="3330" max="3330" width="9.140625" style="408"/>
    <col min="3331" max="3338" width="16.5703125" style="408" customWidth="1"/>
    <col min="3339" max="3584" width="9.140625" style="408"/>
    <col min="3585" max="3585" width="2.85546875" style="408" bestFit="1" customWidth="1"/>
    <col min="3586" max="3586" width="9.140625" style="408"/>
    <col min="3587" max="3594" width="16.5703125" style="408" customWidth="1"/>
    <col min="3595" max="3840" width="9.140625" style="408"/>
    <col min="3841" max="3841" width="2.85546875" style="408" bestFit="1" customWidth="1"/>
    <col min="3842" max="3842" width="9.140625" style="408"/>
    <col min="3843" max="3850" width="16.5703125" style="408" customWidth="1"/>
    <col min="3851" max="4096" width="9.140625" style="408"/>
    <col min="4097" max="4097" width="2.85546875" style="408" bestFit="1" customWidth="1"/>
    <col min="4098" max="4098" width="9.140625" style="408"/>
    <col min="4099" max="4106" width="16.5703125" style="408" customWidth="1"/>
    <col min="4107" max="4352" width="9.140625" style="408"/>
    <col min="4353" max="4353" width="2.85546875" style="408" bestFit="1" customWidth="1"/>
    <col min="4354" max="4354" width="9.140625" style="408"/>
    <col min="4355" max="4362" width="16.5703125" style="408" customWidth="1"/>
    <col min="4363" max="4608" width="9.140625" style="408"/>
    <col min="4609" max="4609" width="2.85546875" style="408" bestFit="1" customWidth="1"/>
    <col min="4610" max="4610" width="9.140625" style="408"/>
    <col min="4611" max="4618" width="16.5703125" style="408" customWidth="1"/>
    <col min="4619" max="4864" width="9.140625" style="408"/>
    <col min="4865" max="4865" width="2.85546875" style="408" bestFit="1" customWidth="1"/>
    <col min="4866" max="4866" width="9.140625" style="408"/>
    <col min="4867" max="4874" width="16.5703125" style="408" customWidth="1"/>
    <col min="4875" max="5120" width="9.140625" style="408"/>
    <col min="5121" max="5121" width="2.85546875" style="408" bestFit="1" customWidth="1"/>
    <col min="5122" max="5122" width="9.140625" style="408"/>
    <col min="5123" max="5130" width="16.5703125" style="408" customWidth="1"/>
    <col min="5131" max="5376" width="9.140625" style="408"/>
    <col min="5377" max="5377" width="2.85546875" style="408" bestFit="1" customWidth="1"/>
    <col min="5378" max="5378" width="9.140625" style="408"/>
    <col min="5379" max="5386" width="16.5703125" style="408" customWidth="1"/>
    <col min="5387" max="5632" width="9.140625" style="408"/>
    <col min="5633" max="5633" width="2.85546875" style="408" bestFit="1" customWidth="1"/>
    <col min="5634" max="5634" width="9.140625" style="408"/>
    <col min="5635" max="5642" width="16.5703125" style="408" customWidth="1"/>
    <col min="5643" max="5888" width="9.140625" style="408"/>
    <col min="5889" max="5889" width="2.85546875" style="408" bestFit="1" customWidth="1"/>
    <col min="5890" max="5890" width="9.140625" style="408"/>
    <col min="5891" max="5898" width="16.5703125" style="408" customWidth="1"/>
    <col min="5899" max="6144" width="9.140625" style="408"/>
    <col min="6145" max="6145" width="2.85546875" style="408" bestFit="1" customWidth="1"/>
    <col min="6146" max="6146" width="9.140625" style="408"/>
    <col min="6147" max="6154" width="16.5703125" style="408" customWidth="1"/>
    <col min="6155" max="6400" width="9.140625" style="408"/>
    <col min="6401" max="6401" width="2.85546875" style="408" bestFit="1" customWidth="1"/>
    <col min="6402" max="6402" width="9.140625" style="408"/>
    <col min="6403" max="6410" width="16.5703125" style="408" customWidth="1"/>
    <col min="6411" max="6656" width="9.140625" style="408"/>
    <col min="6657" max="6657" width="2.85546875" style="408" bestFit="1" customWidth="1"/>
    <col min="6658" max="6658" width="9.140625" style="408"/>
    <col min="6659" max="6666" width="16.5703125" style="408" customWidth="1"/>
    <col min="6667" max="6912" width="9.140625" style="408"/>
    <col min="6913" max="6913" width="2.85546875" style="408" bestFit="1" customWidth="1"/>
    <col min="6914" max="6914" width="9.140625" style="408"/>
    <col min="6915" max="6922" width="16.5703125" style="408" customWidth="1"/>
    <col min="6923" max="7168" width="9.140625" style="408"/>
    <col min="7169" max="7169" width="2.85546875" style="408" bestFit="1" customWidth="1"/>
    <col min="7170" max="7170" width="9.140625" style="408"/>
    <col min="7171" max="7178" width="16.5703125" style="408" customWidth="1"/>
    <col min="7179" max="7424" width="9.140625" style="408"/>
    <col min="7425" max="7425" width="2.85546875" style="408" bestFit="1" customWidth="1"/>
    <col min="7426" max="7426" width="9.140625" style="408"/>
    <col min="7427" max="7434" width="16.5703125" style="408" customWidth="1"/>
    <col min="7435" max="7680" width="9.140625" style="408"/>
    <col min="7681" max="7681" width="2.85546875" style="408" bestFit="1" customWidth="1"/>
    <col min="7682" max="7682" width="9.140625" style="408"/>
    <col min="7683" max="7690" width="16.5703125" style="408" customWidth="1"/>
    <col min="7691" max="7936" width="9.140625" style="408"/>
    <col min="7937" max="7937" width="2.85546875" style="408" bestFit="1" customWidth="1"/>
    <col min="7938" max="7938" width="9.140625" style="408"/>
    <col min="7939" max="7946" width="16.5703125" style="408" customWidth="1"/>
    <col min="7947" max="8192" width="9.140625" style="408"/>
    <col min="8193" max="8193" width="2.85546875" style="408" bestFit="1" customWidth="1"/>
    <col min="8194" max="8194" width="9.140625" style="408"/>
    <col min="8195" max="8202" width="16.5703125" style="408" customWidth="1"/>
    <col min="8203" max="8448" width="9.140625" style="408"/>
    <col min="8449" max="8449" width="2.85546875" style="408" bestFit="1" customWidth="1"/>
    <col min="8450" max="8450" width="9.140625" style="408"/>
    <col min="8451" max="8458" width="16.5703125" style="408" customWidth="1"/>
    <col min="8459" max="8704" width="9.140625" style="408"/>
    <col min="8705" max="8705" width="2.85546875" style="408" bestFit="1" customWidth="1"/>
    <col min="8706" max="8706" width="9.140625" style="408"/>
    <col min="8707" max="8714" width="16.5703125" style="408" customWidth="1"/>
    <col min="8715" max="8960" width="9.140625" style="408"/>
    <col min="8961" max="8961" width="2.85546875" style="408" bestFit="1" customWidth="1"/>
    <col min="8962" max="8962" width="9.140625" style="408"/>
    <col min="8963" max="8970" width="16.5703125" style="408" customWidth="1"/>
    <col min="8971" max="9216" width="9.140625" style="408"/>
    <col min="9217" max="9217" width="2.85546875" style="408" bestFit="1" customWidth="1"/>
    <col min="9218" max="9218" width="9.140625" style="408"/>
    <col min="9219" max="9226" width="16.5703125" style="408" customWidth="1"/>
    <col min="9227" max="9472" width="9.140625" style="408"/>
    <col min="9473" max="9473" width="2.85546875" style="408" bestFit="1" customWidth="1"/>
    <col min="9474" max="9474" width="9.140625" style="408"/>
    <col min="9475" max="9482" width="16.5703125" style="408" customWidth="1"/>
    <col min="9483" max="9728" width="9.140625" style="408"/>
    <col min="9729" max="9729" width="2.85546875" style="408" bestFit="1" customWidth="1"/>
    <col min="9730" max="9730" width="9.140625" style="408"/>
    <col min="9731" max="9738" width="16.5703125" style="408" customWidth="1"/>
    <col min="9739" max="9984" width="9.140625" style="408"/>
    <col min="9985" max="9985" width="2.85546875" style="408" bestFit="1" customWidth="1"/>
    <col min="9986" max="9986" width="9.140625" style="408"/>
    <col min="9987" max="9994" width="16.5703125" style="408" customWidth="1"/>
    <col min="9995" max="10240" width="9.140625" style="408"/>
    <col min="10241" max="10241" width="2.85546875" style="408" bestFit="1" customWidth="1"/>
    <col min="10242" max="10242" width="9.140625" style="408"/>
    <col min="10243" max="10250" width="16.5703125" style="408" customWidth="1"/>
    <col min="10251" max="10496" width="9.140625" style="408"/>
    <col min="10497" max="10497" width="2.85546875" style="408" bestFit="1" customWidth="1"/>
    <col min="10498" max="10498" width="9.140625" style="408"/>
    <col min="10499" max="10506" width="16.5703125" style="408" customWidth="1"/>
    <col min="10507" max="10752" width="9.140625" style="408"/>
    <col min="10753" max="10753" width="2.85546875" style="408" bestFit="1" customWidth="1"/>
    <col min="10754" max="10754" width="9.140625" style="408"/>
    <col min="10755" max="10762" width="16.5703125" style="408" customWidth="1"/>
    <col min="10763" max="11008" width="9.140625" style="408"/>
    <col min="11009" max="11009" width="2.85546875" style="408" bestFit="1" customWidth="1"/>
    <col min="11010" max="11010" width="9.140625" style="408"/>
    <col min="11011" max="11018" width="16.5703125" style="408" customWidth="1"/>
    <col min="11019" max="11264" width="9.140625" style="408"/>
    <col min="11265" max="11265" width="2.85546875" style="408" bestFit="1" customWidth="1"/>
    <col min="11266" max="11266" width="9.140625" style="408"/>
    <col min="11267" max="11274" width="16.5703125" style="408" customWidth="1"/>
    <col min="11275" max="11520" width="9.140625" style="408"/>
    <col min="11521" max="11521" width="2.85546875" style="408" bestFit="1" customWidth="1"/>
    <col min="11522" max="11522" width="9.140625" style="408"/>
    <col min="11523" max="11530" width="16.5703125" style="408" customWidth="1"/>
    <col min="11531" max="11776" width="9.140625" style="408"/>
    <col min="11777" max="11777" width="2.85546875" style="408" bestFit="1" customWidth="1"/>
    <col min="11778" max="11778" width="9.140625" style="408"/>
    <col min="11779" max="11786" width="16.5703125" style="408" customWidth="1"/>
    <col min="11787" max="12032" width="9.140625" style="408"/>
    <col min="12033" max="12033" width="2.85546875" style="408" bestFit="1" customWidth="1"/>
    <col min="12034" max="12034" width="9.140625" style="408"/>
    <col min="12035" max="12042" width="16.5703125" style="408" customWidth="1"/>
    <col min="12043" max="12288" width="9.140625" style="408"/>
    <col min="12289" max="12289" width="2.85546875" style="408" bestFit="1" customWidth="1"/>
    <col min="12290" max="12290" width="9.140625" style="408"/>
    <col min="12291" max="12298" width="16.5703125" style="408" customWidth="1"/>
    <col min="12299" max="12544" width="9.140625" style="408"/>
    <col min="12545" max="12545" width="2.85546875" style="408" bestFit="1" customWidth="1"/>
    <col min="12546" max="12546" width="9.140625" style="408"/>
    <col min="12547" max="12554" width="16.5703125" style="408" customWidth="1"/>
    <col min="12555" max="12800" width="9.140625" style="408"/>
    <col min="12801" max="12801" width="2.85546875" style="408" bestFit="1" customWidth="1"/>
    <col min="12802" max="12802" width="9.140625" style="408"/>
    <col min="12803" max="12810" width="16.5703125" style="408" customWidth="1"/>
    <col min="12811" max="13056" width="9.140625" style="408"/>
    <col min="13057" max="13057" width="2.85546875" style="408" bestFit="1" customWidth="1"/>
    <col min="13058" max="13058" width="9.140625" style="408"/>
    <col min="13059" max="13066" width="16.5703125" style="408" customWidth="1"/>
    <col min="13067" max="13312" width="9.140625" style="408"/>
    <col min="13313" max="13313" width="2.85546875" style="408" bestFit="1" customWidth="1"/>
    <col min="13314" max="13314" width="9.140625" style="408"/>
    <col min="13315" max="13322" width="16.5703125" style="408" customWidth="1"/>
    <col min="13323" max="13568" width="9.140625" style="408"/>
    <col min="13569" max="13569" width="2.85546875" style="408" bestFit="1" customWidth="1"/>
    <col min="13570" max="13570" width="9.140625" style="408"/>
    <col min="13571" max="13578" width="16.5703125" style="408" customWidth="1"/>
    <col min="13579" max="13824" width="9.140625" style="408"/>
    <col min="13825" max="13825" width="2.85546875" style="408" bestFit="1" customWidth="1"/>
    <col min="13826" max="13826" width="9.140625" style="408"/>
    <col min="13827" max="13834" width="16.5703125" style="408" customWidth="1"/>
    <col min="13835" max="14080" width="9.140625" style="408"/>
    <col min="14081" max="14081" width="2.85546875" style="408" bestFit="1" customWidth="1"/>
    <col min="14082" max="14082" width="9.140625" style="408"/>
    <col min="14083" max="14090" width="16.5703125" style="408" customWidth="1"/>
    <col min="14091" max="14336" width="9.140625" style="408"/>
    <col min="14337" max="14337" width="2.85546875" style="408" bestFit="1" customWidth="1"/>
    <col min="14338" max="14338" width="9.140625" style="408"/>
    <col min="14339" max="14346" width="16.5703125" style="408" customWidth="1"/>
    <col min="14347" max="14592" width="9.140625" style="408"/>
    <col min="14593" max="14593" width="2.85546875" style="408" bestFit="1" customWidth="1"/>
    <col min="14594" max="14594" width="9.140625" style="408"/>
    <col min="14595" max="14602" width="16.5703125" style="408" customWidth="1"/>
    <col min="14603" max="14848" width="9.140625" style="408"/>
    <col min="14849" max="14849" width="2.85546875" style="408" bestFit="1" customWidth="1"/>
    <col min="14850" max="14850" width="9.140625" style="408"/>
    <col min="14851" max="14858" width="16.5703125" style="408" customWidth="1"/>
    <col min="14859" max="15104" width="9.140625" style="408"/>
    <col min="15105" max="15105" width="2.85546875" style="408" bestFit="1" customWidth="1"/>
    <col min="15106" max="15106" width="9.140625" style="408"/>
    <col min="15107" max="15114" width="16.5703125" style="408" customWidth="1"/>
    <col min="15115" max="15360" width="9.140625" style="408"/>
    <col min="15361" max="15361" width="2.85546875" style="408" bestFit="1" customWidth="1"/>
    <col min="15362" max="15362" width="9.140625" style="408"/>
    <col min="15363" max="15370" width="16.5703125" style="408" customWidth="1"/>
    <col min="15371" max="15616" width="9.140625" style="408"/>
    <col min="15617" max="15617" width="2.85546875" style="408" bestFit="1" customWidth="1"/>
    <col min="15618" max="15618" width="9.140625" style="408"/>
    <col min="15619" max="15626" width="16.5703125" style="408" customWidth="1"/>
    <col min="15627" max="15872" width="9.140625" style="408"/>
    <col min="15873" max="15873" width="2.85546875" style="408" bestFit="1" customWidth="1"/>
    <col min="15874" max="15874" width="9.140625" style="408"/>
    <col min="15875" max="15882" width="16.5703125" style="408" customWidth="1"/>
    <col min="15883" max="16128" width="9.140625" style="408"/>
    <col min="16129" max="16129" width="2.85546875" style="408" bestFit="1" customWidth="1"/>
    <col min="16130" max="16130" width="9.140625" style="408"/>
    <col min="16131" max="16138" width="16.5703125" style="408" customWidth="1"/>
    <col min="16139" max="16384" width="9.140625" style="408"/>
  </cols>
  <sheetData>
    <row r="1" spans="1:10" ht="25.5" x14ac:dyDescent="0.2">
      <c r="A1" s="410" t="str">
        <f>ROWS(A$1:A1)&amp;")"</f>
        <v>1)</v>
      </c>
      <c r="B1" s="411" t="s">
        <v>1563</v>
      </c>
      <c r="C1" s="411"/>
      <c r="D1" s="411"/>
      <c r="E1" s="411"/>
    </row>
    <row r="2" spans="1:10" ht="25.5" x14ac:dyDescent="0.2">
      <c r="A2" s="410" t="str">
        <f>ROWS(A$1:A2)&amp;")"</f>
        <v>2)</v>
      </c>
      <c r="B2" s="411" t="s">
        <v>1613</v>
      </c>
      <c r="C2" s="411"/>
      <c r="D2" s="411"/>
      <c r="E2" s="411"/>
    </row>
    <row r="3" spans="1:10" ht="38.25" x14ac:dyDescent="0.2">
      <c r="A3" s="410" t="str">
        <f>ROWS(A$1:A3)&amp;")"</f>
        <v>3)</v>
      </c>
      <c r="B3" s="411" t="s">
        <v>1559</v>
      </c>
      <c r="C3" s="411"/>
      <c r="D3" s="411"/>
      <c r="E3" s="411"/>
    </row>
    <row r="4" spans="1:10" ht="51" x14ac:dyDescent="0.2">
      <c r="A4" s="410" t="str">
        <f>ROWS(A$1:A4)&amp;")"</f>
        <v>4)</v>
      </c>
      <c r="B4" s="411" t="s">
        <v>1564</v>
      </c>
      <c r="C4" s="411"/>
      <c r="D4" s="411"/>
      <c r="E4" s="411"/>
    </row>
    <row r="5" spans="1:10" x14ac:dyDescent="0.2">
      <c r="A5" s="410" t="str">
        <f>ROWS(A$1:A5)&amp;")"</f>
        <v>5)</v>
      </c>
      <c r="B5" s="414" t="s">
        <v>1561</v>
      </c>
      <c r="C5" s="411"/>
      <c r="D5" s="411"/>
      <c r="E5" s="411"/>
    </row>
    <row r="6" spans="1:10" ht="63.75" x14ac:dyDescent="0.2">
      <c r="A6" s="410" t="str">
        <f>ROWS(A$1:A6)&amp;")"</f>
        <v>6)</v>
      </c>
      <c r="B6" s="414" t="s">
        <v>1562</v>
      </c>
      <c r="C6" s="411"/>
      <c r="D6" s="411"/>
      <c r="E6" s="411"/>
    </row>
    <row r="8" spans="1:10" x14ac:dyDescent="0.2">
      <c r="B8" s="415" t="s">
        <v>129</v>
      </c>
      <c r="C8" s="415" t="s">
        <v>130</v>
      </c>
      <c r="D8" s="415" t="s">
        <v>834</v>
      </c>
      <c r="E8" s="415" t="s">
        <v>835</v>
      </c>
      <c r="F8" s="415" t="s">
        <v>836</v>
      </c>
      <c r="G8" s="415" t="s">
        <v>837</v>
      </c>
      <c r="H8" s="415" t="s">
        <v>1565</v>
      </c>
      <c r="I8" s="415" t="s">
        <v>372</v>
      </c>
      <c r="J8" s="415" t="s">
        <v>373</v>
      </c>
    </row>
    <row r="10" spans="1:10" x14ac:dyDescent="0.2">
      <c r="B10" s="408" t="s">
        <v>1566</v>
      </c>
    </row>
    <row r="11" spans="1:10" x14ac:dyDescent="0.2">
      <c r="B11" s="408" t="s">
        <v>7</v>
      </c>
    </row>
    <row r="12" spans="1:10" x14ac:dyDescent="0.2">
      <c r="B12" s="408" t="s">
        <v>1567</v>
      </c>
    </row>
    <row r="13" spans="1:10" x14ac:dyDescent="0.2">
      <c r="B13" s="408" t="s">
        <v>870</v>
      </c>
    </row>
    <row r="14" spans="1:10" x14ac:dyDescent="0.2">
      <c r="B14" s="408" t="s">
        <v>838</v>
      </c>
    </row>
    <row r="15" spans="1:10" x14ac:dyDescent="0.2">
      <c r="B15" s="408">
        <v>98104</v>
      </c>
    </row>
    <row r="16" spans="1:10" x14ac:dyDescent="0.2">
      <c r="B16" s="408" t="s">
        <v>1568</v>
      </c>
    </row>
    <row r="17" spans="2:2" x14ac:dyDescent="0.2">
      <c r="B17" s="408" t="str">
        <f>B10&amp;"_"&amp;B11&amp;"@notaol.com"</f>
        <v>Steve_Chin@notaol.com</v>
      </c>
    </row>
    <row r="18" spans="2:2" x14ac:dyDescent="0.2">
      <c r="B18" s="408" t="str">
        <f>B11&amp;"_"&amp;B12&amp;"@notaol.com"</f>
        <v>Chin_14 17th St.@notaol.com</v>
      </c>
    </row>
    <row r="20" spans="2:2" x14ac:dyDescent="0.2">
      <c r="B20" s="408" t="s">
        <v>1569</v>
      </c>
    </row>
    <row r="21" spans="2:2" x14ac:dyDescent="0.2">
      <c r="B21" s="408" t="s">
        <v>1570</v>
      </c>
    </row>
    <row r="22" spans="2:2" x14ac:dyDescent="0.2">
      <c r="B22" s="408" t="s">
        <v>1571</v>
      </c>
    </row>
    <row r="23" spans="2:2" x14ac:dyDescent="0.2">
      <c r="B23" s="408" t="s">
        <v>870</v>
      </c>
    </row>
    <row r="24" spans="2:2" x14ac:dyDescent="0.2">
      <c r="B24" s="408" t="s">
        <v>838</v>
      </c>
    </row>
    <row r="25" spans="2:2" x14ac:dyDescent="0.2">
      <c r="B25" s="408">
        <v>98106</v>
      </c>
    </row>
    <row r="26" spans="2:2" x14ac:dyDescent="0.2">
      <c r="B26" s="408" t="s">
        <v>1572</v>
      </c>
    </row>
    <row r="27" spans="2:2" x14ac:dyDescent="0.2">
      <c r="B27" s="408" t="str">
        <f>B20&amp;"_"&amp;B21&amp;"@notaol.com"</f>
        <v>Troun_Tenn@notaol.com</v>
      </c>
    </row>
    <row r="28" spans="2:2" x14ac:dyDescent="0.2">
      <c r="B28" s="408" t="str">
        <f>B21&amp;"_"&amp;B22&amp;"@notaol.com"</f>
        <v>Tenn_6 19th St.@notaol.com</v>
      </c>
    </row>
    <row r="30" spans="2:2" x14ac:dyDescent="0.2">
      <c r="B30" s="408" t="s">
        <v>1573</v>
      </c>
    </row>
    <row r="31" spans="2:2" x14ac:dyDescent="0.2">
      <c r="B31" s="408" t="s">
        <v>1574</v>
      </c>
    </row>
    <row r="32" spans="2:2" x14ac:dyDescent="0.2">
      <c r="B32" s="408" t="s">
        <v>1575</v>
      </c>
    </row>
    <row r="33" spans="2:2" x14ac:dyDescent="0.2">
      <c r="B33" s="408" t="s">
        <v>870</v>
      </c>
    </row>
    <row r="34" spans="2:2" x14ac:dyDescent="0.2">
      <c r="B34" s="408" t="s">
        <v>838</v>
      </c>
    </row>
    <row r="35" spans="2:2" x14ac:dyDescent="0.2">
      <c r="B35" s="408">
        <v>98117</v>
      </c>
    </row>
    <row r="36" spans="2:2" x14ac:dyDescent="0.2">
      <c r="B36" s="408" t="s">
        <v>1576</v>
      </c>
    </row>
    <row r="37" spans="2:2" x14ac:dyDescent="0.2">
      <c r="B37" s="408" t="str">
        <f>B30&amp;"_"&amp;B31&amp;"@notaol.com"</f>
        <v>Rhond_Tradfren@notaol.com</v>
      </c>
    </row>
    <row r="38" spans="2:2" x14ac:dyDescent="0.2">
      <c r="B38" s="408" t="str">
        <f>B31&amp;"_"&amp;B32&amp;"@notaol.com"</f>
        <v>Tradfren_10 13th St.@notaol.com</v>
      </c>
    </row>
    <row r="40" spans="2:2" x14ac:dyDescent="0.2">
      <c r="B40" s="408" t="s">
        <v>1577</v>
      </c>
    </row>
    <row r="41" spans="2:2" x14ac:dyDescent="0.2">
      <c r="B41" s="408" t="s">
        <v>1578</v>
      </c>
    </row>
    <row r="42" spans="2:2" x14ac:dyDescent="0.2">
      <c r="B42" s="408" t="s">
        <v>1579</v>
      </c>
    </row>
    <row r="43" spans="2:2" x14ac:dyDescent="0.2">
      <c r="B43" s="408" t="s">
        <v>870</v>
      </c>
    </row>
    <row r="44" spans="2:2" x14ac:dyDescent="0.2">
      <c r="B44" s="408" t="s">
        <v>838</v>
      </c>
    </row>
    <row r="45" spans="2:2" x14ac:dyDescent="0.2">
      <c r="B45" s="408">
        <v>98111</v>
      </c>
    </row>
    <row r="46" spans="2:2" x14ac:dyDescent="0.2">
      <c r="B46" s="408" t="s">
        <v>1580</v>
      </c>
    </row>
    <row r="47" spans="2:2" x14ac:dyDescent="0.2">
      <c r="B47" s="408" t="str">
        <f>B40&amp;"_"&amp;B41&amp;"@notaol.com"</f>
        <v>Sheli_Das@notaol.com</v>
      </c>
    </row>
    <row r="48" spans="2:2" x14ac:dyDescent="0.2">
      <c r="B48" s="408" t="str">
        <f>B41&amp;"_"&amp;B42&amp;"@notaol.com"</f>
        <v>Das_2 15th St.@notaol.com</v>
      </c>
    </row>
    <row r="50" spans="2:2" x14ac:dyDescent="0.2">
      <c r="B50" s="408" t="s">
        <v>1581</v>
      </c>
    </row>
    <row r="51" spans="2:2" x14ac:dyDescent="0.2">
      <c r="B51" s="408" t="s">
        <v>1582</v>
      </c>
    </row>
    <row r="52" spans="2:2" x14ac:dyDescent="0.2">
      <c r="B52" s="408" t="s">
        <v>1583</v>
      </c>
    </row>
    <row r="53" spans="2:2" x14ac:dyDescent="0.2">
      <c r="B53" s="408" t="s">
        <v>870</v>
      </c>
    </row>
    <row r="54" spans="2:2" x14ac:dyDescent="0.2">
      <c r="B54" s="408" t="s">
        <v>838</v>
      </c>
    </row>
    <row r="55" spans="2:2" x14ac:dyDescent="0.2">
      <c r="B55" s="408">
        <v>98114</v>
      </c>
    </row>
    <row r="56" spans="2:2" x14ac:dyDescent="0.2">
      <c r="B56" s="408" t="s">
        <v>1584</v>
      </c>
    </row>
    <row r="57" spans="2:2" x14ac:dyDescent="0.2">
      <c r="B57" s="408" t="str">
        <f>B50&amp;"_"&amp;B51&amp;"@notaol.com"</f>
        <v>Jon_Teddy@notaol.com</v>
      </c>
    </row>
    <row r="58" spans="2:2" x14ac:dyDescent="0.2">
      <c r="B58" s="408" t="str">
        <f>B51&amp;"_"&amp;B52&amp;"@notaol.com"</f>
        <v>Teddy_3 17th St.@notaol.com</v>
      </c>
    </row>
    <row r="60" spans="2:2" x14ac:dyDescent="0.2">
      <c r="B60" s="408" t="s">
        <v>1585</v>
      </c>
    </row>
    <row r="61" spans="2:2" x14ac:dyDescent="0.2">
      <c r="B61" s="408" t="s">
        <v>1586</v>
      </c>
    </row>
    <row r="62" spans="2:2" x14ac:dyDescent="0.2">
      <c r="B62" s="408" t="s">
        <v>1587</v>
      </c>
    </row>
    <row r="63" spans="2:2" x14ac:dyDescent="0.2">
      <c r="B63" s="408" t="s">
        <v>870</v>
      </c>
    </row>
    <row r="64" spans="2:2" x14ac:dyDescent="0.2">
      <c r="B64" s="408" t="s">
        <v>838</v>
      </c>
    </row>
    <row r="65" spans="2:2" x14ac:dyDescent="0.2">
      <c r="B65" s="408">
        <v>98114</v>
      </c>
    </row>
    <row r="66" spans="2:2" x14ac:dyDescent="0.2">
      <c r="B66" s="408" t="s">
        <v>1588</v>
      </c>
    </row>
    <row r="67" spans="2:2" x14ac:dyDescent="0.2">
      <c r="B67" s="408" t="str">
        <f>B60&amp;"_"&amp;B61&amp;"@notaol.com"</f>
        <v>Jeri_Yessler@notaol.com</v>
      </c>
    </row>
    <row r="68" spans="2:2" x14ac:dyDescent="0.2">
      <c r="B68" s="408" t="str">
        <f>B61&amp;"_"&amp;B62&amp;"@notaol.com"</f>
        <v>Yessler_12 16th St.@notaol.com</v>
      </c>
    </row>
    <row r="70" spans="2:2" x14ac:dyDescent="0.2">
      <c r="B70" s="408" t="s">
        <v>1589</v>
      </c>
    </row>
    <row r="71" spans="2:2" x14ac:dyDescent="0.2">
      <c r="B71" s="408" t="s">
        <v>1590</v>
      </c>
    </row>
    <row r="72" spans="2:2" x14ac:dyDescent="0.2">
      <c r="B72" s="408" t="s">
        <v>1591</v>
      </c>
    </row>
    <row r="73" spans="2:2" x14ac:dyDescent="0.2">
      <c r="B73" s="408" t="s">
        <v>870</v>
      </c>
    </row>
    <row r="74" spans="2:2" x14ac:dyDescent="0.2">
      <c r="B74" s="408" t="s">
        <v>838</v>
      </c>
    </row>
    <row r="75" spans="2:2" x14ac:dyDescent="0.2">
      <c r="B75" s="408">
        <v>98113</v>
      </c>
    </row>
    <row r="76" spans="2:2" x14ac:dyDescent="0.2">
      <c r="B76" s="408" t="s">
        <v>1592</v>
      </c>
    </row>
    <row r="77" spans="2:2" x14ac:dyDescent="0.2">
      <c r="B77" s="408" t="str">
        <f>B70&amp;"_"&amp;B71&amp;"@notaol.com"</f>
        <v>Luke_Suix@notaol.com</v>
      </c>
    </row>
    <row r="78" spans="2:2" x14ac:dyDescent="0.2">
      <c r="B78" s="408" t="str">
        <f>B71&amp;"_"&amp;B72&amp;"@notaol.com"</f>
        <v>Suix_8 19th St.@notaol.com</v>
      </c>
    </row>
    <row r="80" spans="2:2" x14ac:dyDescent="0.2">
      <c r="B80" s="408" t="s">
        <v>1589</v>
      </c>
    </row>
    <row r="81" spans="2:2" x14ac:dyDescent="0.2">
      <c r="B81" s="408" t="s">
        <v>1593</v>
      </c>
    </row>
    <row r="82" spans="2:2" x14ac:dyDescent="0.2">
      <c r="B82" s="408" t="s">
        <v>1594</v>
      </c>
    </row>
    <row r="83" spans="2:2" x14ac:dyDescent="0.2">
      <c r="B83" s="408" t="s">
        <v>870</v>
      </c>
    </row>
    <row r="84" spans="2:2" x14ac:dyDescent="0.2">
      <c r="B84" s="408" t="s">
        <v>838</v>
      </c>
    </row>
    <row r="85" spans="2:2" x14ac:dyDescent="0.2">
      <c r="B85" s="408">
        <v>98108</v>
      </c>
    </row>
    <row r="86" spans="2:2" x14ac:dyDescent="0.2">
      <c r="B86" s="408" t="s">
        <v>1595</v>
      </c>
    </row>
    <row r="87" spans="2:2" x14ac:dyDescent="0.2">
      <c r="B87" s="408" t="str">
        <f>B80&amp;"_"&amp;B81&amp;"@notaol.com"</f>
        <v>Luke_Red@notaol.com</v>
      </c>
    </row>
    <row r="88" spans="2:2" x14ac:dyDescent="0.2">
      <c r="B88" s="408" t="str">
        <f>B81&amp;"_"&amp;B82&amp;"@notaol.com"</f>
        <v>Red_15 16th St.@notaol.com</v>
      </c>
    </row>
    <row r="90" spans="2:2" x14ac:dyDescent="0.2">
      <c r="B90" s="408" t="s">
        <v>1585</v>
      </c>
    </row>
    <row r="91" spans="2:2" x14ac:dyDescent="0.2">
      <c r="B91" s="408" t="s">
        <v>1596</v>
      </c>
    </row>
    <row r="92" spans="2:2" x14ac:dyDescent="0.2">
      <c r="B92" s="408" t="s">
        <v>1597</v>
      </c>
    </row>
    <row r="93" spans="2:2" x14ac:dyDescent="0.2">
      <c r="B93" s="408" t="s">
        <v>870</v>
      </c>
    </row>
    <row r="94" spans="2:2" x14ac:dyDescent="0.2">
      <c r="B94" s="408" t="s">
        <v>838</v>
      </c>
    </row>
    <row r="95" spans="2:2" x14ac:dyDescent="0.2">
      <c r="B95" s="408">
        <v>98112</v>
      </c>
    </row>
    <row r="96" spans="2:2" x14ac:dyDescent="0.2">
      <c r="B96" s="408" t="s">
        <v>1598</v>
      </c>
    </row>
    <row r="97" spans="2:2" x14ac:dyDescent="0.2">
      <c r="B97" s="408" t="str">
        <f>B90&amp;"_"&amp;B91&amp;"@notaol.com"</f>
        <v>Jeri_Smythe@notaol.com</v>
      </c>
    </row>
    <row r="98" spans="2:2" x14ac:dyDescent="0.2">
      <c r="B98" s="408" t="str">
        <f>B91&amp;"_"&amp;B92&amp;"@notaol.com"</f>
        <v>Smythe_14 19th St.@notaol.com</v>
      </c>
    </row>
    <row r="100" spans="2:2" x14ac:dyDescent="0.2">
      <c r="B100" s="408" t="s">
        <v>1589</v>
      </c>
    </row>
    <row r="101" spans="2:2" x14ac:dyDescent="0.2">
      <c r="B101" s="408" t="s">
        <v>1500</v>
      </c>
    </row>
    <row r="102" spans="2:2" x14ac:dyDescent="0.2">
      <c r="B102" s="408" t="s">
        <v>1599</v>
      </c>
    </row>
    <row r="103" spans="2:2" x14ac:dyDescent="0.2">
      <c r="B103" s="408" t="s">
        <v>870</v>
      </c>
    </row>
    <row r="104" spans="2:2" x14ac:dyDescent="0.2">
      <c r="B104" s="408" t="s">
        <v>838</v>
      </c>
    </row>
    <row r="105" spans="2:2" x14ac:dyDescent="0.2">
      <c r="B105" s="408">
        <v>98106</v>
      </c>
    </row>
    <row r="106" spans="2:2" x14ac:dyDescent="0.2">
      <c r="B106" s="408" t="s">
        <v>1600</v>
      </c>
    </row>
    <row r="107" spans="2:2" x14ac:dyDescent="0.2">
      <c r="B107" s="408" t="str">
        <f>B100&amp;"_"&amp;B101&amp;"@notaol.com"</f>
        <v>Luke_Rad@notaol.com</v>
      </c>
    </row>
    <row r="108" spans="2:2" x14ac:dyDescent="0.2">
      <c r="B108" s="408" t="str">
        <f>B101&amp;"_"&amp;B102&amp;"@notaol.com"</f>
        <v>Rad_3 16th St.@notaol.com</v>
      </c>
    </row>
    <row r="110" spans="2:2" x14ac:dyDescent="0.2">
      <c r="B110" s="408" t="s">
        <v>1581</v>
      </c>
    </row>
    <row r="111" spans="2:2" x14ac:dyDescent="0.2">
      <c r="B111" s="408" t="s">
        <v>1601</v>
      </c>
    </row>
    <row r="112" spans="2:2" x14ac:dyDescent="0.2">
      <c r="B112" s="408" t="s">
        <v>1602</v>
      </c>
    </row>
    <row r="113" spans="2:2" x14ac:dyDescent="0.2">
      <c r="B113" s="408" t="s">
        <v>870</v>
      </c>
    </row>
    <row r="114" spans="2:2" x14ac:dyDescent="0.2">
      <c r="B114" s="408" t="s">
        <v>838</v>
      </c>
    </row>
    <row r="115" spans="2:2" x14ac:dyDescent="0.2">
      <c r="B115" s="408">
        <v>98116</v>
      </c>
    </row>
    <row r="116" spans="2:2" x14ac:dyDescent="0.2">
      <c r="B116" s="408" t="s">
        <v>1603</v>
      </c>
    </row>
    <row r="117" spans="2:2" x14ac:dyDescent="0.2">
      <c r="B117" s="408" t="str">
        <f>B110&amp;"_"&amp;B111&amp;"@notaol.com"</f>
        <v>Jon_Dap@notaol.com</v>
      </c>
    </row>
    <row r="118" spans="2:2" x14ac:dyDescent="0.2">
      <c r="B118" s="408" t="str">
        <f>B111&amp;"_"&amp;B112&amp;"@notaol.com"</f>
        <v>Dap_5 19th St.@notaol.com</v>
      </c>
    </row>
    <row r="120" spans="2:2" x14ac:dyDescent="0.2">
      <c r="B120" s="408" t="s">
        <v>1566</v>
      </c>
    </row>
    <row r="121" spans="2:2" x14ac:dyDescent="0.2">
      <c r="B121" s="408" t="s">
        <v>1604</v>
      </c>
    </row>
    <row r="122" spans="2:2" x14ac:dyDescent="0.2">
      <c r="B122" s="408" t="s">
        <v>1605</v>
      </c>
    </row>
    <row r="123" spans="2:2" x14ac:dyDescent="0.2">
      <c r="B123" s="408" t="s">
        <v>870</v>
      </c>
    </row>
    <row r="124" spans="2:2" x14ac:dyDescent="0.2">
      <c r="B124" s="408" t="s">
        <v>838</v>
      </c>
    </row>
    <row r="125" spans="2:2" x14ac:dyDescent="0.2">
      <c r="B125" s="408">
        <v>98111</v>
      </c>
    </row>
    <row r="126" spans="2:2" x14ac:dyDescent="0.2">
      <c r="B126" s="408" t="s">
        <v>1606</v>
      </c>
    </row>
    <row r="127" spans="2:2" x14ac:dyDescent="0.2">
      <c r="B127" s="408" t="str">
        <f>B120&amp;"_"&amp;B121&amp;"@notaol.com"</f>
        <v>Steve_Gupis@notaol.com</v>
      </c>
    </row>
    <row r="128" spans="2:2" x14ac:dyDescent="0.2">
      <c r="B128" s="408" t="str">
        <f>B121&amp;"_"&amp;B122&amp;"@notaol.com"</f>
        <v>Gupis_6 17th St.@notaol.com</v>
      </c>
    </row>
    <row r="130" spans="2:2" x14ac:dyDescent="0.2">
      <c r="B130" s="408" t="s">
        <v>1581</v>
      </c>
    </row>
    <row r="131" spans="2:2" x14ac:dyDescent="0.2">
      <c r="B131" s="408" t="s">
        <v>1607</v>
      </c>
    </row>
    <row r="132" spans="2:2" x14ac:dyDescent="0.2">
      <c r="B132" s="408" t="s">
        <v>1608</v>
      </c>
    </row>
    <row r="133" spans="2:2" x14ac:dyDescent="0.2">
      <c r="B133" s="408" t="s">
        <v>870</v>
      </c>
    </row>
    <row r="134" spans="2:2" x14ac:dyDescent="0.2">
      <c r="B134" s="408" t="s">
        <v>838</v>
      </c>
    </row>
    <row r="135" spans="2:2" x14ac:dyDescent="0.2">
      <c r="B135" s="408">
        <v>98104</v>
      </c>
    </row>
    <row r="136" spans="2:2" x14ac:dyDescent="0.2">
      <c r="B136" s="408" t="s">
        <v>1609</v>
      </c>
    </row>
    <row r="137" spans="2:2" x14ac:dyDescent="0.2">
      <c r="B137" s="408" t="str">
        <f>B130&amp;"_"&amp;B131&amp;"@notaol.com"</f>
        <v>Jon_Summi@notaol.com</v>
      </c>
    </row>
    <row r="138" spans="2:2" x14ac:dyDescent="0.2">
      <c r="B138" s="408" t="str">
        <f>B131&amp;"_"&amp;B132&amp;"@notaol.com"</f>
        <v>Summi_4 14th St.@notaol.com</v>
      </c>
    </row>
    <row r="140" spans="2:2" x14ac:dyDescent="0.2">
      <c r="B140" s="408" t="s">
        <v>1577</v>
      </c>
    </row>
    <row r="141" spans="2:2" x14ac:dyDescent="0.2">
      <c r="B141" s="408" t="s">
        <v>1610</v>
      </c>
    </row>
    <row r="142" spans="2:2" x14ac:dyDescent="0.2">
      <c r="B142" s="408" t="s">
        <v>1611</v>
      </c>
    </row>
    <row r="143" spans="2:2" x14ac:dyDescent="0.2">
      <c r="B143" s="408" t="s">
        <v>870</v>
      </c>
    </row>
    <row r="144" spans="2:2" x14ac:dyDescent="0.2">
      <c r="B144" s="408" t="s">
        <v>838</v>
      </c>
    </row>
    <row r="145" spans="2:2" x14ac:dyDescent="0.2">
      <c r="B145" s="408">
        <v>98110</v>
      </c>
    </row>
    <row r="146" spans="2:2" x14ac:dyDescent="0.2">
      <c r="B146" s="408" t="s">
        <v>1612</v>
      </c>
    </row>
    <row r="147" spans="2:2" x14ac:dyDescent="0.2">
      <c r="B147" s="408" t="str">
        <f>B140&amp;"_"&amp;B141&amp;"@notaol.com"</f>
        <v>Sheli_Fun@notaol.com</v>
      </c>
    </row>
    <row r="148" spans="2:2" x14ac:dyDescent="0.2">
      <c r="B148" s="408" t="str">
        <f>B141&amp;"_"&amp;B142&amp;"@notaol.com"</f>
        <v>Fun_7 15th St.@notaol.com</v>
      </c>
    </row>
  </sheetData>
  <pageMargins left="0.75" right="0.75" top="1" bottom="1" header="0.5" footer="0.5"/>
  <pageSetup orientation="portrait" r:id="rId1"/>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80">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8" bestFit="1" customWidth="1"/>
    <col min="2" max="2" width="9.140625" style="408"/>
    <col min="3" max="10" width="16.5703125" style="408" customWidth="1"/>
    <col min="11" max="256" width="9.140625" style="408"/>
    <col min="257" max="257" width="2.85546875" style="408" bestFit="1" customWidth="1"/>
    <col min="258" max="258" width="9.140625" style="408"/>
    <col min="259" max="266" width="16.5703125" style="408" customWidth="1"/>
    <col min="267" max="512" width="9.140625" style="408"/>
    <col min="513" max="513" width="2.85546875" style="408" bestFit="1" customWidth="1"/>
    <col min="514" max="514" width="9.140625" style="408"/>
    <col min="515" max="522" width="16.5703125" style="408" customWidth="1"/>
    <col min="523" max="768" width="9.140625" style="408"/>
    <col min="769" max="769" width="2.85546875" style="408" bestFit="1" customWidth="1"/>
    <col min="770" max="770" width="9.140625" style="408"/>
    <col min="771" max="778" width="16.5703125" style="408" customWidth="1"/>
    <col min="779" max="1024" width="9.140625" style="408"/>
    <col min="1025" max="1025" width="2.85546875" style="408" bestFit="1" customWidth="1"/>
    <col min="1026" max="1026" width="9.140625" style="408"/>
    <col min="1027" max="1034" width="16.5703125" style="408" customWidth="1"/>
    <col min="1035" max="1280" width="9.140625" style="408"/>
    <col min="1281" max="1281" width="2.85546875" style="408" bestFit="1" customWidth="1"/>
    <col min="1282" max="1282" width="9.140625" style="408"/>
    <col min="1283" max="1290" width="16.5703125" style="408" customWidth="1"/>
    <col min="1291" max="1536" width="9.140625" style="408"/>
    <col min="1537" max="1537" width="2.85546875" style="408" bestFit="1" customWidth="1"/>
    <col min="1538" max="1538" width="9.140625" style="408"/>
    <col min="1539" max="1546" width="16.5703125" style="408" customWidth="1"/>
    <col min="1547" max="1792" width="9.140625" style="408"/>
    <col min="1793" max="1793" width="2.85546875" style="408" bestFit="1" customWidth="1"/>
    <col min="1794" max="1794" width="9.140625" style="408"/>
    <col min="1795" max="1802" width="16.5703125" style="408" customWidth="1"/>
    <col min="1803" max="2048" width="9.140625" style="408"/>
    <col min="2049" max="2049" width="2.85546875" style="408" bestFit="1" customWidth="1"/>
    <col min="2050" max="2050" width="9.140625" style="408"/>
    <col min="2051" max="2058" width="16.5703125" style="408" customWidth="1"/>
    <col min="2059" max="2304" width="9.140625" style="408"/>
    <col min="2305" max="2305" width="2.85546875" style="408" bestFit="1" customWidth="1"/>
    <col min="2306" max="2306" width="9.140625" style="408"/>
    <col min="2307" max="2314" width="16.5703125" style="408" customWidth="1"/>
    <col min="2315" max="2560" width="9.140625" style="408"/>
    <col min="2561" max="2561" width="2.85546875" style="408" bestFit="1" customWidth="1"/>
    <col min="2562" max="2562" width="9.140625" style="408"/>
    <col min="2563" max="2570" width="16.5703125" style="408" customWidth="1"/>
    <col min="2571" max="2816" width="9.140625" style="408"/>
    <col min="2817" max="2817" width="2.85546875" style="408" bestFit="1" customWidth="1"/>
    <col min="2818" max="2818" width="9.140625" style="408"/>
    <col min="2819" max="2826" width="16.5703125" style="408" customWidth="1"/>
    <col min="2827" max="3072" width="9.140625" style="408"/>
    <col min="3073" max="3073" width="2.85546875" style="408" bestFit="1" customWidth="1"/>
    <col min="3074" max="3074" width="9.140625" style="408"/>
    <col min="3075" max="3082" width="16.5703125" style="408" customWidth="1"/>
    <col min="3083" max="3328" width="9.140625" style="408"/>
    <col min="3329" max="3329" width="2.85546875" style="408" bestFit="1" customWidth="1"/>
    <col min="3330" max="3330" width="9.140625" style="408"/>
    <col min="3331" max="3338" width="16.5703125" style="408" customWidth="1"/>
    <col min="3339" max="3584" width="9.140625" style="408"/>
    <col min="3585" max="3585" width="2.85546875" style="408" bestFit="1" customWidth="1"/>
    <col min="3586" max="3586" width="9.140625" style="408"/>
    <col min="3587" max="3594" width="16.5703125" style="408" customWidth="1"/>
    <col min="3595" max="3840" width="9.140625" style="408"/>
    <col min="3841" max="3841" width="2.85546875" style="408" bestFit="1" customWidth="1"/>
    <col min="3842" max="3842" width="9.140625" style="408"/>
    <col min="3843" max="3850" width="16.5703125" style="408" customWidth="1"/>
    <col min="3851" max="4096" width="9.140625" style="408"/>
    <col min="4097" max="4097" width="2.85546875" style="408" bestFit="1" customWidth="1"/>
    <col min="4098" max="4098" width="9.140625" style="408"/>
    <col min="4099" max="4106" width="16.5703125" style="408" customWidth="1"/>
    <col min="4107" max="4352" width="9.140625" style="408"/>
    <col min="4353" max="4353" width="2.85546875" style="408" bestFit="1" customWidth="1"/>
    <col min="4354" max="4354" width="9.140625" style="408"/>
    <col min="4355" max="4362" width="16.5703125" style="408" customWidth="1"/>
    <col min="4363" max="4608" width="9.140625" style="408"/>
    <col min="4609" max="4609" width="2.85546875" style="408" bestFit="1" customWidth="1"/>
    <col min="4610" max="4610" width="9.140625" style="408"/>
    <col min="4611" max="4618" width="16.5703125" style="408" customWidth="1"/>
    <col min="4619" max="4864" width="9.140625" style="408"/>
    <col min="4865" max="4865" width="2.85546875" style="408" bestFit="1" customWidth="1"/>
    <col min="4866" max="4866" width="9.140625" style="408"/>
    <col min="4867" max="4874" width="16.5703125" style="408" customWidth="1"/>
    <col min="4875" max="5120" width="9.140625" style="408"/>
    <col min="5121" max="5121" width="2.85546875" style="408" bestFit="1" customWidth="1"/>
    <col min="5122" max="5122" width="9.140625" style="408"/>
    <col min="5123" max="5130" width="16.5703125" style="408" customWidth="1"/>
    <col min="5131" max="5376" width="9.140625" style="408"/>
    <col min="5377" max="5377" width="2.85546875" style="408" bestFit="1" customWidth="1"/>
    <col min="5378" max="5378" width="9.140625" style="408"/>
    <col min="5379" max="5386" width="16.5703125" style="408" customWidth="1"/>
    <col min="5387" max="5632" width="9.140625" style="408"/>
    <col min="5633" max="5633" width="2.85546875" style="408" bestFit="1" customWidth="1"/>
    <col min="5634" max="5634" width="9.140625" style="408"/>
    <col min="5635" max="5642" width="16.5703125" style="408" customWidth="1"/>
    <col min="5643" max="5888" width="9.140625" style="408"/>
    <col min="5889" max="5889" width="2.85546875" style="408" bestFit="1" customWidth="1"/>
    <col min="5890" max="5890" width="9.140625" style="408"/>
    <col min="5891" max="5898" width="16.5703125" style="408" customWidth="1"/>
    <col min="5899" max="6144" width="9.140625" style="408"/>
    <col min="6145" max="6145" width="2.85546875" style="408" bestFit="1" customWidth="1"/>
    <col min="6146" max="6146" width="9.140625" style="408"/>
    <col min="6147" max="6154" width="16.5703125" style="408" customWidth="1"/>
    <col min="6155" max="6400" width="9.140625" style="408"/>
    <col min="6401" max="6401" width="2.85546875" style="408" bestFit="1" customWidth="1"/>
    <col min="6402" max="6402" width="9.140625" style="408"/>
    <col min="6403" max="6410" width="16.5703125" style="408" customWidth="1"/>
    <col min="6411" max="6656" width="9.140625" style="408"/>
    <col min="6657" max="6657" width="2.85546875" style="408" bestFit="1" customWidth="1"/>
    <col min="6658" max="6658" width="9.140625" style="408"/>
    <col min="6659" max="6666" width="16.5703125" style="408" customWidth="1"/>
    <col min="6667" max="6912" width="9.140625" style="408"/>
    <col min="6913" max="6913" width="2.85546875" style="408" bestFit="1" customWidth="1"/>
    <col min="6914" max="6914" width="9.140625" style="408"/>
    <col min="6915" max="6922" width="16.5703125" style="408" customWidth="1"/>
    <col min="6923" max="7168" width="9.140625" style="408"/>
    <col min="7169" max="7169" width="2.85546875" style="408" bestFit="1" customWidth="1"/>
    <col min="7170" max="7170" width="9.140625" style="408"/>
    <col min="7171" max="7178" width="16.5703125" style="408" customWidth="1"/>
    <col min="7179" max="7424" width="9.140625" style="408"/>
    <col min="7425" max="7425" width="2.85546875" style="408" bestFit="1" customWidth="1"/>
    <col min="7426" max="7426" width="9.140625" style="408"/>
    <col min="7427" max="7434" width="16.5703125" style="408" customWidth="1"/>
    <col min="7435" max="7680" width="9.140625" style="408"/>
    <col min="7681" max="7681" width="2.85546875" style="408" bestFit="1" customWidth="1"/>
    <col min="7682" max="7682" width="9.140625" style="408"/>
    <col min="7683" max="7690" width="16.5703125" style="408" customWidth="1"/>
    <col min="7691" max="7936" width="9.140625" style="408"/>
    <col min="7937" max="7937" width="2.85546875" style="408" bestFit="1" customWidth="1"/>
    <col min="7938" max="7938" width="9.140625" style="408"/>
    <col min="7939" max="7946" width="16.5703125" style="408" customWidth="1"/>
    <col min="7947" max="8192" width="9.140625" style="408"/>
    <col min="8193" max="8193" width="2.85546875" style="408" bestFit="1" customWidth="1"/>
    <col min="8194" max="8194" width="9.140625" style="408"/>
    <col min="8195" max="8202" width="16.5703125" style="408" customWidth="1"/>
    <col min="8203" max="8448" width="9.140625" style="408"/>
    <col min="8449" max="8449" width="2.85546875" style="408" bestFit="1" customWidth="1"/>
    <col min="8450" max="8450" width="9.140625" style="408"/>
    <col min="8451" max="8458" width="16.5703125" style="408" customWidth="1"/>
    <col min="8459" max="8704" width="9.140625" style="408"/>
    <col min="8705" max="8705" width="2.85546875" style="408" bestFit="1" customWidth="1"/>
    <col min="8706" max="8706" width="9.140625" style="408"/>
    <col min="8707" max="8714" width="16.5703125" style="408" customWidth="1"/>
    <col min="8715" max="8960" width="9.140625" style="408"/>
    <col min="8961" max="8961" width="2.85546875" style="408" bestFit="1" customWidth="1"/>
    <col min="8962" max="8962" width="9.140625" style="408"/>
    <col min="8963" max="8970" width="16.5703125" style="408" customWidth="1"/>
    <col min="8971" max="9216" width="9.140625" style="408"/>
    <col min="9217" max="9217" width="2.85546875" style="408" bestFit="1" customWidth="1"/>
    <col min="9218" max="9218" width="9.140625" style="408"/>
    <col min="9219" max="9226" width="16.5703125" style="408" customWidth="1"/>
    <col min="9227" max="9472" width="9.140625" style="408"/>
    <col min="9473" max="9473" width="2.85546875" style="408" bestFit="1" customWidth="1"/>
    <col min="9474" max="9474" width="9.140625" style="408"/>
    <col min="9475" max="9482" width="16.5703125" style="408" customWidth="1"/>
    <col min="9483" max="9728" width="9.140625" style="408"/>
    <col min="9729" max="9729" width="2.85546875" style="408" bestFit="1" customWidth="1"/>
    <col min="9730" max="9730" width="9.140625" style="408"/>
    <col min="9731" max="9738" width="16.5703125" style="408" customWidth="1"/>
    <col min="9739" max="9984" width="9.140625" style="408"/>
    <col min="9985" max="9985" width="2.85546875" style="408" bestFit="1" customWidth="1"/>
    <col min="9986" max="9986" width="9.140625" style="408"/>
    <col min="9987" max="9994" width="16.5703125" style="408" customWidth="1"/>
    <col min="9995" max="10240" width="9.140625" style="408"/>
    <col min="10241" max="10241" width="2.85546875" style="408" bestFit="1" customWidth="1"/>
    <col min="10242" max="10242" width="9.140625" style="408"/>
    <col min="10243" max="10250" width="16.5703125" style="408" customWidth="1"/>
    <col min="10251" max="10496" width="9.140625" style="408"/>
    <col min="10497" max="10497" width="2.85546875" style="408" bestFit="1" customWidth="1"/>
    <col min="10498" max="10498" width="9.140625" style="408"/>
    <col min="10499" max="10506" width="16.5703125" style="408" customWidth="1"/>
    <col min="10507" max="10752" width="9.140625" style="408"/>
    <col min="10753" max="10753" width="2.85546875" style="408" bestFit="1" customWidth="1"/>
    <col min="10754" max="10754" width="9.140625" style="408"/>
    <col min="10755" max="10762" width="16.5703125" style="408" customWidth="1"/>
    <col min="10763" max="11008" width="9.140625" style="408"/>
    <col min="11009" max="11009" width="2.85546875" style="408" bestFit="1" customWidth="1"/>
    <col min="11010" max="11010" width="9.140625" style="408"/>
    <col min="11011" max="11018" width="16.5703125" style="408" customWidth="1"/>
    <col min="11019" max="11264" width="9.140625" style="408"/>
    <col min="11265" max="11265" width="2.85546875" style="408" bestFit="1" customWidth="1"/>
    <col min="11266" max="11266" width="9.140625" style="408"/>
    <col min="11267" max="11274" width="16.5703125" style="408" customWidth="1"/>
    <col min="11275" max="11520" width="9.140625" style="408"/>
    <col min="11521" max="11521" width="2.85546875" style="408" bestFit="1" customWidth="1"/>
    <col min="11522" max="11522" width="9.140625" style="408"/>
    <col min="11523" max="11530" width="16.5703125" style="408" customWidth="1"/>
    <col min="11531" max="11776" width="9.140625" style="408"/>
    <col min="11777" max="11777" width="2.85546875" style="408" bestFit="1" customWidth="1"/>
    <col min="11778" max="11778" width="9.140625" style="408"/>
    <col min="11779" max="11786" width="16.5703125" style="408" customWidth="1"/>
    <col min="11787" max="12032" width="9.140625" style="408"/>
    <col min="12033" max="12033" width="2.85546875" style="408" bestFit="1" customWidth="1"/>
    <col min="12034" max="12034" width="9.140625" style="408"/>
    <col min="12035" max="12042" width="16.5703125" style="408" customWidth="1"/>
    <col min="12043" max="12288" width="9.140625" style="408"/>
    <col min="12289" max="12289" width="2.85546875" style="408" bestFit="1" customWidth="1"/>
    <col min="12290" max="12290" width="9.140625" style="408"/>
    <col min="12291" max="12298" width="16.5703125" style="408" customWidth="1"/>
    <col min="12299" max="12544" width="9.140625" style="408"/>
    <col min="12545" max="12545" width="2.85546875" style="408" bestFit="1" customWidth="1"/>
    <col min="12546" max="12546" width="9.140625" style="408"/>
    <col min="12547" max="12554" width="16.5703125" style="408" customWidth="1"/>
    <col min="12555" max="12800" width="9.140625" style="408"/>
    <col min="12801" max="12801" width="2.85546875" style="408" bestFit="1" customWidth="1"/>
    <col min="12802" max="12802" width="9.140625" style="408"/>
    <col min="12803" max="12810" width="16.5703125" style="408" customWidth="1"/>
    <col min="12811" max="13056" width="9.140625" style="408"/>
    <col min="13057" max="13057" width="2.85546875" style="408" bestFit="1" customWidth="1"/>
    <col min="13058" max="13058" width="9.140625" style="408"/>
    <col min="13059" max="13066" width="16.5703125" style="408" customWidth="1"/>
    <col min="13067" max="13312" width="9.140625" style="408"/>
    <col min="13313" max="13313" width="2.85546875" style="408" bestFit="1" customWidth="1"/>
    <col min="13314" max="13314" width="9.140625" style="408"/>
    <col min="13315" max="13322" width="16.5703125" style="408" customWidth="1"/>
    <col min="13323" max="13568" width="9.140625" style="408"/>
    <col min="13569" max="13569" width="2.85546875" style="408" bestFit="1" customWidth="1"/>
    <col min="13570" max="13570" width="9.140625" style="408"/>
    <col min="13571" max="13578" width="16.5703125" style="408" customWidth="1"/>
    <col min="13579" max="13824" width="9.140625" style="408"/>
    <col min="13825" max="13825" width="2.85546875" style="408" bestFit="1" customWidth="1"/>
    <col min="13826" max="13826" width="9.140625" style="408"/>
    <col min="13827" max="13834" width="16.5703125" style="408" customWidth="1"/>
    <col min="13835" max="14080" width="9.140625" style="408"/>
    <col min="14081" max="14081" width="2.85546875" style="408" bestFit="1" customWidth="1"/>
    <col min="14082" max="14082" width="9.140625" style="408"/>
    <col min="14083" max="14090" width="16.5703125" style="408" customWidth="1"/>
    <col min="14091" max="14336" width="9.140625" style="408"/>
    <col min="14337" max="14337" width="2.85546875" style="408" bestFit="1" customWidth="1"/>
    <col min="14338" max="14338" width="9.140625" style="408"/>
    <col min="14339" max="14346" width="16.5703125" style="408" customWidth="1"/>
    <col min="14347" max="14592" width="9.140625" style="408"/>
    <col min="14593" max="14593" width="2.85546875" style="408" bestFit="1" customWidth="1"/>
    <col min="14594" max="14594" width="9.140625" style="408"/>
    <col min="14595" max="14602" width="16.5703125" style="408" customWidth="1"/>
    <col min="14603" max="14848" width="9.140625" style="408"/>
    <col min="14849" max="14849" width="2.85546875" style="408" bestFit="1" customWidth="1"/>
    <col min="14850" max="14850" width="9.140625" style="408"/>
    <col min="14851" max="14858" width="16.5703125" style="408" customWidth="1"/>
    <col min="14859" max="15104" width="9.140625" style="408"/>
    <col min="15105" max="15105" width="2.85546875" style="408" bestFit="1" customWidth="1"/>
    <col min="15106" max="15106" width="9.140625" style="408"/>
    <col min="15107" max="15114" width="16.5703125" style="408" customWidth="1"/>
    <col min="15115" max="15360" width="9.140625" style="408"/>
    <col min="15361" max="15361" width="2.85546875" style="408" bestFit="1" customWidth="1"/>
    <col min="15362" max="15362" width="9.140625" style="408"/>
    <col min="15363" max="15370" width="16.5703125" style="408" customWidth="1"/>
    <col min="15371" max="15616" width="9.140625" style="408"/>
    <col min="15617" max="15617" width="2.85546875" style="408" bestFit="1" customWidth="1"/>
    <col min="15618" max="15618" width="9.140625" style="408"/>
    <col min="15619" max="15626" width="16.5703125" style="408" customWidth="1"/>
    <col min="15627" max="15872" width="9.140625" style="408"/>
    <col min="15873" max="15873" width="2.85546875" style="408" bestFit="1" customWidth="1"/>
    <col min="15874" max="15874" width="9.140625" style="408"/>
    <col min="15875" max="15882" width="16.5703125" style="408" customWidth="1"/>
    <col min="15883" max="16128" width="9.140625" style="408"/>
    <col min="16129" max="16129" width="2.85546875" style="408" bestFit="1" customWidth="1"/>
    <col min="16130" max="16130" width="9.140625" style="408"/>
    <col min="16131" max="16138" width="16.5703125" style="408" customWidth="1"/>
    <col min="16139" max="16384" width="9.140625" style="408"/>
  </cols>
  <sheetData>
    <row r="1" spans="1:10" ht="25.5" x14ac:dyDescent="0.2">
      <c r="A1" s="410" t="str">
        <f>ROWS(A$1:A1)&amp;")"</f>
        <v>1)</v>
      </c>
      <c r="B1" s="411" t="s">
        <v>1563</v>
      </c>
      <c r="C1" s="411"/>
      <c r="D1" s="411"/>
      <c r="E1" s="411"/>
    </row>
    <row r="2" spans="1:10" ht="25.5" x14ac:dyDescent="0.2">
      <c r="A2" s="410" t="str">
        <f>ROWS(A$1:A2)&amp;")"</f>
        <v>2)</v>
      </c>
      <c r="B2" s="411" t="s">
        <v>1613</v>
      </c>
      <c r="C2" s="411"/>
      <c r="D2" s="411"/>
      <c r="E2" s="411"/>
    </row>
    <row r="3" spans="1:10" ht="38.25" x14ac:dyDescent="0.2">
      <c r="A3" s="410" t="str">
        <f>ROWS(A$1:A3)&amp;")"</f>
        <v>3)</v>
      </c>
      <c r="B3" s="411" t="s">
        <v>1559</v>
      </c>
      <c r="C3" s="411"/>
      <c r="D3" s="411"/>
      <c r="E3" s="411"/>
    </row>
    <row r="4" spans="1:10" ht="51" x14ac:dyDescent="0.2">
      <c r="A4" s="410" t="str">
        <f>ROWS(A$1:A4)&amp;")"</f>
        <v>4)</v>
      </c>
      <c r="B4" s="411" t="s">
        <v>1564</v>
      </c>
      <c r="C4" s="411"/>
      <c r="D4" s="411"/>
      <c r="E4" s="411"/>
    </row>
    <row r="5" spans="1:10" x14ac:dyDescent="0.2">
      <c r="A5" s="410" t="str">
        <f>ROWS(A$1:A5)&amp;")"</f>
        <v>5)</v>
      </c>
      <c r="B5" s="414" t="s">
        <v>1561</v>
      </c>
      <c r="C5" s="411"/>
      <c r="D5" s="411"/>
      <c r="E5" s="411"/>
    </row>
    <row r="6" spans="1:10" ht="63.75" x14ac:dyDescent="0.2">
      <c r="A6" s="410" t="str">
        <f>ROWS(A$1:A6)&amp;")"</f>
        <v>6)</v>
      </c>
      <c r="B6" s="414" t="s">
        <v>1562</v>
      </c>
      <c r="C6" s="411"/>
      <c r="D6" s="411"/>
      <c r="E6" s="411"/>
    </row>
    <row r="8" spans="1:10" x14ac:dyDescent="0.2">
      <c r="B8" s="415" t="s">
        <v>129</v>
      </c>
      <c r="C8" s="415" t="s">
        <v>130</v>
      </c>
      <c r="D8" s="415" t="s">
        <v>834</v>
      </c>
      <c r="E8" s="415" t="s">
        <v>835</v>
      </c>
      <c r="F8" s="415" t="s">
        <v>836</v>
      </c>
      <c r="G8" s="415" t="s">
        <v>837</v>
      </c>
      <c r="H8" s="415" t="s">
        <v>1565</v>
      </c>
      <c r="I8" s="415" t="s">
        <v>372</v>
      </c>
      <c r="J8" s="415" t="s">
        <v>373</v>
      </c>
    </row>
    <row r="10" spans="1:10" x14ac:dyDescent="0.2">
      <c r="B10" s="408" t="s">
        <v>1566</v>
      </c>
    </row>
    <row r="11" spans="1:10" x14ac:dyDescent="0.2">
      <c r="B11" s="408" t="s">
        <v>7</v>
      </c>
    </row>
    <row r="12" spans="1:10" x14ac:dyDescent="0.2">
      <c r="B12" s="408" t="s">
        <v>1567</v>
      </c>
    </row>
    <row r="13" spans="1:10" x14ac:dyDescent="0.2">
      <c r="B13" s="408" t="s">
        <v>870</v>
      </c>
    </row>
    <row r="14" spans="1:10" x14ac:dyDescent="0.2">
      <c r="B14" s="408" t="s">
        <v>838</v>
      </c>
    </row>
    <row r="15" spans="1:10" x14ac:dyDescent="0.2">
      <c r="B15" s="408">
        <v>98104</v>
      </c>
    </row>
    <row r="16" spans="1:10" x14ac:dyDescent="0.2">
      <c r="B16" s="408" t="s">
        <v>1568</v>
      </c>
    </row>
    <row r="17" spans="2:2" x14ac:dyDescent="0.2">
      <c r="B17" s="408" t="str">
        <f>B10&amp;"_"&amp;B11&amp;"@notaol.com"</f>
        <v>Steve_Chin@notaol.com</v>
      </c>
    </row>
    <row r="18" spans="2:2" x14ac:dyDescent="0.2">
      <c r="B18" s="408" t="str">
        <f>B11&amp;"_"&amp;B12&amp;"@notaol.com"</f>
        <v>Chin_14 17th St.@notaol.com</v>
      </c>
    </row>
    <row r="20" spans="2:2" x14ac:dyDescent="0.2">
      <c r="B20" s="408" t="s">
        <v>1569</v>
      </c>
    </row>
    <row r="21" spans="2:2" x14ac:dyDescent="0.2">
      <c r="B21" s="408" t="s">
        <v>1570</v>
      </c>
    </row>
    <row r="22" spans="2:2" x14ac:dyDescent="0.2">
      <c r="B22" s="408" t="s">
        <v>1571</v>
      </c>
    </row>
    <row r="23" spans="2:2" x14ac:dyDescent="0.2">
      <c r="B23" s="408" t="s">
        <v>870</v>
      </c>
    </row>
    <row r="24" spans="2:2" x14ac:dyDescent="0.2">
      <c r="B24" s="408" t="s">
        <v>838</v>
      </c>
    </row>
    <row r="25" spans="2:2" x14ac:dyDescent="0.2">
      <c r="B25" s="408">
        <v>98106</v>
      </c>
    </row>
    <row r="26" spans="2:2" x14ac:dyDescent="0.2">
      <c r="B26" s="408" t="s">
        <v>1572</v>
      </c>
    </row>
    <row r="27" spans="2:2" x14ac:dyDescent="0.2">
      <c r="B27" s="408" t="str">
        <f>B20&amp;"_"&amp;B21&amp;"@notaol.com"</f>
        <v>Troun_Tenn@notaol.com</v>
      </c>
    </row>
    <row r="28" spans="2:2" x14ac:dyDescent="0.2">
      <c r="B28" s="408" t="str">
        <f>B21&amp;"_"&amp;B22&amp;"@notaol.com"</f>
        <v>Tenn_6 19th St.@notaol.com</v>
      </c>
    </row>
    <row r="30" spans="2:2" x14ac:dyDescent="0.2">
      <c r="B30" s="408" t="s">
        <v>1573</v>
      </c>
    </row>
    <row r="31" spans="2:2" x14ac:dyDescent="0.2">
      <c r="B31" s="408" t="s">
        <v>1574</v>
      </c>
    </row>
    <row r="32" spans="2:2" x14ac:dyDescent="0.2">
      <c r="B32" s="408" t="s">
        <v>1575</v>
      </c>
    </row>
    <row r="33" spans="2:2" x14ac:dyDescent="0.2">
      <c r="B33" s="408" t="s">
        <v>870</v>
      </c>
    </row>
    <row r="34" spans="2:2" x14ac:dyDescent="0.2">
      <c r="B34" s="408" t="s">
        <v>838</v>
      </c>
    </row>
    <row r="35" spans="2:2" x14ac:dyDescent="0.2">
      <c r="B35" s="408">
        <v>98117</v>
      </c>
    </row>
    <row r="36" spans="2:2" x14ac:dyDescent="0.2">
      <c r="B36" s="408" t="s">
        <v>1576</v>
      </c>
    </row>
    <row r="37" spans="2:2" x14ac:dyDescent="0.2">
      <c r="B37" s="408" t="str">
        <f>B30&amp;"_"&amp;B31&amp;"@notaol.com"</f>
        <v>Rhond_Tradfren@notaol.com</v>
      </c>
    </row>
    <row r="38" spans="2:2" x14ac:dyDescent="0.2">
      <c r="B38" s="408" t="str">
        <f>B31&amp;"_"&amp;B32&amp;"@notaol.com"</f>
        <v>Tradfren_10 13th St.@notaol.com</v>
      </c>
    </row>
    <row r="40" spans="2:2" x14ac:dyDescent="0.2">
      <c r="B40" s="408" t="s">
        <v>1577</v>
      </c>
    </row>
    <row r="41" spans="2:2" x14ac:dyDescent="0.2">
      <c r="B41" s="408" t="s">
        <v>1578</v>
      </c>
    </row>
    <row r="42" spans="2:2" x14ac:dyDescent="0.2">
      <c r="B42" s="408" t="s">
        <v>1579</v>
      </c>
    </row>
    <row r="43" spans="2:2" x14ac:dyDescent="0.2">
      <c r="B43" s="408" t="s">
        <v>870</v>
      </c>
    </row>
    <row r="44" spans="2:2" x14ac:dyDescent="0.2">
      <c r="B44" s="408" t="s">
        <v>838</v>
      </c>
    </row>
    <row r="45" spans="2:2" x14ac:dyDescent="0.2">
      <c r="B45" s="408">
        <v>98111</v>
      </c>
    </row>
    <row r="46" spans="2:2" x14ac:dyDescent="0.2">
      <c r="B46" s="408" t="s">
        <v>1580</v>
      </c>
    </row>
    <row r="47" spans="2:2" x14ac:dyDescent="0.2">
      <c r="B47" s="408" t="str">
        <f>B40&amp;"_"&amp;B41&amp;"@notaol.com"</f>
        <v>Sheli_Das@notaol.com</v>
      </c>
    </row>
    <row r="48" spans="2:2" x14ac:dyDescent="0.2">
      <c r="B48" s="408" t="str">
        <f>B41&amp;"_"&amp;B42&amp;"@notaol.com"</f>
        <v>Das_2 15th St.@notaol.com</v>
      </c>
    </row>
    <row r="50" spans="2:2" x14ac:dyDescent="0.2">
      <c r="B50" s="408" t="s">
        <v>1581</v>
      </c>
    </row>
    <row r="51" spans="2:2" x14ac:dyDescent="0.2">
      <c r="B51" s="408" t="s">
        <v>1582</v>
      </c>
    </row>
    <row r="52" spans="2:2" x14ac:dyDescent="0.2">
      <c r="B52" s="408" t="s">
        <v>1583</v>
      </c>
    </row>
    <row r="53" spans="2:2" x14ac:dyDescent="0.2">
      <c r="B53" s="408" t="s">
        <v>870</v>
      </c>
    </row>
    <row r="54" spans="2:2" x14ac:dyDescent="0.2">
      <c r="B54" s="408" t="s">
        <v>838</v>
      </c>
    </row>
    <row r="55" spans="2:2" x14ac:dyDescent="0.2">
      <c r="B55" s="408">
        <v>98114</v>
      </c>
    </row>
    <row r="56" spans="2:2" x14ac:dyDescent="0.2">
      <c r="B56" s="408" t="s">
        <v>1584</v>
      </c>
    </row>
    <row r="57" spans="2:2" x14ac:dyDescent="0.2">
      <c r="B57" s="408" t="str">
        <f>B50&amp;"_"&amp;B51&amp;"@notaol.com"</f>
        <v>Jon_Teddy@notaol.com</v>
      </c>
    </row>
    <row r="58" spans="2:2" x14ac:dyDescent="0.2">
      <c r="B58" s="408" t="str">
        <f>B51&amp;"_"&amp;B52&amp;"@notaol.com"</f>
        <v>Teddy_3 17th St.@notaol.com</v>
      </c>
    </row>
    <row r="60" spans="2:2" x14ac:dyDescent="0.2">
      <c r="B60" s="408" t="s">
        <v>1585</v>
      </c>
    </row>
    <row r="61" spans="2:2" x14ac:dyDescent="0.2">
      <c r="B61" s="408" t="s">
        <v>1586</v>
      </c>
    </row>
    <row r="62" spans="2:2" x14ac:dyDescent="0.2">
      <c r="B62" s="408" t="s">
        <v>1587</v>
      </c>
    </row>
    <row r="63" spans="2:2" x14ac:dyDescent="0.2">
      <c r="B63" s="408" t="s">
        <v>870</v>
      </c>
    </row>
    <row r="64" spans="2:2" x14ac:dyDescent="0.2">
      <c r="B64" s="408" t="s">
        <v>838</v>
      </c>
    </row>
    <row r="65" spans="2:2" x14ac:dyDescent="0.2">
      <c r="B65" s="408">
        <v>98114</v>
      </c>
    </row>
    <row r="66" spans="2:2" x14ac:dyDescent="0.2">
      <c r="B66" s="408" t="s">
        <v>1588</v>
      </c>
    </row>
    <row r="67" spans="2:2" x14ac:dyDescent="0.2">
      <c r="B67" s="408" t="str">
        <f>B60&amp;"_"&amp;B61&amp;"@notaol.com"</f>
        <v>Jeri_Yessler@notaol.com</v>
      </c>
    </row>
    <row r="68" spans="2:2" x14ac:dyDescent="0.2">
      <c r="B68" s="408" t="str">
        <f>B61&amp;"_"&amp;B62&amp;"@notaol.com"</f>
        <v>Yessler_12 16th St.@notaol.com</v>
      </c>
    </row>
    <row r="70" spans="2:2" x14ac:dyDescent="0.2">
      <c r="B70" s="408" t="s">
        <v>1589</v>
      </c>
    </row>
    <row r="71" spans="2:2" x14ac:dyDescent="0.2">
      <c r="B71" s="408" t="s">
        <v>1590</v>
      </c>
    </row>
    <row r="72" spans="2:2" x14ac:dyDescent="0.2">
      <c r="B72" s="408" t="s">
        <v>1591</v>
      </c>
    </row>
    <row r="73" spans="2:2" x14ac:dyDescent="0.2">
      <c r="B73" s="408" t="s">
        <v>870</v>
      </c>
    </row>
    <row r="74" spans="2:2" x14ac:dyDescent="0.2">
      <c r="B74" s="408" t="s">
        <v>838</v>
      </c>
    </row>
    <row r="75" spans="2:2" x14ac:dyDescent="0.2">
      <c r="B75" s="408">
        <v>98113</v>
      </c>
    </row>
    <row r="76" spans="2:2" x14ac:dyDescent="0.2">
      <c r="B76" s="408" t="s">
        <v>1592</v>
      </c>
    </row>
    <row r="77" spans="2:2" x14ac:dyDescent="0.2">
      <c r="B77" s="408" t="str">
        <f>B70&amp;"_"&amp;B71&amp;"@notaol.com"</f>
        <v>Luke_Suix@notaol.com</v>
      </c>
    </row>
    <row r="78" spans="2:2" x14ac:dyDescent="0.2">
      <c r="B78" s="408" t="str">
        <f>B71&amp;"_"&amp;B72&amp;"@notaol.com"</f>
        <v>Suix_8 19th St.@notaol.com</v>
      </c>
    </row>
    <row r="80" spans="2:2" x14ac:dyDescent="0.2">
      <c r="B80" s="408" t="s">
        <v>1589</v>
      </c>
    </row>
    <row r="81" spans="2:2" x14ac:dyDescent="0.2">
      <c r="B81" s="408" t="s">
        <v>1593</v>
      </c>
    </row>
    <row r="82" spans="2:2" x14ac:dyDescent="0.2">
      <c r="B82" s="408" t="s">
        <v>1594</v>
      </c>
    </row>
    <row r="83" spans="2:2" x14ac:dyDescent="0.2">
      <c r="B83" s="408" t="s">
        <v>870</v>
      </c>
    </row>
    <row r="84" spans="2:2" x14ac:dyDescent="0.2">
      <c r="B84" s="408" t="s">
        <v>838</v>
      </c>
    </row>
    <row r="85" spans="2:2" x14ac:dyDescent="0.2">
      <c r="B85" s="408">
        <v>98108</v>
      </c>
    </row>
    <row r="86" spans="2:2" x14ac:dyDescent="0.2">
      <c r="B86" s="408" t="s">
        <v>1595</v>
      </c>
    </row>
    <row r="87" spans="2:2" x14ac:dyDescent="0.2">
      <c r="B87" s="408" t="str">
        <f>B80&amp;"_"&amp;B81&amp;"@notaol.com"</f>
        <v>Luke_Red@notaol.com</v>
      </c>
    </row>
    <row r="88" spans="2:2" x14ac:dyDescent="0.2">
      <c r="B88" s="408" t="str">
        <f>B81&amp;"_"&amp;B82&amp;"@notaol.com"</f>
        <v>Red_15 16th St.@notaol.com</v>
      </c>
    </row>
    <row r="90" spans="2:2" x14ac:dyDescent="0.2">
      <c r="B90" s="408" t="s">
        <v>1585</v>
      </c>
    </row>
    <row r="91" spans="2:2" x14ac:dyDescent="0.2">
      <c r="B91" s="408" t="s">
        <v>1596</v>
      </c>
    </row>
    <row r="92" spans="2:2" x14ac:dyDescent="0.2">
      <c r="B92" s="408" t="s">
        <v>1597</v>
      </c>
    </row>
    <row r="93" spans="2:2" x14ac:dyDescent="0.2">
      <c r="B93" s="408" t="s">
        <v>870</v>
      </c>
    </row>
    <row r="94" spans="2:2" x14ac:dyDescent="0.2">
      <c r="B94" s="408" t="s">
        <v>838</v>
      </c>
    </row>
    <row r="95" spans="2:2" x14ac:dyDescent="0.2">
      <c r="B95" s="408">
        <v>98112</v>
      </c>
    </row>
    <row r="96" spans="2:2" x14ac:dyDescent="0.2">
      <c r="B96" s="408" t="s">
        <v>1598</v>
      </c>
    </row>
    <row r="97" spans="2:2" x14ac:dyDescent="0.2">
      <c r="B97" s="408" t="str">
        <f>B90&amp;"_"&amp;B91&amp;"@notaol.com"</f>
        <v>Jeri_Smythe@notaol.com</v>
      </c>
    </row>
    <row r="98" spans="2:2" x14ac:dyDescent="0.2">
      <c r="B98" s="408" t="str">
        <f>B91&amp;"_"&amp;B92&amp;"@notaol.com"</f>
        <v>Smythe_14 19th St.@notaol.com</v>
      </c>
    </row>
    <row r="100" spans="2:2" x14ac:dyDescent="0.2">
      <c r="B100" s="408" t="s">
        <v>1589</v>
      </c>
    </row>
    <row r="101" spans="2:2" x14ac:dyDescent="0.2">
      <c r="B101" s="408" t="s">
        <v>1500</v>
      </c>
    </row>
    <row r="102" spans="2:2" x14ac:dyDescent="0.2">
      <c r="B102" s="408" t="s">
        <v>1599</v>
      </c>
    </row>
    <row r="103" spans="2:2" x14ac:dyDescent="0.2">
      <c r="B103" s="408" t="s">
        <v>870</v>
      </c>
    </row>
    <row r="104" spans="2:2" x14ac:dyDescent="0.2">
      <c r="B104" s="408" t="s">
        <v>838</v>
      </c>
    </row>
    <row r="105" spans="2:2" x14ac:dyDescent="0.2">
      <c r="B105" s="408">
        <v>98106</v>
      </c>
    </row>
    <row r="106" spans="2:2" x14ac:dyDescent="0.2">
      <c r="B106" s="408" t="s">
        <v>1600</v>
      </c>
    </row>
    <row r="107" spans="2:2" x14ac:dyDescent="0.2">
      <c r="B107" s="408" t="str">
        <f>B100&amp;"_"&amp;B101&amp;"@notaol.com"</f>
        <v>Luke_Rad@notaol.com</v>
      </c>
    </row>
    <row r="108" spans="2:2" x14ac:dyDescent="0.2">
      <c r="B108" s="408" t="str">
        <f>B101&amp;"_"&amp;B102&amp;"@notaol.com"</f>
        <v>Rad_3 16th St.@notaol.com</v>
      </c>
    </row>
    <row r="110" spans="2:2" x14ac:dyDescent="0.2">
      <c r="B110" s="408" t="s">
        <v>1581</v>
      </c>
    </row>
    <row r="111" spans="2:2" x14ac:dyDescent="0.2">
      <c r="B111" s="408" t="s">
        <v>1601</v>
      </c>
    </row>
    <row r="112" spans="2:2" x14ac:dyDescent="0.2">
      <c r="B112" s="408" t="s">
        <v>1602</v>
      </c>
    </row>
    <row r="113" spans="2:2" x14ac:dyDescent="0.2">
      <c r="B113" s="408" t="s">
        <v>870</v>
      </c>
    </row>
    <row r="114" spans="2:2" x14ac:dyDescent="0.2">
      <c r="B114" s="408" t="s">
        <v>838</v>
      </c>
    </row>
    <row r="115" spans="2:2" x14ac:dyDescent="0.2">
      <c r="B115" s="408">
        <v>98116</v>
      </c>
    </row>
    <row r="116" spans="2:2" x14ac:dyDescent="0.2">
      <c r="B116" s="408" t="s">
        <v>1603</v>
      </c>
    </row>
    <row r="117" spans="2:2" x14ac:dyDescent="0.2">
      <c r="B117" s="408" t="str">
        <f>B110&amp;"_"&amp;B111&amp;"@notaol.com"</f>
        <v>Jon_Dap@notaol.com</v>
      </c>
    </row>
    <row r="118" spans="2:2" x14ac:dyDescent="0.2">
      <c r="B118" s="408" t="str">
        <f>B111&amp;"_"&amp;B112&amp;"@notaol.com"</f>
        <v>Dap_5 19th St.@notaol.com</v>
      </c>
    </row>
    <row r="120" spans="2:2" x14ac:dyDescent="0.2">
      <c r="B120" s="408" t="s">
        <v>1566</v>
      </c>
    </row>
    <row r="121" spans="2:2" x14ac:dyDescent="0.2">
      <c r="B121" s="408" t="s">
        <v>1604</v>
      </c>
    </row>
    <row r="122" spans="2:2" x14ac:dyDescent="0.2">
      <c r="B122" s="408" t="s">
        <v>1605</v>
      </c>
    </row>
    <row r="123" spans="2:2" x14ac:dyDescent="0.2">
      <c r="B123" s="408" t="s">
        <v>870</v>
      </c>
    </row>
    <row r="124" spans="2:2" x14ac:dyDescent="0.2">
      <c r="B124" s="408" t="s">
        <v>838</v>
      </c>
    </row>
    <row r="125" spans="2:2" x14ac:dyDescent="0.2">
      <c r="B125" s="408">
        <v>98111</v>
      </c>
    </row>
    <row r="126" spans="2:2" x14ac:dyDescent="0.2">
      <c r="B126" s="408" t="s">
        <v>1606</v>
      </c>
    </row>
    <row r="127" spans="2:2" x14ac:dyDescent="0.2">
      <c r="B127" s="408" t="str">
        <f>B120&amp;"_"&amp;B121&amp;"@notaol.com"</f>
        <v>Steve_Gupis@notaol.com</v>
      </c>
    </row>
    <row r="128" spans="2:2" x14ac:dyDescent="0.2">
      <c r="B128" s="408" t="str">
        <f>B121&amp;"_"&amp;B122&amp;"@notaol.com"</f>
        <v>Gupis_6 17th St.@notaol.com</v>
      </c>
    </row>
    <row r="130" spans="2:2" x14ac:dyDescent="0.2">
      <c r="B130" s="408" t="s">
        <v>1581</v>
      </c>
    </row>
    <row r="131" spans="2:2" x14ac:dyDescent="0.2">
      <c r="B131" s="408" t="s">
        <v>1607</v>
      </c>
    </row>
    <row r="132" spans="2:2" x14ac:dyDescent="0.2">
      <c r="B132" s="408" t="s">
        <v>1608</v>
      </c>
    </row>
    <row r="133" spans="2:2" x14ac:dyDescent="0.2">
      <c r="B133" s="408" t="s">
        <v>870</v>
      </c>
    </row>
    <row r="134" spans="2:2" x14ac:dyDescent="0.2">
      <c r="B134" s="408" t="s">
        <v>838</v>
      </c>
    </row>
    <row r="135" spans="2:2" x14ac:dyDescent="0.2">
      <c r="B135" s="408">
        <v>98104</v>
      </c>
    </row>
    <row r="136" spans="2:2" x14ac:dyDescent="0.2">
      <c r="B136" s="408" t="s">
        <v>1609</v>
      </c>
    </row>
    <row r="137" spans="2:2" x14ac:dyDescent="0.2">
      <c r="B137" s="408" t="str">
        <f>B130&amp;"_"&amp;B131&amp;"@notaol.com"</f>
        <v>Jon_Summi@notaol.com</v>
      </c>
    </row>
    <row r="138" spans="2:2" x14ac:dyDescent="0.2">
      <c r="B138" s="408" t="str">
        <f>B131&amp;"_"&amp;B132&amp;"@notaol.com"</f>
        <v>Summi_4 14th St.@notaol.com</v>
      </c>
    </row>
    <row r="140" spans="2:2" x14ac:dyDescent="0.2">
      <c r="B140" s="408" t="s">
        <v>1577</v>
      </c>
    </row>
    <row r="141" spans="2:2" x14ac:dyDescent="0.2">
      <c r="B141" s="408" t="s">
        <v>1610</v>
      </c>
    </row>
    <row r="142" spans="2:2" x14ac:dyDescent="0.2">
      <c r="B142" s="408" t="s">
        <v>1611</v>
      </c>
    </row>
    <row r="143" spans="2:2" x14ac:dyDescent="0.2">
      <c r="B143" s="408" t="s">
        <v>870</v>
      </c>
    </row>
    <row r="144" spans="2:2" x14ac:dyDescent="0.2">
      <c r="B144" s="408" t="s">
        <v>838</v>
      </c>
    </row>
    <row r="145" spans="2:2" x14ac:dyDescent="0.2">
      <c r="B145" s="408">
        <v>98110</v>
      </c>
    </row>
    <row r="146" spans="2:2" x14ac:dyDescent="0.2">
      <c r="B146" s="408" t="s">
        <v>1612</v>
      </c>
    </row>
    <row r="147" spans="2:2" x14ac:dyDescent="0.2">
      <c r="B147" s="408" t="str">
        <f>B140&amp;"_"&amp;B141&amp;"@notaol.com"</f>
        <v>Sheli_Fun@notaol.com</v>
      </c>
    </row>
    <row r="148" spans="2:2" x14ac:dyDescent="0.2">
      <c r="B148" s="408" t="str">
        <f>B141&amp;"_"&amp;B142&amp;"@notaol.com"</f>
        <v>Fun_7 15th St.@notaol.com</v>
      </c>
    </row>
  </sheetData>
  <pageMargins left="0.75" right="0.75" top="1" bottom="1" header="0.5" footer="0.5"/>
  <pageSetup orientation="portrait" r:id="rId1"/>
  <headerFooter alignWithMargins="0"/>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71">
    <tabColor rgb="FFFFFF00"/>
  </sheetPr>
  <dimension ref="A1:L31"/>
  <sheetViews>
    <sheetView zoomScale="175" zoomScaleNormal="175" workbookViewId="0">
      <selection sqref="A1:XFD1048576"/>
    </sheetView>
  </sheetViews>
  <sheetFormatPr defaultRowHeight="15" x14ac:dyDescent="0.25"/>
  <cols>
    <col min="1" max="1" width="9.7109375" bestFit="1" customWidth="1"/>
    <col min="2" max="2" width="11.570312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1556</v>
      </c>
      <c r="F1" s="45" t="s">
        <v>1614</v>
      </c>
      <c r="G1" s="203"/>
      <c r="H1" s="203"/>
      <c r="I1" s="203"/>
      <c r="J1" s="203"/>
      <c r="K1" s="203"/>
      <c r="L1" s="46"/>
    </row>
    <row r="2" spans="1:12" x14ac:dyDescent="0.25">
      <c r="A2" s="416">
        <v>39904</v>
      </c>
      <c r="B2" s="417">
        <v>0.71341097395105568</v>
      </c>
      <c r="C2" s="217">
        <v>42.92</v>
      </c>
      <c r="D2" s="418"/>
    </row>
    <row r="3" spans="1:12" x14ac:dyDescent="0.25">
      <c r="A3" s="416">
        <v>39905</v>
      </c>
      <c r="B3" s="417">
        <v>0.99304123200145855</v>
      </c>
      <c r="C3" s="217">
        <v>42.61</v>
      </c>
      <c r="D3" s="418"/>
    </row>
    <row r="4" spans="1:12" x14ac:dyDescent="0.25">
      <c r="A4" s="416">
        <v>39906</v>
      </c>
      <c r="B4" s="417">
        <v>0.49942940415227333</v>
      </c>
      <c r="C4" s="217">
        <v>49.69</v>
      </c>
      <c r="D4" s="418"/>
    </row>
    <row r="5" spans="1:12" x14ac:dyDescent="0.25">
      <c r="A5" s="416">
        <v>39907</v>
      </c>
      <c r="B5" s="417">
        <v>0.94540784374630871</v>
      </c>
      <c r="C5" s="217">
        <v>44.58</v>
      </c>
      <c r="D5" s="418"/>
    </row>
    <row r="6" spans="1:12" x14ac:dyDescent="0.25">
      <c r="A6" s="416">
        <v>39908</v>
      </c>
      <c r="B6" s="417">
        <v>1.3948238920765021E-2</v>
      </c>
      <c r="C6" s="217">
        <v>43.03</v>
      </c>
      <c r="D6" s="418"/>
    </row>
    <row r="7" spans="1:12" x14ac:dyDescent="0.25">
      <c r="A7" s="416">
        <v>39909</v>
      </c>
      <c r="B7" s="417">
        <v>0.49261952139551646</v>
      </c>
      <c r="C7" s="217">
        <v>43.94</v>
      </c>
      <c r="D7" s="418"/>
    </row>
    <row r="8" spans="1:12" x14ac:dyDescent="0.25">
      <c r="A8" s="416">
        <v>39910</v>
      </c>
      <c r="B8" s="417">
        <v>0.83507342224425618</v>
      </c>
      <c r="C8" s="217">
        <v>43.74</v>
      </c>
      <c r="D8" s="418"/>
    </row>
    <row r="9" spans="1:12" x14ac:dyDescent="0.25">
      <c r="A9" s="416">
        <v>39911</v>
      </c>
      <c r="B9" s="417">
        <v>0.93304792675110204</v>
      </c>
      <c r="C9" s="217">
        <v>48.37</v>
      </c>
      <c r="D9" s="418"/>
    </row>
    <row r="10" spans="1:12" x14ac:dyDescent="0.25">
      <c r="A10" s="416">
        <v>39912</v>
      </c>
      <c r="B10" s="417">
        <v>3.086387324874762E-2</v>
      </c>
      <c r="C10" s="217">
        <v>42.56</v>
      </c>
      <c r="D10" s="418"/>
    </row>
    <row r="11" spans="1:12" x14ac:dyDescent="0.25">
      <c r="A11" s="416">
        <v>39913</v>
      </c>
      <c r="B11" s="417">
        <v>0.37076430936306948</v>
      </c>
      <c r="C11" s="217">
        <v>41.18</v>
      </c>
      <c r="D11" s="418"/>
    </row>
    <row r="12" spans="1:12" x14ac:dyDescent="0.25">
      <c r="A12" s="416">
        <v>39914</v>
      </c>
      <c r="B12" s="417">
        <v>0.24418885120404754</v>
      </c>
      <c r="C12" s="217">
        <v>47.980000000000004</v>
      </c>
      <c r="D12" s="418"/>
    </row>
    <row r="13" spans="1:12" x14ac:dyDescent="0.25">
      <c r="A13" s="416">
        <v>39915</v>
      </c>
      <c r="B13" s="417">
        <v>0.22160463272276409</v>
      </c>
      <c r="C13" s="217">
        <v>47.62</v>
      </c>
      <c r="D13" s="418"/>
    </row>
    <row r="14" spans="1:12" x14ac:dyDescent="0.25">
      <c r="A14" s="416">
        <v>39916</v>
      </c>
      <c r="B14" s="417">
        <v>0.73260493511802394</v>
      </c>
      <c r="C14" s="217">
        <v>44.99</v>
      </c>
      <c r="D14" s="418"/>
    </row>
    <row r="15" spans="1:12" x14ac:dyDescent="0.25">
      <c r="A15" s="416">
        <v>39917</v>
      </c>
      <c r="B15" s="417">
        <v>0.49052335369229239</v>
      </c>
      <c r="C15" s="217">
        <v>43.41</v>
      </c>
      <c r="D15" s="418"/>
    </row>
    <row r="16" spans="1:12" x14ac:dyDescent="0.25">
      <c r="A16" s="416">
        <v>39918</v>
      </c>
      <c r="B16" s="417">
        <v>0.27050617814723843</v>
      </c>
      <c r="C16" s="217">
        <v>41.82</v>
      </c>
      <c r="D16" s="418"/>
    </row>
    <row r="17" spans="1:4" x14ac:dyDescent="0.25">
      <c r="A17" s="416">
        <v>39919</v>
      </c>
      <c r="B17" s="417">
        <v>0.4950739118005747</v>
      </c>
      <c r="C17" s="217">
        <v>49.31</v>
      </c>
      <c r="D17" s="418"/>
    </row>
    <row r="18" spans="1:4" x14ac:dyDescent="0.25">
      <c r="A18" s="416">
        <v>39920</v>
      </c>
      <c r="B18" s="417">
        <v>0.72728927390612785</v>
      </c>
      <c r="C18" s="217">
        <v>42.77</v>
      </c>
      <c r="D18" s="418"/>
    </row>
    <row r="19" spans="1:4" x14ac:dyDescent="0.25">
      <c r="A19" s="416">
        <v>39921</v>
      </c>
      <c r="B19" s="417">
        <v>7.8056296587392993E-2</v>
      </c>
      <c r="C19" s="217">
        <v>45.769999999999996</v>
      </c>
      <c r="D19" s="418"/>
    </row>
    <row r="20" spans="1:4" x14ac:dyDescent="0.25">
      <c r="A20" s="416">
        <v>39922</v>
      </c>
      <c r="B20" s="417">
        <v>2.5721703530354967E-2</v>
      </c>
      <c r="C20" s="217">
        <v>42.04</v>
      </c>
      <c r="D20" s="418"/>
    </row>
    <row r="21" spans="1:4" x14ac:dyDescent="0.25">
      <c r="A21" s="416">
        <v>39923</v>
      </c>
      <c r="B21" s="417">
        <v>0.99817869066818865</v>
      </c>
      <c r="C21" s="217">
        <v>41.81</v>
      </c>
      <c r="D21" s="418"/>
    </row>
    <row r="22" spans="1:4" x14ac:dyDescent="0.25">
      <c r="A22" s="416">
        <v>39924</v>
      </c>
      <c r="B22" s="417">
        <v>0.4950739118005747</v>
      </c>
      <c r="C22" s="217">
        <v>39.621000000000002</v>
      </c>
      <c r="D22" s="418"/>
    </row>
    <row r="23" spans="1:4" x14ac:dyDescent="0.25">
      <c r="A23" s="416">
        <v>39925</v>
      </c>
      <c r="B23" s="417">
        <v>0.72728927390612785</v>
      </c>
      <c r="C23" s="217">
        <v>38.048000000000002</v>
      </c>
      <c r="D23" s="418"/>
    </row>
    <row r="24" spans="1:4" x14ac:dyDescent="0.25">
      <c r="A24" s="416">
        <v>39926</v>
      </c>
      <c r="B24" s="417">
        <v>7.8056296587392993E-2</v>
      </c>
      <c r="C24" s="217">
        <v>36.475000000000001</v>
      </c>
      <c r="D24" s="418"/>
    </row>
    <row r="25" spans="1:4" x14ac:dyDescent="0.25">
      <c r="A25" s="416">
        <v>39927</v>
      </c>
      <c r="B25" s="417">
        <v>2.5721703530354967E-2</v>
      </c>
      <c r="C25" s="217">
        <v>34.902000000000001</v>
      </c>
      <c r="D25" s="418"/>
    </row>
    <row r="26" spans="1:4" x14ac:dyDescent="0.25">
      <c r="A26" s="416">
        <v>39928</v>
      </c>
      <c r="B26" s="417">
        <v>0.99817869066818865</v>
      </c>
      <c r="C26" s="217">
        <v>33.329000000000001</v>
      </c>
      <c r="D26" s="418"/>
    </row>
    <row r="27" spans="1:4" x14ac:dyDescent="0.25">
      <c r="A27" s="416">
        <v>39929</v>
      </c>
      <c r="B27" s="417">
        <v>0.4950739118005747</v>
      </c>
      <c r="C27" s="217">
        <v>31.756</v>
      </c>
      <c r="D27" s="418"/>
    </row>
    <row r="28" spans="1:4" x14ac:dyDescent="0.25">
      <c r="A28" s="416">
        <v>39930</v>
      </c>
      <c r="B28" s="417">
        <v>0.72728927390612785</v>
      </c>
      <c r="C28" s="217">
        <v>30.183</v>
      </c>
      <c r="D28" s="418"/>
    </row>
    <row r="29" spans="1:4" x14ac:dyDescent="0.25">
      <c r="A29" s="416">
        <v>39931</v>
      </c>
      <c r="B29" s="417">
        <v>7.8056296587392993E-2</v>
      </c>
      <c r="C29" s="217">
        <v>28.61</v>
      </c>
      <c r="D29" s="418"/>
    </row>
    <row r="30" spans="1:4" x14ac:dyDescent="0.25">
      <c r="A30" s="416">
        <v>39932</v>
      </c>
      <c r="B30" s="417">
        <v>2.5721703530354967E-2</v>
      </c>
      <c r="C30" s="217">
        <v>41.81</v>
      </c>
      <c r="D30" s="418"/>
    </row>
    <row r="31" spans="1:4" x14ac:dyDescent="0.25">
      <c r="A31" s="416">
        <v>39933</v>
      </c>
      <c r="B31" s="417">
        <v>0.99817869066818865</v>
      </c>
      <c r="C31" s="217">
        <v>44.99</v>
      </c>
      <c r="D31" s="418"/>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172">
    <tabColor rgb="FFFFFF00"/>
  </sheetPr>
  <dimension ref="A1:L32"/>
  <sheetViews>
    <sheetView topLeftCell="A22" zoomScale="160" zoomScaleNormal="160" workbookViewId="0">
      <selection activeCell="A22" sqref="A1:XFD1048576"/>
    </sheetView>
  </sheetViews>
  <sheetFormatPr defaultRowHeight="15" x14ac:dyDescent="0.25"/>
  <cols>
    <col min="1" max="1" width="12.140625" bestFit="1" customWidth="1"/>
    <col min="2" max="2" width="13.85546875" bestFit="1" customWidth="1"/>
    <col min="257" max="257" width="12.140625" bestFit="1" customWidth="1"/>
    <col min="258" max="258" width="13.85546875" bestFit="1" customWidth="1"/>
    <col min="513" max="513" width="12.140625" bestFit="1" customWidth="1"/>
    <col min="514" max="514" width="13.85546875" bestFit="1" customWidth="1"/>
    <col min="769" max="769" width="12.140625" bestFit="1" customWidth="1"/>
    <col min="770" max="770" width="13.85546875" bestFit="1" customWidth="1"/>
    <col min="1025" max="1025" width="12.140625" bestFit="1" customWidth="1"/>
    <col min="1026" max="1026" width="13.85546875" bestFit="1" customWidth="1"/>
    <col min="1281" max="1281" width="12.140625" bestFit="1" customWidth="1"/>
    <col min="1282" max="1282" width="13.85546875" bestFit="1" customWidth="1"/>
    <col min="1537" max="1537" width="12.140625" bestFit="1" customWidth="1"/>
    <col min="1538" max="1538" width="13.85546875" bestFit="1" customWidth="1"/>
    <col min="1793" max="1793" width="12.140625" bestFit="1" customWidth="1"/>
    <col min="1794" max="1794" width="13.85546875" bestFit="1" customWidth="1"/>
    <col min="2049" max="2049" width="12.140625" bestFit="1" customWidth="1"/>
    <col min="2050" max="2050" width="13.85546875" bestFit="1" customWidth="1"/>
    <col min="2305" max="2305" width="12.140625" bestFit="1" customWidth="1"/>
    <col min="2306" max="2306" width="13.85546875" bestFit="1" customWidth="1"/>
    <col min="2561" max="2561" width="12.140625" bestFit="1" customWidth="1"/>
    <col min="2562" max="2562" width="13.85546875" bestFit="1" customWidth="1"/>
    <col min="2817" max="2817" width="12.140625" bestFit="1" customWidth="1"/>
    <col min="2818" max="2818" width="13.85546875" bestFit="1" customWidth="1"/>
    <col min="3073" max="3073" width="12.140625" bestFit="1" customWidth="1"/>
    <col min="3074" max="3074" width="13.85546875" bestFit="1" customWidth="1"/>
    <col min="3329" max="3329" width="12.140625" bestFit="1" customWidth="1"/>
    <col min="3330" max="3330" width="13.85546875" bestFit="1" customWidth="1"/>
    <col min="3585" max="3585" width="12.140625" bestFit="1" customWidth="1"/>
    <col min="3586" max="3586" width="13.85546875" bestFit="1" customWidth="1"/>
    <col min="3841" max="3841" width="12.140625" bestFit="1" customWidth="1"/>
    <col min="3842" max="3842" width="13.85546875" bestFit="1" customWidth="1"/>
    <col min="4097" max="4097" width="12.140625" bestFit="1" customWidth="1"/>
    <col min="4098" max="4098" width="13.85546875" bestFit="1" customWidth="1"/>
    <col min="4353" max="4353" width="12.140625" bestFit="1" customWidth="1"/>
    <col min="4354" max="4354" width="13.85546875" bestFit="1" customWidth="1"/>
    <col min="4609" max="4609" width="12.140625" bestFit="1" customWidth="1"/>
    <col min="4610" max="4610" width="13.85546875" bestFit="1" customWidth="1"/>
    <col min="4865" max="4865" width="12.140625" bestFit="1" customWidth="1"/>
    <col min="4866" max="4866" width="13.85546875" bestFit="1" customWidth="1"/>
    <col min="5121" max="5121" width="12.140625" bestFit="1" customWidth="1"/>
    <col min="5122" max="5122" width="13.85546875" bestFit="1" customWidth="1"/>
    <col min="5377" max="5377" width="12.140625" bestFit="1" customWidth="1"/>
    <col min="5378" max="5378" width="13.85546875" bestFit="1" customWidth="1"/>
    <col min="5633" max="5633" width="12.140625" bestFit="1" customWidth="1"/>
    <col min="5634" max="5634" width="13.85546875" bestFit="1" customWidth="1"/>
    <col min="5889" max="5889" width="12.140625" bestFit="1" customWidth="1"/>
    <col min="5890" max="5890" width="13.85546875" bestFit="1" customWidth="1"/>
    <col min="6145" max="6145" width="12.140625" bestFit="1" customWidth="1"/>
    <col min="6146" max="6146" width="13.85546875" bestFit="1" customWidth="1"/>
    <col min="6401" max="6401" width="12.140625" bestFit="1" customWidth="1"/>
    <col min="6402" max="6402" width="13.85546875" bestFit="1" customWidth="1"/>
    <col min="6657" max="6657" width="12.140625" bestFit="1" customWidth="1"/>
    <col min="6658" max="6658" width="13.85546875" bestFit="1" customWidth="1"/>
    <col min="6913" max="6913" width="12.140625" bestFit="1" customWidth="1"/>
    <col min="6914" max="6914" width="13.85546875" bestFit="1" customWidth="1"/>
    <col min="7169" max="7169" width="12.140625" bestFit="1" customWidth="1"/>
    <col min="7170" max="7170" width="13.85546875" bestFit="1" customWidth="1"/>
    <col min="7425" max="7425" width="12.140625" bestFit="1" customWidth="1"/>
    <col min="7426" max="7426" width="13.85546875" bestFit="1" customWidth="1"/>
    <col min="7681" max="7681" width="12.140625" bestFit="1" customWidth="1"/>
    <col min="7682" max="7682" width="13.85546875" bestFit="1" customWidth="1"/>
    <col min="7937" max="7937" width="12.140625" bestFit="1" customWidth="1"/>
    <col min="7938" max="7938" width="13.85546875" bestFit="1" customWidth="1"/>
    <col min="8193" max="8193" width="12.140625" bestFit="1" customWidth="1"/>
    <col min="8194" max="8194" width="13.85546875" bestFit="1" customWidth="1"/>
    <col min="8449" max="8449" width="12.140625" bestFit="1" customWidth="1"/>
    <col min="8450" max="8450" width="13.85546875" bestFit="1" customWidth="1"/>
    <col min="8705" max="8705" width="12.140625" bestFit="1" customWidth="1"/>
    <col min="8706" max="8706" width="13.85546875" bestFit="1" customWidth="1"/>
    <col min="8961" max="8961" width="12.140625" bestFit="1" customWidth="1"/>
    <col min="8962" max="8962" width="13.85546875" bestFit="1" customWidth="1"/>
    <col min="9217" max="9217" width="12.140625" bestFit="1" customWidth="1"/>
    <col min="9218" max="9218" width="13.85546875" bestFit="1" customWidth="1"/>
    <col min="9473" max="9473" width="12.140625" bestFit="1" customWidth="1"/>
    <col min="9474" max="9474" width="13.85546875" bestFit="1" customWidth="1"/>
    <col min="9729" max="9729" width="12.140625" bestFit="1" customWidth="1"/>
    <col min="9730" max="9730" width="13.85546875" bestFit="1" customWidth="1"/>
    <col min="9985" max="9985" width="12.140625" bestFit="1" customWidth="1"/>
    <col min="9986" max="9986" width="13.85546875" bestFit="1" customWidth="1"/>
    <col min="10241" max="10241" width="12.140625" bestFit="1" customWidth="1"/>
    <col min="10242" max="10242" width="13.85546875" bestFit="1" customWidth="1"/>
    <col min="10497" max="10497" width="12.140625" bestFit="1" customWidth="1"/>
    <col min="10498" max="10498" width="13.85546875" bestFit="1" customWidth="1"/>
    <col min="10753" max="10753" width="12.140625" bestFit="1" customWidth="1"/>
    <col min="10754" max="10754" width="13.85546875" bestFit="1" customWidth="1"/>
    <col min="11009" max="11009" width="12.140625" bestFit="1" customWidth="1"/>
    <col min="11010" max="11010" width="13.85546875" bestFit="1" customWidth="1"/>
    <col min="11265" max="11265" width="12.140625" bestFit="1" customWidth="1"/>
    <col min="11266" max="11266" width="13.85546875" bestFit="1" customWidth="1"/>
    <col min="11521" max="11521" width="12.140625" bestFit="1" customWidth="1"/>
    <col min="11522" max="11522" width="13.85546875" bestFit="1" customWidth="1"/>
    <col min="11777" max="11777" width="12.140625" bestFit="1" customWidth="1"/>
    <col min="11778" max="11778" width="13.85546875" bestFit="1" customWidth="1"/>
    <col min="12033" max="12033" width="12.140625" bestFit="1" customWidth="1"/>
    <col min="12034" max="12034" width="13.85546875" bestFit="1" customWidth="1"/>
    <col min="12289" max="12289" width="12.140625" bestFit="1" customWidth="1"/>
    <col min="12290" max="12290" width="13.85546875" bestFit="1" customWidth="1"/>
    <col min="12545" max="12545" width="12.140625" bestFit="1" customWidth="1"/>
    <col min="12546" max="12546" width="13.85546875" bestFit="1" customWidth="1"/>
    <col min="12801" max="12801" width="12.140625" bestFit="1" customWidth="1"/>
    <col min="12802" max="12802" width="13.85546875" bestFit="1" customWidth="1"/>
    <col min="13057" max="13057" width="12.140625" bestFit="1" customWidth="1"/>
    <col min="13058" max="13058" width="13.85546875" bestFit="1" customWidth="1"/>
    <col min="13313" max="13313" width="12.140625" bestFit="1" customWidth="1"/>
    <col min="13314" max="13314" width="13.85546875" bestFit="1" customWidth="1"/>
    <col min="13569" max="13569" width="12.140625" bestFit="1" customWidth="1"/>
    <col min="13570" max="13570" width="13.85546875" bestFit="1" customWidth="1"/>
    <col min="13825" max="13825" width="12.140625" bestFit="1" customWidth="1"/>
    <col min="13826" max="13826" width="13.85546875" bestFit="1" customWidth="1"/>
    <col min="14081" max="14081" width="12.140625" bestFit="1" customWidth="1"/>
    <col min="14082" max="14082" width="13.85546875" bestFit="1" customWidth="1"/>
    <col min="14337" max="14337" width="12.140625" bestFit="1" customWidth="1"/>
    <col min="14338" max="14338" width="13.85546875" bestFit="1" customWidth="1"/>
    <col min="14593" max="14593" width="12.140625" bestFit="1" customWidth="1"/>
    <col min="14594" max="14594" width="13.85546875" bestFit="1" customWidth="1"/>
    <col min="14849" max="14849" width="12.140625" bestFit="1" customWidth="1"/>
    <col min="14850" max="14850" width="13.85546875" bestFit="1" customWidth="1"/>
    <col min="15105" max="15105" width="12.140625" bestFit="1" customWidth="1"/>
    <col min="15106" max="15106" width="13.85546875" bestFit="1" customWidth="1"/>
    <col min="15361" max="15361" width="12.140625" bestFit="1" customWidth="1"/>
    <col min="15362" max="15362" width="13.85546875" bestFit="1" customWidth="1"/>
    <col min="15617" max="15617" width="12.140625" bestFit="1" customWidth="1"/>
    <col min="15618" max="15618" width="13.85546875" bestFit="1" customWidth="1"/>
    <col min="15873" max="15873" width="12.140625" bestFit="1" customWidth="1"/>
    <col min="15874" max="15874" width="13.85546875" bestFit="1" customWidth="1"/>
    <col min="16129" max="16129" width="12.140625" bestFit="1" customWidth="1"/>
    <col min="16130" max="16130" width="13.85546875" bestFit="1" customWidth="1"/>
  </cols>
  <sheetData>
    <row r="1" spans="1:12" ht="45" x14ac:dyDescent="0.25">
      <c r="A1" t="s">
        <v>0</v>
      </c>
      <c r="B1" t="s">
        <v>32</v>
      </c>
      <c r="C1" t="s">
        <v>1556</v>
      </c>
      <c r="F1" s="45" t="s">
        <v>1614</v>
      </c>
      <c r="G1" s="203"/>
      <c r="H1" s="203"/>
      <c r="I1" s="203"/>
      <c r="J1" s="203"/>
      <c r="K1" s="203"/>
      <c r="L1" s="46"/>
    </row>
    <row r="2" spans="1:12" x14ac:dyDescent="0.25">
      <c r="A2" s="416">
        <v>39934</v>
      </c>
      <c r="B2" s="417">
        <v>0.71341097395105568</v>
      </c>
      <c r="C2" s="217">
        <v>42.92</v>
      </c>
      <c r="D2" s="418"/>
    </row>
    <row r="3" spans="1:12" x14ac:dyDescent="0.25">
      <c r="A3" s="416">
        <v>39935</v>
      </c>
      <c r="B3" s="417">
        <v>0.99304123200145855</v>
      </c>
      <c r="C3" s="217">
        <v>42.61</v>
      </c>
      <c r="D3" s="418"/>
    </row>
    <row r="4" spans="1:12" x14ac:dyDescent="0.25">
      <c r="A4" s="416">
        <v>39936</v>
      </c>
      <c r="B4" s="417">
        <v>0.49942940415227333</v>
      </c>
      <c r="C4" s="217">
        <v>49.69</v>
      </c>
      <c r="D4" s="418"/>
    </row>
    <row r="5" spans="1:12" x14ac:dyDescent="0.25">
      <c r="A5" s="416">
        <v>39937</v>
      </c>
      <c r="B5" s="417">
        <v>0.94540784374630871</v>
      </c>
      <c r="C5" s="217">
        <v>44.58</v>
      </c>
      <c r="D5" s="418"/>
    </row>
    <row r="6" spans="1:12" x14ac:dyDescent="0.25">
      <c r="A6" s="416">
        <v>39938</v>
      </c>
      <c r="B6" s="417">
        <v>1.3948238920765021E-2</v>
      </c>
      <c r="C6" s="217">
        <v>43.03</v>
      </c>
      <c r="D6" s="418"/>
    </row>
    <row r="7" spans="1:12" x14ac:dyDescent="0.25">
      <c r="A7" s="416">
        <v>39939</v>
      </c>
      <c r="B7" s="417">
        <v>0.49261952139551646</v>
      </c>
      <c r="C7" s="217">
        <v>43.94</v>
      </c>
      <c r="D7" s="418"/>
    </row>
    <row r="8" spans="1:12" x14ac:dyDescent="0.25">
      <c r="A8" s="416">
        <v>39940</v>
      </c>
      <c r="B8" s="417">
        <v>0.83507342224425618</v>
      </c>
      <c r="C8" s="217">
        <v>43.74</v>
      </c>
      <c r="D8" s="418"/>
    </row>
    <row r="9" spans="1:12" x14ac:dyDescent="0.25">
      <c r="A9" s="416">
        <v>39941</v>
      </c>
      <c r="B9" s="417">
        <v>0.93304792675110204</v>
      </c>
      <c r="C9" s="217">
        <v>48.37</v>
      </c>
      <c r="D9" s="418"/>
    </row>
    <row r="10" spans="1:12" x14ac:dyDescent="0.25">
      <c r="A10" s="416">
        <v>39942</v>
      </c>
      <c r="B10" s="417">
        <v>3.086387324874762E-2</v>
      </c>
      <c r="C10" s="217">
        <v>42.56</v>
      </c>
      <c r="D10" s="418"/>
    </row>
    <row r="11" spans="1:12" x14ac:dyDescent="0.25">
      <c r="A11" s="416">
        <v>39943</v>
      </c>
      <c r="B11" s="417">
        <v>0.37076430936306948</v>
      </c>
      <c r="C11" s="217">
        <v>41.18</v>
      </c>
      <c r="D11" s="418"/>
    </row>
    <row r="12" spans="1:12" x14ac:dyDescent="0.25">
      <c r="A12" s="416">
        <v>39944</v>
      </c>
      <c r="B12" s="417">
        <v>0.24418885120404754</v>
      </c>
      <c r="C12" s="217">
        <v>47.980000000000004</v>
      </c>
      <c r="D12" s="418"/>
    </row>
    <row r="13" spans="1:12" x14ac:dyDescent="0.25">
      <c r="A13" s="416">
        <v>39945</v>
      </c>
      <c r="B13" s="417">
        <v>0.22160463272276409</v>
      </c>
      <c r="C13" s="217">
        <v>47.62</v>
      </c>
      <c r="D13" s="418"/>
    </row>
    <row r="14" spans="1:12" x14ac:dyDescent="0.25">
      <c r="A14" s="416">
        <v>39946</v>
      </c>
      <c r="B14" s="417">
        <v>0.73260493511802394</v>
      </c>
      <c r="C14" s="217">
        <v>44.99</v>
      </c>
      <c r="D14" s="418"/>
    </row>
    <row r="15" spans="1:12" x14ac:dyDescent="0.25">
      <c r="A15" s="416">
        <v>39947</v>
      </c>
      <c r="B15" s="417">
        <v>0.49052335369229239</v>
      </c>
      <c r="C15" s="217">
        <v>43.41</v>
      </c>
      <c r="D15" s="418"/>
    </row>
    <row r="16" spans="1:12" x14ac:dyDescent="0.25">
      <c r="A16" s="416">
        <v>39948</v>
      </c>
      <c r="B16" s="417">
        <v>0.27050617814723843</v>
      </c>
      <c r="C16" s="217">
        <v>41.82</v>
      </c>
      <c r="D16" s="418"/>
    </row>
    <row r="17" spans="1:4" x14ac:dyDescent="0.25">
      <c r="A17" s="416">
        <v>39949</v>
      </c>
      <c r="B17" s="417">
        <v>0.4950739118005747</v>
      </c>
      <c r="C17" s="217">
        <v>49.31</v>
      </c>
      <c r="D17" s="418"/>
    </row>
    <row r="18" spans="1:4" x14ac:dyDescent="0.25">
      <c r="A18" s="416">
        <v>39950</v>
      </c>
      <c r="B18" s="417">
        <v>0.72728927390612785</v>
      </c>
      <c r="C18" s="217">
        <v>42.77</v>
      </c>
      <c r="D18" s="418"/>
    </row>
    <row r="19" spans="1:4" x14ac:dyDescent="0.25">
      <c r="A19" s="416">
        <v>39951</v>
      </c>
      <c r="B19" s="417">
        <v>7.8056296587392993E-2</v>
      </c>
      <c r="C19" s="217">
        <v>45.769999999999996</v>
      </c>
      <c r="D19" s="418"/>
    </row>
    <row r="20" spans="1:4" x14ac:dyDescent="0.25">
      <c r="A20" s="416">
        <v>39952</v>
      </c>
      <c r="B20" s="417">
        <v>2.5721703530354967E-2</v>
      </c>
      <c r="C20" s="217">
        <v>42.04</v>
      </c>
      <c r="D20" s="418"/>
    </row>
    <row r="21" spans="1:4" x14ac:dyDescent="0.25">
      <c r="A21" s="416">
        <v>39953</v>
      </c>
      <c r="B21" s="417">
        <v>0.99817869066818865</v>
      </c>
      <c r="C21" s="217">
        <v>41.81</v>
      </c>
      <c r="D21" s="418"/>
    </row>
    <row r="22" spans="1:4" x14ac:dyDescent="0.25">
      <c r="A22" s="416">
        <v>39954</v>
      </c>
      <c r="B22" s="417">
        <v>0.4950739118005747</v>
      </c>
      <c r="C22" s="217">
        <v>39.621000000000002</v>
      </c>
      <c r="D22" s="418"/>
    </row>
    <row r="23" spans="1:4" x14ac:dyDescent="0.25">
      <c r="A23" s="416">
        <v>39955</v>
      </c>
      <c r="B23" s="417">
        <v>0.72728927390612785</v>
      </c>
      <c r="C23" s="217">
        <v>38.048000000000002</v>
      </c>
      <c r="D23" s="418"/>
    </row>
    <row r="24" spans="1:4" x14ac:dyDescent="0.25">
      <c r="A24" s="416">
        <v>39956</v>
      </c>
      <c r="B24" s="417">
        <v>7.8056296587392993E-2</v>
      </c>
      <c r="C24" s="217">
        <v>36.475000000000001</v>
      </c>
      <c r="D24" s="418"/>
    </row>
    <row r="25" spans="1:4" x14ac:dyDescent="0.25">
      <c r="A25" s="416">
        <v>39957</v>
      </c>
      <c r="B25" s="417">
        <v>2.5721703530354967E-2</v>
      </c>
      <c r="C25" s="217">
        <v>34.902000000000001</v>
      </c>
      <c r="D25" s="418"/>
    </row>
    <row r="26" spans="1:4" x14ac:dyDescent="0.25">
      <c r="A26" s="416">
        <v>39958</v>
      </c>
      <c r="B26" s="417">
        <v>0.99817869066818865</v>
      </c>
      <c r="C26" s="217">
        <v>33.329000000000001</v>
      </c>
      <c r="D26" s="418"/>
    </row>
    <row r="27" spans="1:4" x14ac:dyDescent="0.25">
      <c r="A27" s="416">
        <v>39959</v>
      </c>
      <c r="B27" s="417">
        <v>0.4950739118005747</v>
      </c>
      <c r="C27" s="217">
        <v>31.756</v>
      </c>
      <c r="D27" s="418"/>
    </row>
    <row r="28" spans="1:4" x14ac:dyDescent="0.25">
      <c r="A28" s="416">
        <v>39960</v>
      </c>
      <c r="B28" s="417">
        <v>0.72728927390612785</v>
      </c>
      <c r="C28" s="217">
        <v>30.183</v>
      </c>
      <c r="D28" s="418"/>
    </row>
    <row r="29" spans="1:4" x14ac:dyDescent="0.25">
      <c r="A29" s="416">
        <v>39961</v>
      </c>
      <c r="B29" s="417">
        <v>7.8056296587392993E-2</v>
      </c>
      <c r="C29" s="217">
        <v>28.61</v>
      </c>
      <c r="D29" s="418"/>
    </row>
    <row r="30" spans="1:4" x14ac:dyDescent="0.25">
      <c r="A30" s="416">
        <v>39962</v>
      </c>
      <c r="B30" s="417">
        <v>2.5721703530354967E-2</v>
      </c>
      <c r="C30" s="217">
        <v>41.81</v>
      </c>
      <c r="D30" s="418"/>
    </row>
    <row r="31" spans="1:4" x14ac:dyDescent="0.25">
      <c r="A31" s="416">
        <v>39963</v>
      </c>
      <c r="B31" s="417">
        <v>0.99817869066818865</v>
      </c>
      <c r="C31" s="217">
        <v>44.99</v>
      </c>
      <c r="D31" s="418"/>
    </row>
    <row r="32" spans="1:4" x14ac:dyDescent="0.25">
      <c r="A32" s="416">
        <v>39964</v>
      </c>
      <c r="B32" s="417">
        <v>1.0398453573348601</v>
      </c>
      <c r="C32" s="217">
        <v>45.99</v>
      </c>
      <c r="D32" s="418"/>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73">
    <tabColor rgb="FFFFFF00"/>
  </sheetPr>
  <dimension ref="A1:L94"/>
  <sheetViews>
    <sheetView zoomScale="145" zoomScaleNormal="145" workbookViewId="0">
      <selection sqref="A1:XFD1048576"/>
    </sheetView>
  </sheetViews>
  <sheetFormatPr defaultRowHeight="15" x14ac:dyDescent="0.25"/>
  <cols>
    <col min="1" max="1" width="9.7109375" bestFit="1" customWidth="1"/>
    <col min="2" max="2" width="11.8554687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1556</v>
      </c>
      <c r="F1" s="45" t="s">
        <v>1614</v>
      </c>
      <c r="G1" s="203"/>
      <c r="H1" s="203"/>
      <c r="I1" s="203"/>
      <c r="J1" s="203"/>
      <c r="K1" s="203"/>
      <c r="L1" s="46"/>
    </row>
    <row r="2" spans="1:12" x14ac:dyDescent="0.25">
      <c r="A2" s="419">
        <v>39965</v>
      </c>
      <c r="B2" s="413">
        <v>0.71341097395105568</v>
      </c>
      <c r="C2">
        <v>42.92</v>
      </c>
    </row>
    <row r="3" spans="1:12" x14ac:dyDescent="0.25">
      <c r="A3" s="419">
        <v>39966</v>
      </c>
      <c r="B3" s="413">
        <v>0.99304123200145855</v>
      </c>
      <c r="C3">
        <v>42.61</v>
      </c>
    </row>
    <row r="4" spans="1:12" x14ac:dyDescent="0.25">
      <c r="A4" s="419">
        <v>39967</v>
      </c>
      <c r="B4" s="413">
        <v>0.49942940415227333</v>
      </c>
      <c r="C4">
        <v>49.69</v>
      </c>
    </row>
    <row r="5" spans="1:12" x14ac:dyDescent="0.25">
      <c r="A5" s="419">
        <v>39968</v>
      </c>
      <c r="B5" s="413">
        <v>0.94540784374630871</v>
      </c>
      <c r="C5">
        <v>44.58</v>
      </c>
    </row>
    <row r="6" spans="1:12" x14ac:dyDescent="0.25">
      <c r="A6" s="419">
        <v>39969</v>
      </c>
      <c r="B6" s="413">
        <v>1.3948238920765021E-2</v>
      </c>
      <c r="C6">
        <v>43.03</v>
      </c>
    </row>
    <row r="7" spans="1:12" x14ac:dyDescent="0.25">
      <c r="A7" s="419">
        <v>39970</v>
      </c>
      <c r="B7" s="413">
        <v>0.49261952139551646</v>
      </c>
      <c r="C7">
        <v>43.94</v>
      </c>
    </row>
    <row r="8" spans="1:12" x14ac:dyDescent="0.25">
      <c r="A8" s="419">
        <v>39971</v>
      </c>
      <c r="B8" s="413">
        <v>0.83507342224425618</v>
      </c>
      <c r="C8">
        <v>43.74</v>
      </c>
    </row>
    <row r="9" spans="1:12" x14ac:dyDescent="0.25">
      <c r="A9" s="419">
        <v>39972</v>
      </c>
      <c r="B9" s="413">
        <v>0.93304792675110204</v>
      </c>
      <c r="C9">
        <v>48.37</v>
      </c>
    </row>
    <row r="10" spans="1:12" x14ac:dyDescent="0.25">
      <c r="A10" s="419">
        <v>39973</v>
      </c>
      <c r="B10" s="413">
        <v>3.086387324874762E-2</v>
      </c>
      <c r="C10">
        <v>42.56</v>
      </c>
    </row>
    <row r="11" spans="1:12" x14ac:dyDescent="0.25">
      <c r="A11" s="419">
        <v>39974</v>
      </c>
      <c r="B11" s="413">
        <v>0.37076430936306948</v>
      </c>
      <c r="C11">
        <v>41.18</v>
      </c>
    </row>
    <row r="12" spans="1:12" x14ac:dyDescent="0.25">
      <c r="A12" s="419">
        <v>39975</v>
      </c>
      <c r="B12" s="413">
        <v>0.24418885120404754</v>
      </c>
      <c r="C12">
        <v>47.980000000000004</v>
      </c>
    </row>
    <row r="13" spans="1:12" x14ac:dyDescent="0.25">
      <c r="A13" s="419">
        <v>39976</v>
      </c>
      <c r="B13" s="413">
        <v>0.22160463272276409</v>
      </c>
      <c r="C13">
        <v>47.62</v>
      </c>
    </row>
    <row r="14" spans="1:12" x14ac:dyDescent="0.25">
      <c r="A14" s="419">
        <v>39977</v>
      </c>
      <c r="B14" s="413">
        <v>0.73260493511802394</v>
      </c>
      <c r="C14">
        <v>44.99</v>
      </c>
    </row>
    <row r="15" spans="1:12" x14ac:dyDescent="0.25">
      <c r="A15" s="419">
        <v>39978</v>
      </c>
      <c r="B15" s="413">
        <v>0.49052335369229239</v>
      </c>
      <c r="C15">
        <v>43.41</v>
      </c>
    </row>
    <row r="16" spans="1:12" x14ac:dyDescent="0.25">
      <c r="A16" s="419">
        <v>39979</v>
      </c>
      <c r="B16" s="413">
        <v>0.27050617814723843</v>
      </c>
      <c r="C16">
        <v>41.82</v>
      </c>
    </row>
    <row r="17" spans="1:3" x14ac:dyDescent="0.25">
      <c r="A17" s="419">
        <v>39980</v>
      </c>
      <c r="B17" s="413">
        <v>0.4950739118005747</v>
      </c>
      <c r="C17">
        <v>49.31</v>
      </c>
    </row>
    <row r="18" spans="1:3" x14ac:dyDescent="0.25">
      <c r="A18" s="419">
        <v>39981</v>
      </c>
      <c r="B18" s="413">
        <v>0.72728927390612785</v>
      </c>
      <c r="C18">
        <v>42.77</v>
      </c>
    </row>
    <row r="19" spans="1:3" x14ac:dyDescent="0.25">
      <c r="A19" s="419">
        <v>39982</v>
      </c>
      <c r="B19" s="413">
        <v>7.8056296587392993E-2</v>
      </c>
      <c r="C19">
        <v>45.769999999999996</v>
      </c>
    </row>
    <row r="20" spans="1:3" x14ac:dyDescent="0.25">
      <c r="A20" s="419">
        <v>39983</v>
      </c>
      <c r="B20" s="413">
        <v>2.5721703530354967E-2</v>
      </c>
      <c r="C20">
        <v>42.04</v>
      </c>
    </row>
    <row r="21" spans="1:3" x14ac:dyDescent="0.25">
      <c r="A21" s="419">
        <v>39984</v>
      </c>
      <c r="B21" s="413">
        <v>0.99817869066818865</v>
      </c>
      <c r="C21">
        <v>41.81</v>
      </c>
    </row>
    <row r="22" spans="1:3" x14ac:dyDescent="0.25">
      <c r="A22" s="419">
        <v>39985</v>
      </c>
      <c r="B22" s="413">
        <v>0.4950739118005747</v>
      </c>
      <c r="C22">
        <v>39.621000000000002</v>
      </c>
    </row>
    <row r="23" spans="1:3" x14ac:dyDescent="0.25">
      <c r="A23" s="419">
        <v>39986</v>
      </c>
      <c r="B23" s="413">
        <v>0.72728927390612785</v>
      </c>
      <c r="C23">
        <v>38.048000000000002</v>
      </c>
    </row>
    <row r="24" spans="1:3" x14ac:dyDescent="0.25">
      <c r="A24" s="419">
        <v>39987</v>
      </c>
      <c r="B24" s="413">
        <v>7.8056296587392993E-2</v>
      </c>
      <c r="C24">
        <v>36.475000000000001</v>
      </c>
    </row>
    <row r="25" spans="1:3" x14ac:dyDescent="0.25">
      <c r="A25" s="419">
        <v>39988</v>
      </c>
      <c r="B25" s="413">
        <v>2.5721703530354967E-2</v>
      </c>
      <c r="C25">
        <v>34.902000000000001</v>
      </c>
    </row>
    <row r="26" spans="1:3" x14ac:dyDescent="0.25">
      <c r="A26" s="419">
        <v>39989</v>
      </c>
      <c r="B26" s="413">
        <v>0.99817869066818865</v>
      </c>
      <c r="C26">
        <v>33.329000000000001</v>
      </c>
    </row>
    <row r="27" spans="1:3" x14ac:dyDescent="0.25">
      <c r="A27" s="419">
        <v>39990</v>
      </c>
      <c r="B27" s="413">
        <v>0.4950739118005747</v>
      </c>
      <c r="C27">
        <v>31.756</v>
      </c>
    </row>
    <row r="28" spans="1:3" x14ac:dyDescent="0.25">
      <c r="A28" s="419">
        <v>39991</v>
      </c>
      <c r="B28" s="413">
        <v>0.72728927390612785</v>
      </c>
      <c r="C28">
        <v>30.183</v>
      </c>
    </row>
    <row r="29" spans="1:3" x14ac:dyDescent="0.25">
      <c r="A29" s="419">
        <v>39992</v>
      </c>
      <c r="B29" s="413">
        <v>7.8056296587392993E-2</v>
      </c>
      <c r="C29">
        <v>28.61</v>
      </c>
    </row>
    <row r="30" spans="1:3" x14ac:dyDescent="0.25">
      <c r="A30" s="419">
        <v>39993</v>
      </c>
      <c r="B30" s="413">
        <v>0.11972296325406</v>
      </c>
      <c r="C30">
        <v>29.61</v>
      </c>
    </row>
    <row r="31" spans="1:3" x14ac:dyDescent="0.25">
      <c r="A31" s="419">
        <v>39994</v>
      </c>
      <c r="B31" s="413">
        <v>0.161389629920726</v>
      </c>
      <c r="C31">
        <v>30.61</v>
      </c>
    </row>
    <row r="32" spans="1:3" x14ac:dyDescent="0.25">
      <c r="A32" s="419">
        <v>39995</v>
      </c>
      <c r="B32" s="413">
        <v>0.20305629658739299</v>
      </c>
      <c r="C32">
        <v>31.61</v>
      </c>
    </row>
    <row r="33" spans="1:3" x14ac:dyDescent="0.25">
      <c r="A33" s="419">
        <v>39996</v>
      </c>
      <c r="B33" s="413">
        <v>0.24472296325406001</v>
      </c>
      <c r="C33">
        <v>32.61</v>
      </c>
    </row>
    <row r="34" spans="1:3" x14ac:dyDescent="0.25">
      <c r="A34" s="419">
        <v>39997</v>
      </c>
      <c r="B34" s="413">
        <v>0.28638962992072597</v>
      </c>
      <c r="C34">
        <v>33.61</v>
      </c>
    </row>
    <row r="35" spans="1:3" x14ac:dyDescent="0.25">
      <c r="A35" s="419">
        <v>39998</v>
      </c>
      <c r="B35" s="413">
        <v>0.32805629658739299</v>
      </c>
      <c r="C35">
        <v>34.61</v>
      </c>
    </row>
    <row r="36" spans="1:3" x14ac:dyDescent="0.25">
      <c r="A36" s="419">
        <v>39999</v>
      </c>
      <c r="B36" s="413">
        <v>0.36972296325406001</v>
      </c>
      <c r="C36">
        <v>35.61</v>
      </c>
    </row>
    <row r="37" spans="1:3" x14ac:dyDescent="0.25">
      <c r="A37" s="419">
        <v>40000</v>
      </c>
      <c r="B37" s="413">
        <v>0.41138962992072597</v>
      </c>
      <c r="C37">
        <v>36.61</v>
      </c>
    </row>
    <row r="38" spans="1:3" x14ac:dyDescent="0.25">
      <c r="A38" s="419">
        <v>40001</v>
      </c>
      <c r="B38" s="413">
        <v>0.45305629658739299</v>
      </c>
      <c r="C38">
        <v>37.61</v>
      </c>
    </row>
    <row r="39" spans="1:3" x14ac:dyDescent="0.25">
      <c r="A39" s="419">
        <v>40002</v>
      </c>
      <c r="B39" s="413">
        <v>0.49472296325406001</v>
      </c>
      <c r="C39">
        <v>38.61</v>
      </c>
    </row>
    <row r="40" spans="1:3" x14ac:dyDescent="0.25">
      <c r="A40" s="419">
        <v>40003</v>
      </c>
      <c r="B40" s="413">
        <v>0.53638962992072603</v>
      </c>
      <c r="C40">
        <v>39.61</v>
      </c>
    </row>
    <row r="41" spans="1:3" x14ac:dyDescent="0.25">
      <c r="A41" s="419">
        <v>40004</v>
      </c>
      <c r="B41" s="413">
        <v>0.57805629658739299</v>
      </c>
      <c r="C41">
        <v>40.61</v>
      </c>
    </row>
    <row r="42" spans="1:3" x14ac:dyDescent="0.25">
      <c r="A42" s="419">
        <v>40005</v>
      </c>
      <c r="B42" s="413">
        <v>0.61972296325405996</v>
      </c>
      <c r="C42">
        <v>41.61</v>
      </c>
    </row>
    <row r="43" spans="1:3" x14ac:dyDescent="0.25">
      <c r="A43" s="419">
        <v>40006</v>
      </c>
      <c r="B43" s="413">
        <v>0.66138962992072603</v>
      </c>
      <c r="C43">
        <v>42.61</v>
      </c>
    </row>
    <row r="44" spans="1:3" x14ac:dyDescent="0.25">
      <c r="A44" s="419">
        <v>40007</v>
      </c>
      <c r="B44" s="413">
        <v>0.70305629658739299</v>
      </c>
      <c r="C44">
        <v>43.61</v>
      </c>
    </row>
    <row r="45" spans="1:3" x14ac:dyDescent="0.25">
      <c r="A45" s="419">
        <v>40008</v>
      </c>
      <c r="B45" s="413">
        <v>0.74472296325405996</v>
      </c>
      <c r="C45">
        <v>44.61</v>
      </c>
    </row>
    <row r="46" spans="1:3" x14ac:dyDescent="0.25">
      <c r="A46" s="419">
        <v>40009</v>
      </c>
      <c r="B46" s="413">
        <v>0.78638962992072603</v>
      </c>
      <c r="C46">
        <v>45.61</v>
      </c>
    </row>
    <row r="47" spans="1:3" x14ac:dyDescent="0.25">
      <c r="A47" s="419">
        <v>40010</v>
      </c>
      <c r="B47" s="413">
        <v>0.82805629658739299</v>
      </c>
      <c r="C47">
        <v>46.61</v>
      </c>
    </row>
    <row r="48" spans="1:3" x14ac:dyDescent="0.25">
      <c r="A48" s="419">
        <v>40011</v>
      </c>
      <c r="B48" s="413">
        <v>0.86972296325405996</v>
      </c>
      <c r="C48">
        <v>47.61</v>
      </c>
    </row>
    <row r="49" spans="1:3" x14ac:dyDescent="0.25">
      <c r="A49" s="419">
        <v>40012</v>
      </c>
      <c r="B49" s="413">
        <v>0.91138962992072603</v>
      </c>
      <c r="C49">
        <v>48.61</v>
      </c>
    </row>
    <row r="50" spans="1:3" x14ac:dyDescent="0.25">
      <c r="A50" s="419">
        <v>40013</v>
      </c>
      <c r="B50" s="413">
        <v>0.95305629658739299</v>
      </c>
      <c r="C50">
        <v>49.61</v>
      </c>
    </row>
    <row r="51" spans="1:3" x14ac:dyDescent="0.25">
      <c r="A51" s="419">
        <v>40014</v>
      </c>
      <c r="B51" s="413">
        <v>0.99472296325405996</v>
      </c>
      <c r="C51">
        <v>50.61</v>
      </c>
    </row>
    <row r="52" spans="1:3" x14ac:dyDescent="0.25">
      <c r="A52" s="419">
        <v>40015</v>
      </c>
      <c r="B52" s="413">
        <v>1.03638962992073</v>
      </c>
      <c r="C52">
        <v>51.61</v>
      </c>
    </row>
    <row r="53" spans="1:3" x14ac:dyDescent="0.25">
      <c r="A53" s="419">
        <v>40016</v>
      </c>
      <c r="B53" s="413">
        <v>1.0780562965873901</v>
      </c>
      <c r="C53">
        <v>52.61</v>
      </c>
    </row>
    <row r="54" spans="1:3" x14ac:dyDescent="0.25">
      <c r="A54" s="419">
        <v>40017</v>
      </c>
      <c r="B54" s="413">
        <v>1.11972296325406</v>
      </c>
      <c r="C54">
        <v>53.61</v>
      </c>
    </row>
    <row r="55" spans="1:3" x14ac:dyDescent="0.25">
      <c r="A55" s="419">
        <v>40018</v>
      </c>
      <c r="B55" s="413">
        <v>1.16138962992073</v>
      </c>
      <c r="C55">
        <v>54.61</v>
      </c>
    </row>
    <row r="56" spans="1:3" x14ac:dyDescent="0.25">
      <c r="A56" s="419">
        <v>40019</v>
      </c>
      <c r="B56" s="413">
        <v>1.2030562965873901</v>
      </c>
      <c r="C56">
        <v>55.61</v>
      </c>
    </row>
    <row r="57" spans="1:3" x14ac:dyDescent="0.25">
      <c r="A57" s="419">
        <v>40020</v>
      </c>
      <c r="B57" s="413">
        <v>1.24472296325406</v>
      </c>
      <c r="C57">
        <v>56.61</v>
      </c>
    </row>
    <row r="58" spans="1:3" x14ac:dyDescent="0.25">
      <c r="A58" s="419">
        <v>40021</v>
      </c>
      <c r="B58" s="413">
        <v>1.28638962992073</v>
      </c>
      <c r="C58">
        <v>57.61</v>
      </c>
    </row>
    <row r="59" spans="1:3" x14ac:dyDescent="0.25">
      <c r="A59" s="419">
        <v>40022</v>
      </c>
      <c r="B59" s="413">
        <v>1.3280562965873901</v>
      </c>
      <c r="C59">
        <v>58.61</v>
      </c>
    </row>
    <row r="60" spans="1:3" x14ac:dyDescent="0.25">
      <c r="A60" s="419">
        <v>40023</v>
      </c>
      <c r="B60" s="413">
        <v>1.36972296325406</v>
      </c>
      <c r="C60">
        <v>59.61</v>
      </c>
    </row>
    <row r="61" spans="1:3" x14ac:dyDescent="0.25">
      <c r="A61" s="419">
        <v>40024</v>
      </c>
      <c r="B61" s="413">
        <v>1.41138962992073</v>
      </c>
      <c r="C61">
        <v>60.61</v>
      </c>
    </row>
    <row r="62" spans="1:3" x14ac:dyDescent="0.25">
      <c r="A62" s="419">
        <v>40025</v>
      </c>
      <c r="B62" s="413">
        <v>1.4530562965873901</v>
      </c>
      <c r="C62">
        <v>61.61</v>
      </c>
    </row>
    <row r="63" spans="1:3" x14ac:dyDescent="0.25">
      <c r="A63" s="419">
        <v>40026</v>
      </c>
      <c r="B63" s="413">
        <v>1.49472296325406</v>
      </c>
      <c r="C63">
        <v>62.61</v>
      </c>
    </row>
    <row r="64" spans="1:3" x14ac:dyDescent="0.25">
      <c r="A64" s="419">
        <v>40027</v>
      </c>
      <c r="B64" s="413">
        <v>1.53638962992073</v>
      </c>
      <c r="C64">
        <v>63.61</v>
      </c>
    </row>
    <row r="65" spans="1:3" x14ac:dyDescent="0.25">
      <c r="A65" s="419">
        <v>40028</v>
      </c>
      <c r="B65" s="413">
        <v>1.5780562965873901</v>
      </c>
      <c r="C65">
        <v>64.61</v>
      </c>
    </row>
    <row r="66" spans="1:3" x14ac:dyDescent="0.25">
      <c r="A66" s="419">
        <v>40029</v>
      </c>
      <c r="B66" s="413">
        <v>1.61972296325406</v>
      </c>
      <c r="C66">
        <v>65.61</v>
      </c>
    </row>
    <row r="67" spans="1:3" x14ac:dyDescent="0.25">
      <c r="A67" s="419">
        <v>40030</v>
      </c>
      <c r="B67" s="413">
        <v>1.66138962992073</v>
      </c>
      <c r="C67">
        <v>66.61</v>
      </c>
    </row>
    <row r="68" spans="1:3" x14ac:dyDescent="0.25">
      <c r="A68" s="419">
        <v>40031</v>
      </c>
      <c r="B68" s="413">
        <v>1.7030562965873901</v>
      </c>
      <c r="C68">
        <v>67.61</v>
      </c>
    </row>
    <row r="69" spans="1:3" x14ac:dyDescent="0.25">
      <c r="A69" s="419">
        <v>40032</v>
      </c>
      <c r="B69" s="413">
        <v>1.74472296325406</v>
      </c>
      <c r="C69">
        <v>68.61</v>
      </c>
    </row>
    <row r="70" spans="1:3" x14ac:dyDescent="0.25">
      <c r="A70" s="419">
        <v>40033</v>
      </c>
      <c r="B70" s="413">
        <v>1.78638962992073</v>
      </c>
      <c r="C70">
        <v>69.61</v>
      </c>
    </row>
    <row r="71" spans="1:3" x14ac:dyDescent="0.25">
      <c r="A71" s="419">
        <v>40034</v>
      </c>
      <c r="B71" s="413">
        <v>1.8280562965873901</v>
      </c>
      <c r="C71">
        <v>70.61</v>
      </c>
    </row>
    <row r="72" spans="1:3" x14ac:dyDescent="0.25">
      <c r="A72" s="419">
        <v>40035</v>
      </c>
      <c r="B72" s="413">
        <v>1.86972296325406</v>
      </c>
      <c r="C72">
        <v>71.61</v>
      </c>
    </row>
    <row r="73" spans="1:3" x14ac:dyDescent="0.25">
      <c r="A73" s="419">
        <v>40036</v>
      </c>
      <c r="B73" s="413">
        <v>1.91138962992073</v>
      </c>
      <c r="C73">
        <v>72.61</v>
      </c>
    </row>
    <row r="74" spans="1:3" x14ac:dyDescent="0.25">
      <c r="A74" s="419">
        <v>40037</v>
      </c>
      <c r="B74" s="413">
        <v>1.9530562965873901</v>
      </c>
      <c r="C74">
        <v>73.61</v>
      </c>
    </row>
    <row r="75" spans="1:3" x14ac:dyDescent="0.25">
      <c r="A75" s="419">
        <v>40038</v>
      </c>
      <c r="B75" s="413">
        <v>1.99472296325406</v>
      </c>
      <c r="C75">
        <v>74.61</v>
      </c>
    </row>
    <row r="76" spans="1:3" x14ac:dyDescent="0.25">
      <c r="A76" s="419">
        <v>40039</v>
      </c>
      <c r="B76" s="413">
        <v>2.03638962992073</v>
      </c>
      <c r="C76">
        <v>75.61</v>
      </c>
    </row>
    <row r="77" spans="1:3" x14ac:dyDescent="0.25">
      <c r="A77" s="419">
        <v>40040</v>
      </c>
      <c r="B77" s="413">
        <v>2.0780562965873899</v>
      </c>
      <c r="C77">
        <v>76.61</v>
      </c>
    </row>
    <row r="78" spans="1:3" x14ac:dyDescent="0.25">
      <c r="A78" s="419">
        <v>40041</v>
      </c>
      <c r="B78" s="413">
        <v>2.11972296325406</v>
      </c>
      <c r="C78">
        <v>77.61</v>
      </c>
    </row>
    <row r="79" spans="1:3" x14ac:dyDescent="0.25">
      <c r="A79" s="419">
        <v>40042</v>
      </c>
      <c r="B79" s="413">
        <v>2.16138962992073</v>
      </c>
      <c r="C79">
        <v>78.61</v>
      </c>
    </row>
    <row r="80" spans="1:3" x14ac:dyDescent="0.25">
      <c r="A80" s="419">
        <v>40043</v>
      </c>
      <c r="B80" s="413">
        <v>2.2030562965873899</v>
      </c>
      <c r="C80">
        <v>79.61</v>
      </c>
    </row>
    <row r="81" spans="1:3" x14ac:dyDescent="0.25">
      <c r="A81" s="419">
        <v>40044</v>
      </c>
      <c r="B81" s="413">
        <v>2.24472296325406</v>
      </c>
      <c r="C81">
        <v>80.61</v>
      </c>
    </row>
    <row r="82" spans="1:3" x14ac:dyDescent="0.25">
      <c r="A82" s="419">
        <v>40045</v>
      </c>
      <c r="B82" s="413">
        <v>2.28638962992073</v>
      </c>
      <c r="C82">
        <v>81.61</v>
      </c>
    </row>
    <row r="83" spans="1:3" x14ac:dyDescent="0.25">
      <c r="A83" s="419">
        <v>40046</v>
      </c>
      <c r="B83" s="413">
        <v>2.3280562965873899</v>
      </c>
      <c r="C83">
        <v>82.61</v>
      </c>
    </row>
    <row r="84" spans="1:3" x14ac:dyDescent="0.25">
      <c r="A84" s="419">
        <v>40047</v>
      </c>
      <c r="B84" s="413">
        <v>2.36972296325406</v>
      </c>
      <c r="C84">
        <v>83.61</v>
      </c>
    </row>
    <row r="85" spans="1:3" x14ac:dyDescent="0.25">
      <c r="A85" s="419">
        <v>40048</v>
      </c>
      <c r="B85" s="413">
        <v>2.41138962992073</v>
      </c>
      <c r="C85">
        <v>84.61</v>
      </c>
    </row>
    <row r="86" spans="1:3" x14ac:dyDescent="0.25">
      <c r="A86" s="419">
        <v>40049</v>
      </c>
      <c r="B86" s="413">
        <v>2.4530562965873899</v>
      </c>
      <c r="C86">
        <v>85.61</v>
      </c>
    </row>
    <row r="87" spans="1:3" x14ac:dyDescent="0.25">
      <c r="A87" s="419">
        <v>40050</v>
      </c>
      <c r="B87" s="413">
        <v>2.49472296325406</v>
      </c>
      <c r="C87">
        <v>86.61</v>
      </c>
    </row>
    <row r="88" spans="1:3" x14ac:dyDescent="0.25">
      <c r="A88" s="419">
        <v>40051</v>
      </c>
      <c r="B88" s="413">
        <v>2.53638962992073</v>
      </c>
      <c r="C88">
        <v>87.61</v>
      </c>
    </row>
    <row r="89" spans="1:3" x14ac:dyDescent="0.25">
      <c r="A89" s="419">
        <v>40052</v>
      </c>
      <c r="B89" s="413">
        <v>2.5780562965873899</v>
      </c>
      <c r="C89">
        <v>88.61</v>
      </c>
    </row>
    <row r="90" spans="1:3" x14ac:dyDescent="0.25">
      <c r="A90" s="419">
        <v>40053</v>
      </c>
      <c r="B90" s="413">
        <v>2.61972296325406</v>
      </c>
      <c r="C90">
        <v>89.61</v>
      </c>
    </row>
    <row r="91" spans="1:3" x14ac:dyDescent="0.25">
      <c r="A91" s="419">
        <v>40054</v>
      </c>
      <c r="B91" s="413">
        <v>2.66138962992073</v>
      </c>
      <c r="C91">
        <v>90.61</v>
      </c>
    </row>
    <row r="92" spans="1:3" x14ac:dyDescent="0.25">
      <c r="A92" s="419">
        <v>40055</v>
      </c>
      <c r="B92" s="413">
        <v>2.7030562965873899</v>
      </c>
      <c r="C92">
        <v>91.61</v>
      </c>
    </row>
    <row r="93" spans="1:3" x14ac:dyDescent="0.25">
      <c r="A93" s="419">
        <v>40056</v>
      </c>
      <c r="B93" s="413">
        <v>2.74472296325406</v>
      </c>
      <c r="C93">
        <v>92.61</v>
      </c>
    </row>
    <row r="94" spans="1:3" x14ac:dyDescent="0.25">
      <c r="A94" s="419">
        <v>40057</v>
      </c>
      <c r="B94" s="413">
        <v>2.78638962992073</v>
      </c>
      <c r="C94">
        <v>93.61</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81">
    <tabColor theme="9" tint="-0.249977111117893"/>
  </sheetPr>
  <dimension ref="A1:L31"/>
  <sheetViews>
    <sheetView zoomScale="175" zoomScaleNormal="175" workbookViewId="0">
      <selection activeCell="E11" sqref="E11"/>
    </sheetView>
  </sheetViews>
  <sheetFormatPr defaultRowHeight="15" x14ac:dyDescent="0.25"/>
  <cols>
    <col min="1" max="1" width="9.7109375" bestFit="1" customWidth="1"/>
    <col min="2" max="2" width="11.570312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1556</v>
      </c>
      <c r="F1" s="45" t="s">
        <v>1614</v>
      </c>
      <c r="G1" s="203"/>
      <c r="H1" s="203"/>
      <c r="I1" s="203"/>
      <c r="J1" s="203"/>
      <c r="K1" s="203"/>
      <c r="L1" s="46"/>
    </row>
    <row r="2" spans="1:12" x14ac:dyDescent="0.25">
      <c r="A2" s="416">
        <v>39904</v>
      </c>
      <c r="B2" s="417">
        <v>0.71341097395105568</v>
      </c>
      <c r="C2" s="217">
        <v>42.92</v>
      </c>
      <c r="D2" s="418"/>
    </row>
    <row r="3" spans="1:12" x14ac:dyDescent="0.25">
      <c r="A3" s="416">
        <v>39905</v>
      </c>
      <c r="B3" s="417">
        <v>0.99304123200145855</v>
      </c>
      <c r="C3" s="217">
        <v>42.61</v>
      </c>
      <c r="D3" s="418"/>
    </row>
    <row r="4" spans="1:12" x14ac:dyDescent="0.25">
      <c r="A4" s="416">
        <v>39906</v>
      </c>
      <c r="B4" s="417">
        <v>0.49942940415227333</v>
      </c>
      <c r="C4" s="217">
        <v>49.69</v>
      </c>
      <c r="D4" s="418"/>
    </row>
    <row r="5" spans="1:12" x14ac:dyDescent="0.25">
      <c r="A5" s="416">
        <v>39907</v>
      </c>
      <c r="B5" s="417">
        <v>0.94540784374630871</v>
      </c>
      <c r="C5" s="217">
        <v>44.58</v>
      </c>
      <c r="D5" s="418"/>
    </row>
    <row r="6" spans="1:12" x14ac:dyDescent="0.25">
      <c r="A6" s="416">
        <v>39908</v>
      </c>
      <c r="B6" s="417">
        <v>1.3948238920765021E-2</v>
      </c>
      <c r="C6" s="217">
        <v>43.03</v>
      </c>
      <c r="D6" s="418"/>
    </row>
    <row r="7" spans="1:12" x14ac:dyDescent="0.25">
      <c r="A7" s="416">
        <v>39909</v>
      </c>
      <c r="B7" s="417">
        <v>0.49261952139551646</v>
      </c>
      <c r="C7" s="217">
        <v>43.94</v>
      </c>
      <c r="D7" s="418"/>
    </row>
    <row r="8" spans="1:12" x14ac:dyDescent="0.25">
      <c r="A8" s="416">
        <v>39910</v>
      </c>
      <c r="B8" s="417">
        <v>0.83507342224425618</v>
      </c>
      <c r="C8" s="217">
        <v>43.74</v>
      </c>
      <c r="D8" s="418"/>
    </row>
    <row r="9" spans="1:12" x14ac:dyDescent="0.25">
      <c r="A9" s="416">
        <v>39911</v>
      </c>
      <c r="B9" s="417">
        <v>0.93304792675110204</v>
      </c>
      <c r="C9" s="217">
        <v>48.37</v>
      </c>
      <c r="D9" s="418"/>
    </row>
    <row r="10" spans="1:12" x14ac:dyDescent="0.25">
      <c r="A10" s="416">
        <v>39912</v>
      </c>
      <c r="B10" s="417">
        <v>3.086387324874762E-2</v>
      </c>
      <c r="C10" s="217">
        <v>42.56</v>
      </c>
      <c r="D10" s="418"/>
    </row>
    <row r="11" spans="1:12" x14ac:dyDescent="0.25">
      <c r="A11" s="416">
        <v>39913</v>
      </c>
      <c r="B11" s="417">
        <v>0.37076430936306948</v>
      </c>
      <c r="C11" s="217">
        <v>41.18</v>
      </c>
      <c r="D11" s="418"/>
    </row>
    <row r="12" spans="1:12" x14ac:dyDescent="0.25">
      <c r="A12" s="416">
        <v>39914</v>
      </c>
      <c r="B12" s="417">
        <v>0.24418885120404754</v>
      </c>
      <c r="C12" s="217">
        <v>47.980000000000004</v>
      </c>
      <c r="D12" s="418"/>
    </row>
    <row r="13" spans="1:12" x14ac:dyDescent="0.25">
      <c r="A13" s="416">
        <v>39915</v>
      </c>
      <c r="B13" s="417">
        <v>0.22160463272276409</v>
      </c>
      <c r="C13" s="217">
        <v>47.62</v>
      </c>
      <c r="D13" s="418"/>
    </row>
    <row r="14" spans="1:12" x14ac:dyDescent="0.25">
      <c r="A14" s="416">
        <v>39916</v>
      </c>
      <c r="B14" s="417">
        <v>0.73260493511802394</v>
      </c>
      <c r="C14" s="217">
        <v>44.99</v>
      </c>
      <c r="D14" s="418"/>
    </row>
    <row r="15" spans="1:12" x14ac:dyDescent="0.25">
      <c r="A15" s="416">
        <v>39917</v>
      </c>
      <c r="B15" s="417">
        <v>0.49052335369229239</v>
      </c>
      <c r="C15" s="217">
        <v>43.41</v>
      </c>
      <c r="D15" s="418"/>
    </row>
    <row r="16" spans="1:12" x14ac:dyDescent="0.25">
      <c r="A16" s="416">
        <v>39918</v>
      </c>
      <c r="B16" s="417">
        <v>0.27050617814723843</v>
      </c>
      <c r="C16" s="217">
        <v>41.82</v>
      </c>
      <c r="D16" s="418"/>
    </row>
    <row r="17" spans="1:4" x14ac:dyDescent="0.25">
      <c r="A17" s="416">
        <v>39919</v>
      </c>
      <c r="B17" s="417">
        <v>0.4950739118005747</v>
      </c>
      <c r="C17" s="217">
        <v>49.31</v>
      </c>
      <c r="D17" s="418"/>
    </row>
    <row r="18" spans="1:4" x14ac:dyDescent="0.25">
      <c r="A18" s="416">
        <v>39920</v>
      </c>
      <c r="B18" s="417">
        <v>0.72728927390612785</v>
      </c>
      <c r="C18" s="217">
        <v>42.77</v>
      </c>
      <c r="D18" s="418"/>
    </row>
    <row r="19" spans="1:4" x14ac:dyDescent="0.25">
      <c r="A19" s="416">
        <v>39921</v>
      </c>
      <c r="B19" s="417">
        <v>7.8056296587392993E-2</v>
      </c>
      <c r="C19" s="217">
        <v>45.769999999999996</v>
      </c>
      <c r="D19" s="418"/>
    </row>
    <row r="20" spans="1:4" x14ac:dyDescent="0.25">
      <c r="A20" s="416">
        <v>39922</v>
      </c>
      <c r="B20" s="417">
        <v>2.5721703530354967E-2</v>
      </c>
      <c r="C20" s="217">
        <v>42.04</v>
      </c>
      <c r="D20" s="418"/>
    </row>
    <row r="21" spans="1:4" x14ac:dyDescent="0.25">
      <c r="A21" s="416">
        <v>39923</v>
      </c>
      <c r="B21" s="417">
        <v>0.99817869066818865</v>
      </c>
      <c r="C21" s="217">
        <v>41.81</v>
      </c>
      <c r="D21" s="418"/>
    </row>
    <row r="22" spans="1:4" x14ac:dyDescent="0.25">
      <c r="A22" s="416">
        <v>39924</v>
      </c>
      <c r="B22" s="417">
        <v>0.4950739118005747</v>
      </c>
      <c r="C22" s="217">
        <v>39.621000000000002</v>
      </c>
      <c r="D22" s="418"/>
    </row>
    <row r="23" spans="1:4" x14ac:dyDescent="0.25">
      <c r="A23" s="416">
        <v>39925</v>
      </c>
      <c r="B23" s="417">
        <v>0.72728927390612785</v>
      </c>
      <c r="C23" s="217">
        <v>38.048000000000002</v>
      </c>
      <c r="D23" s="418"/>
    </row>
    <row r="24" spans="1:4" x14ac:dyDescent="0.25">
      <c r="A24" s="416">
        <v>39926</v>
      </c>
      <c r="B24" s="417">
        <v>7.8056296587392993E-2</v>
      </c>
      <c r="C24" s="217">
        <v>36.475000000000001</v>
      </c>
      <c r="D24" s="418"/>
    </row>
    <row r="25" spans="1:4" x14ac:dyDescent="0.25">
      <c r="A25" s="416">
        <v>39927</v>
      </c>
      <c r="B25" s="417">
        <v>2.5721703530354967E-2</v>
      </c>
      <c r="C25" s="217">
        <v>34.902000000000001</v>
      </c>
      <c r="D25" s="418"/>
    </row>
    <row r="26" spans="1:4" x14ac:dyDescent="0.25">
      <c r="A26" s="416">
        <v>39928</v>
      </c>
      <c r="B26" s="417">
        <v>0.99817869066818865</v>
      </c>
      <c r="C26" s="217">
        <v>33.329000000000001</v>
      </c>
      <c r="D26" s="418"/>
    </row>
    <row r="27" spans="1:4" x14ac:dyDescent="0.25">
      <c r="A27" s="416">
        <v>39929</v>
      </c>
      <c r="B27" s="417">
        <v>0.4950739118005747</v>
      </c>
      <c r="C27" s="217">
        <v>31.756</v>
      </c>
      <c r="D27" s="418"/>
    </row>
    <row r="28" spans="1:4" x14ac:dyDescent="0.25">
      <c r="A28" s="416">
        <v>39930</v>
      </c>
      <c r="B28" s="417">
        <v>0.72728927390612785</v>
      </c>
      <c r="C28" s="217">
        <v>30.183</v>
      </c>
      <c r="D28" s="418"/>
    </row>
    <row r="29" spans="1:4" x14ac:dyDescent="0.25">
      <c r="A29" s="416">
        <v>39931</v>
      </c>
      <c r="B29" s="417">
        <v>7.8056296587392993E-2</v>
      </c>
      <c r="C29" s="217">
        <v>28.61</v>
      </c>
      <c r="D29" s="418"/>
    </row>
    <row r="30" spans="1:4" x14ac:dyDescent="0.25">
      <c r="A30" s="416">
        <v>39932</v>
      </c>
      <c r="B30" s="417">
        <v>2.5721703530354967E-2</v>
      </c>
      <c r="C30" s="217">
        <v>41.81</v>
      </c>
      <c r="D30" s="418"/>
    </row>
    <row r="31" spans="1:4" x14ac:dyDescent="0.25">
      <c r="A31" s="416">
        <v>39933</v>
      </c>
      <c r="B31" s="417">
        <v>0.99817869066818865</v>
      </c>
      <c r="C31" s="217">
        <v>44.99</v>
      </c>
      <c r="D31" s="418"/>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82">
    <tabColor theme="9" tint="-0.249977111117893"/>
  </sheetPr>
  <dimension ref="A1:L32"/>
  <sheetViews>
    <sheetView topLeftCell="A22" zoomScale="160" zoomScaleNormal="160" workbookViewId="0">
      <selection activeCell="A22" sqref="A1:XFD1048576"/>
    </sheetView>
  </sheetViews>
  <sheetFormatPr defaultRowHeight="15" x14ac:dyDescent="0.25"/>
  <cols>
    <col min="1" max="1" width="12.140625" bestFit="1" customWidth="1"/>
    <col min="2" max="2" width="13.85546875" bestFit="1" customWidth="1"/>
    <col min="257" max="257" width="12.140625" bestFit="1" customWidth="1"/>
    <col min="258" max="258" width="13.85546875" bestFit="1" customWidth="1"/>
    <col min="513" max="513" width="12.140625" bestFit="1" customWidth="1"/>
    <col min="514" max="514" width="13.85546875" bestFit="1" customWidth="1"/>
    <col min="769" max="769" width="12.140625" bestFit="1" customWidth="1"/>
    <col min="770" max="770" width="13.85546875" bestFit="1" customWidth="1"/>
    <col min="1025" max="1025" width="12.140625" bestFit="1" customWidth="1"/>
    <col min="1026" max="1026" width="13.85546875" bestFit="1" customWidth="1"/>
    <col min="1281" max="1281" width="12.140625" bestFit="1" customWidth="1"/>
    <col min="1282" max="1282" width="13.85546875" bestFit="1" customWidth="1"/>
    <col min="1537" max="1537" width="12.140625" bestFit="1" customWidth="1"/>
    <col min="1538" max="1538" width="13.85546875" bestFit="1" customWidth="1"/>
    <col min="1793" max="1793" width="12.140625" bestFit="1" customWidth="1"/>
    <col min="1794" max="1794" width="13.85546875" bestFit="1" customWidth="1"/>
    <col min="2049" max="2049" width="12.140625" bestFit="1" customWidth="1"/>
    <col min="2050" max="2050" width="13.85546875" bestFit="1" customWidth="1"/>
    <col min="2305" max="2305" width="12.140625" bestFit="1" customWidth="1"/>
    <col min="2306" max="2306" width="13.85546875" bestFit="1" customWidth="1"/>
    <col min="2561" max="2561" width="12.140625" bestFit="1" customWidth="1"/>
    <col min="2562" max="2562" width="13.85546875" bestFit="1" customWidth="1"/>
    <col min="2817" max="2817" width="12.140625" bestFit="1" customWidth="1"/>
    <col min="2818" max="2818" width="13.85546875" bestFit="1" customWidth="1"/>
    <col min="3073" max="3073" width="12.140625" bestFit="1" customWidth="1"/>
    <col min="3074" max="3074" width="13.85546875" bestFit="1" customWidth="1"/>
    <col min="3329" max="3329" width="12.140625" bestFit="1" customWidth="1"/>
    <col min="3330" max="3330" width="13.85546875" bestFit="1" customWidth="1"/>
    <col min="3585" max="3585" width="12.140625" bestFit="1" customWidth="1"/>
    <col min="3586" max="3586" width="13.85546875" bestFit="1" customWidth="1"/>
    <col min="3841" max="3841" width="12.140625" bestFit="1" customWidth="1"/>
    <col min="3842" max="3842" width="13.85546875" bestFit="1" customWidth="1"/>
    <col min="4097" max="4097" width="12.140625" bestFit="1" customWidth="1"/>
    <col min="4098" max="4098" width="13.85546875" bestFit="1" customWidth="1"/>
    <col min="4353" max="4353" width="12.140625" bestFit="1" customWidth="1"/>
    <col min="4354" max="4354" width="13.85546875" bestFit="1" customWidth="1"/>
    <col min="4609" max="4609" width="12.140625" bestFit="1" customWidth="1"/>
    <col min="4610" max="4610" width="13.85546875" bestFit="1" customWidth="1"/>
    <col min="4865" max="4865" width="12.140625" bestFit="1" customWidth="1"/>
    <col min="4866" max="4866" width="13.85546875" bestFit="1" customWidth="1"/>
    <col min="5121" max="5121" width="12.140625" bestFit="1" customWidth="1"/>
    <col min="5122" max="5122" width="13.85546875" bestFit="1" customWidth="1"/>
    <col min="5377" max="5377" width="12.140625" bestFit="1" customWidth="1"/>
    <col min="5378" max="5378" width="13.85546875" bestFit="1" customWidth="1"/>
    <col min="5633" max="5633" width="12.140625" bestFit="1" customWidth="1"/>
    <col min="5634" max="5634" width="13.85546875" bestFit="1" customWidth="1"/>
    <col min="5889" max="5889" width="12.140625" bestFit="1" customWidth="1"/>
    <col min="5890" max="5890" width="13.85546875" bestFit="1" customWidth="1"/>
    <col min="6145" max="6145" width="12.140625" bestFit="1" customWidth="1"/>
    <col min="6146" max="6146" width="13.85546875" bestFit="1" customWidth="1"/>
    <col min="6401" max="6401" width="12.140625" bestFit="1" customWidth="1"/>
    <col min="6402" max="6402" width="13.85546875" bestFit="1" customWidth="1"/>
    <col min="6657" max="6657" width="12.140625" bestFit="1" customWidth="1"/>
    <col min="6658" max="6658" width="13.85546875" bestFit="1" customWidth="1"/>
    <col min="6913" max="6913" width="12.140625" bestFit="1" customWidth="1"/>
    <col min="6914" max="6914" width="13.85546875" bestFit="1" customWidth="1"/>
    <col min="7169" max="7169" width="12.140625" bestFit="1" customWidth="1"/>
    <col min="7170" max="7170" width="13.85546875" bestFit="1" customWidth="1"/>
    <col min="7425" max="7425" width="12.140625" bestFit="1" customWidth="1"/>
    <col min="7426" max="7426" width="13.85546875" bestFit="1" customWidth="1"/>
    <col min="7681" max="7681" width="12.140625" bestFit="1" customWidth="1"/>
    <col min="7682" max="7682" width="13.85546875" bestFit="1" customWidth="1"/>
    <col min="7937" max="7937" width="12.140625" bestFit="1" customWidth="1"/>
    <col min="7938" max="7938" width="13.85546875" bestFit="1" customWidth="1"/>
    <col min="8193" max="8193" width="12.140625" bestFit="1" customWidth="1"/>
    <col min="8194" max="8194" width="13.85546875" bestFit="1" customWidth="1"/>
    <col min="8449" max="8449" width="12.140625" bestFit="1" customWidth="1"/>
    <col min="8450" max="8450" width="13.85546875" bestFit="1" customWidth="1"/>
    <col min="8705" max="8705" width="12.140625" bestFit="1" customWidth="1"/>
    <col min="8706" max="8706" width="13.85546875" bestFit="1" customWidth="1"/>
    <col min="8961" max="8961" width="12.140625" bestFit="1" customWidth="1"/>
    <col min="8962" max="8962" width="13.85546875" bestFit="1" customWidth="1"/>
    <col min="9217" max="9217" width="12.140625" bestFit="1" customWidth="1"/>
    <col min="9218" max="9218" width="13.85546875" bestFit="1" customWidth="1"/>
    <col min="9473" max="9473" width="12.140625" bestFit="1" customWidth="1"/>
    <col min="9474" max="9474" width="13.85546875" bestFit="1" customWidth="1"/>
    <col min="9729" max="9729" width="12.140625" bestFit="1" customWidth="1"/>
    <col min="9730" max="9730" width="13.85546875" bestFit="1" customWidth="1"/>
    <col min="9985" max="9985" width="12.140625" bestFit="1" customWidth="1"/>
    <col min="9986" max="9986" width="13.85546875" bestFit="1" customWidth="1"/>
    <col min="10241" max="10241" width="12.140625" bestFit="1" customWidth="1"/>
    <col min="10242" max="10242" width="13.85546875" bestFit="1" customWidth="1"/>
    <col min="10497" max="10497" width="12.140625" bestFit="1" customWidth="1"/>
    <col min="10498" max="10498" width="13.85546875" bestFit="1" customWidth="1"/>
    <col min="10753" max="10753" width="12.140625" bestFit="1" customWidth="1"/>
    <col min="10754" max="10754" width="13.85546875" bestFit="1" customWidth="1"/>
    <col min="11009" max="11009" width="12.140625" bestFit="1" customWidth="1"/>
    <col min="11010" max="11010" width="13.85546875" bestFit="1" customWidth="1"/>
    <col min="11265" max="11265" width="12.140625" bestFit="1" customWidth="1"/>
    <col min="11266" max="11266" width="13.85546875" bestFit="1" customWidth="1"/>
    <col min="11521" max="11521" width="12.140625" bestFit="1" customWidth="1"/>
    <col min="11522" max="11522" width="13.85546875" bestFit="1" customWidth="1"/>
    <col min="11777" max="11777" width="12.140625" bestFit="1" customWidth="1"/>
    <col min="11778" max="11778" width="13.85546875" bestFit="1" customWidth="1"/>
    <col min="12033" max="12033" width="12.140625" bestFit="1" customWidth="1"/>
    <col min="12034" max="12034" width="13.85546875" bestFit="1" customWidth="1"/>
    <col min="12289" max="12289" width="12.140625" bestFit="1" customWidth="1"/>
    <col min="12290" max="12290" width="13.85546875" bestFit="1" customWidth="1"/>
    <col min="12545" max="12545" width="12.140625" bestFit="1" customWidth="1"/>
    <col min="12546" max="12546" width="13.85546875" bestFit="1" customWidth="1"/>
    <col min="12801" max="12801" width="12.140625" bestFit="1" customWidth="1"/>
    <col min="12802" max="12802" width="13.85546875" bestFit="1" customWidth="1"/>
    <col min="13057" max="13057" width="12.140625" bestFit="1" customWidth="1"/>
    <col min="13058" max="13058" width="13.85546875" bestFit="1" customWidth="1"/>
    <col min="13313" max="13313" width="12.140625" bestFit="1" customWidth="1"/>
    <col min="13314" max="13314" width="13.85546875" bestFit="1" customWidth="1"/>
    <col min="13569" max="13569" width="12.140625" bestFit="1" customWidth="1"/>
    <col min="13570" max="13570" width="13.85546875" bestFit="1" customWidth="1"/>
    <col min="13825" max="13825" width="12.140625" bestFit="1" customWidth="1"/>
    <col min="13826" max="13826" width="13.85546875" bestFit="1" customWidth="1"/>
    <col min="14081" max="14081" width="12.140625" bestFit="1" customWidth="1"/>
    <col min="14082" max="14082" width="13.85546875" bestFit="1" customWidth="1"/>
    <col min="14337" max="14337" width="12.140625" bestFit="1" customWidth="1"/>
    <col min="14338" max="14338" width="13.85546875" bestFit="1" customWidth="1"/>
    <col min="14593" max="14593" width="12.140625" bestFit="1" customWidth="1"/>
    <col min="14594" max="14594" width="13.85546875" bestFit="1" customWidth="1"/>
    <col min="14849" max="14849" width="12.140625" bestFit="1" customWidth="1"/>
    <col min="14850" max="14850" width="13.85546875" bestFit="1" customWidth="1"/>
    <col min="15105" max="15105" width="12.140625" bestFit="1" customWidth="1"/>
    <col min="15106" max="15106" width="13.85546875" bestFit="1" customWidth="1"/>
    <col min="15361" max="15361" width="12.140625" bestFit="1" customWidth="1"/>
    <col min="15362" max="15362" width="13.85546875" bestFit="1" customWidth="1"/>
    <col min="15617" max="15617" width="12.140625" bestFit="1" customWidth="1"/>
    <col min="15618" max="15618" width="13.85546875" bestFit="1" customWidth="1"/>
    <col min="15873" max="15873" width="12.140625" bestFit="1" customWidth="1"/>
    <col min="15874" max="15874" width="13.85546875" bestFit="1" customWidth="1"/>
    <col min="16129" max="16129" width="12.140625" bestFit="1" customWidth="1"/>
    <col min="16130" max="16130" width="13.85546875" bestFit="1" customWidth="1"/>
  </cols>
  <sheetData>
    <row r="1" spans="1:12" ht="45" x14ac:dyDescent="0.25">
      <c r="A1" t="s">
        <v>0</v>
      </c>
      <c r="B1" t="s">
        <v>32</v>
      </c>
      <c r="C1" t="s">
        <v>1556</v>
      </c>
      <c r="F1" s="45" t="s">
        <v>1614</v>
      </c>
      <c r="G1" s="203"/>
      <c r="H1" s="203"/>
      <c r="I1" s="203"/>
      <c r="J1" s="203"/>
      <c r="K1" s="203"/>
      <c r="L1" s="46"/>
    </row>
    <row r="2" spans="1:12" x14ac:dyDescent="0.25">
      <c r="A2" s="416">
        <v>39934</v>
      </c>
      <c r="B2" s="417">
        <v>0.71341097395105568</v>
      </c>
      <c r="C2" s="217">
        <v>42.92</v>
      </c>
      <c r="D2" s="418"/>
    </row>
    <row r="3" spans="1:12" x14ac:dyDescent="0.25">
      <c r="A3" s="416">
        <v>39935</v>
      </c>
      <c r="B3" s="417">
        <v>0.99304123200145855</v>
      </c>
      <c r="C3" s="217">
        <v>42.61</v>
      </c>
      <c r="D3" s="418"/>
    </row>
    <row r="4" spans="1:12" x14ac:dyDescent="0.25">
      <c r="A4" s="416">
        <v>39936</v>
      </c>
      <c r="B4" s="417">
        <v>0.49942940415227333</v>
      </c>
      <c r="C4" s="217">
        <v>49.69</v>
      </c>
      <c r="D4" s="418"/>
    </row>
    <row r="5" spans="1:12" x14ac:dyDescent="0.25">
      <c r="A5" s="416">
        <v>39937</v>
      </c>
      <c r="B5" s="417">
        <v>0.94540784374630871</v>
      </c>
      <c r="C5" s="217">
        <v>44.58</v>
      </c>
      <c r="D5" s="418"/>
    </row>
    <row r="6" spans="1:12" x14ac:dyDescent="0.25">
      <c r="A6" s="416">
        <v>39938</v>
      </c>
      <c r="B6" s="417">
        <v>1.3948238920765021E-2</v>
      </c>
      <c r="C6" s="217">
        <v>43.03</v>
      </c>
      <c r="D6" s="418"/>
    </row>
    <row r="7" spans="1:12" x14ac:dyDescent="0.25">
      <c r="A7" s="416">
        <v>39939</v>
      </c>
      <c r="B7" s="417">
        <v>0.49261952139551646</v>
      </c>
      <c r="C7" s="217">
        <v>43.94</v>
      </c>
      <c r="D7" s="418"/>
    </row>
    <row r="8" spans="1:12" x14ac:dyDescent="0.25">
      <c r="A8" s="416">
        <v>39940</v>
      </c>
      <c r="B8" s="417">
        <v>0.83507342224425618</v>
      </c>
      <c r="C8" s="217">
        <v>43.74</v>
      </c>
      <c r="D8" s="418"/>
    </row>
    <row r="9" spans="1:12" x14ac:dyDescent="0.25">
      <c r="A9" s="416">
        <v>39941</v>
      </c>
      <c r="B9" s="417">
        <v>0.93304792675110204</v>
      </c>
      <c r="C9" s="217">
        <v>48.37</v>
      </c>
      <c r="D9" s="418"/>
    </row>
    <row r="10" spans="1:12" x14ac:dyDescent="0.25">
      <c r="A10" s="416">
        <v>39942</v>
      </c>
      <c r="B10" s="417">
        <v>3.086387324874762E-2</v>
      </c>
      <c r="C10" s="217">
        <v>42.56</v>
      </c>
      <c r="D10" s="418"/>
    </row>
    <row r="11" spans="1:12" x14ac:dyDescent="0.25">
      <c r="A11" s="416">
        <v>39943</v>
      </c>
      <c r="B11" s="417">
        <v>0.37076430936306948</v>
      </c>
      <c r="C11" s="217">
        <v>41.18</v>
      </c>
      <c r="D11" s="418"/>
    </row>
    <row r="12" spans="1:12" x14ac:dyDescent="0.25">
      <c r="A12" s="416">
        <v>39944</v>
      </c>
      <c r="B12" s="417">
        <v>0.24418885120404754</v>
      </c>
      <c r="C12" s="217">
        <v>47.980000000000004</v>
      </c>
      <c r="D12" s="418"/>
    </row>
    <row r="13" spans="1:12" x14ac:dyDescent="0.25">
      <c r="A13" s="416">
        <v>39945</v>
      </c>
      <c r="B13" s="417">
        <v>0.22160463272276409</v>
      </c>
      <c r="C13" s="217">
        <v>47.62</v>
      </c>
      <c r="D13" s="418"/>
    </row>
    <row r="14" spans="1:12" x14ac:dyDescent="0.25">
      <c r="A14" s="416">
        <v>39946</v>
      </c>
      <c r="B14" s="417">
        <v>0.73260493511802394</v>
      </c>
      <c r="C14" s="217">
        <v>44.99</v>
      </c>
      <c r="D14" s="418"/>
    </row>
    <row r="15" spans="1:12" x14ac:dyDescent="0.25">
      <c r="A15" s="416">
        <v>39947</v>
      </c>
      <c r="B15" s="417">
        <v>0.49052335369229239</v>
      </c>
      <c r="C15" s="217">
        <v>43.41</v>
      </c>
      <c r="D15" s="418"/>
    </row>
    <row r="16" spans="1:12" x14ac:dyDescent="0.25">
      <c r="A16" s="416">
        <v>39948</v>
      </c>
      <c r="B16" s="417">
        <v>0.27050617814723843</v>
      </c>
      <c r="C16" s="217">
        <v>41.82</v>
      </c>
      <c r="D16" s="418"/>
    </row>
    <row r="17" spans="1:4" x14ac:dyDescent="0.25">
      <c r="A17" s="416">
        <v>39949</v>
      </c>
      <c r="B17" s="417">
        <v>0.4950739118005747</v>
      </c>
      <c r="C17" s="217">
        <v>49.31</v>
      </c>
      <c r="D17" s="418"/>
    </row>
    <row r="18" spans="1:4" x14ac:dyDescent="0.25">
      <c r="A18" s="416">
        <v>39950</v>
      </c>
      <c r="B18" s="417">
        <v>0.72728927390612785</v>
      </c>
      <c r="C18" s="217">
        <v>42.77</v>
      </c>
      <c r="D18" s="418"/>
    </row>
    <row r="19" spans="1:4" x14ac:dyDescent="0.25">
      <c r="A19" s="416">
        <v>39951</v>
      </c>
      <c r="B19" s="417">
        <v>7.8056296587392993E-2</v>
      </c>
      <c r="C19" s="217">
        <v>45.769999999999996</v>
      </c>
      <c r="D19" s="418"/>
    </row>
    <row r="20" spans="1:4" x14ac:dyDescent="0.25">
      <c r="A20" s="416">
        <v>39952</v>
      </c>
      <c r="B20" s="417">
        <v>2.5721703530354967E-2</v>
      </c>
      <c r="C20" s="217">
        <v>42.04</v>
      </c>
      <c r="D20" s="418"/>
    </row>
    <row r="21" spans="1:4" x14ac:dyDescent="0.25">
      <c r="A21" s="416">
        <v>39953</v>
      </c>
      <c r="B21" s="417">
        <v>0.99817869066818865</v>
      </c>
      <c r="C21" s="217">
        <v>41.81</v>
      </c>
      <c r="D21" s="418"/>
    </row>
    <row r="22" spans="1:4" x14ac:dyDescent="0.25">
      <c r="A22" s="416">
        <v>39954</v>
      </c>
      <c r="B22" s="417">
        <v>0.4950739118005747</v>
      </c>
      <c r="C22" s="217">
        <v>39.621000000000002</v>
      </c>
      <c r="D22" s="418"/>
    </row>
    <row r="23" spans="1:4" x14ac:dyDescent="0.25">
      <c r="A23" s="416">
        <v>39955</v>
      </c>
      <c r="B23" s="417">
        <v>0.72728927390612785</v>
      </c>
      <c r="C23" s="217">
        <v>38.048000000000002</v>
      </c>
      <c r="D23" s="418"/>
    </row>
    <row r="24" spans="1:4" x14ac:dyDescent="0.25">
      <c r="A24" s="416">
        <v>39956</v>
      </c>
      <c r="B24" s="417">
        <v>7.8056296587392993E-2</v>
      </c>
      <c r="C24" s="217">
        <v>36.475000000000001</v>
      </c>
      <c r="D24" s="418"/>
    </row>
    <row r="25" spans="1:4" x14ac:dyDescent="0.25">
      <c r="A25" s="416">
        <v>39957</v>
      </c>
      <c r="B25" s="417">
        <v>2.5721703530354967E-2</v>
      </c>
      <c r="C25" s="217">
        <v>34.902000000000001</v>
      </c>
      <c r="D25" s="418"/>
    </row>
    <row r="26" spans="1:4" x14ac:dyDescent="0.25">
      <c r="A26" s="416">
        <v>39958</v>
      </c>
      <c r="B26" s="417">
        <v>0.99817869066818865</v>
      </c>
      <c r="C26" s="217">
        <v>33.329000000000001</v>
      </c>
      <c r="D26" s="418"/>
    </row>
    <row r="27" spans="1:4" x14ac:dyDescent="0.25">
      <c r="A27" s="416">
        <v>39959</v>
      </c>
      <c r="B27" s="417">
        <v>0.4950739118005747</v>
      </c>
      <c r="C27" s="217">
        <v>31.756</v>
      </c>
      <c r="D27" s="418"/>
    </row>
    <row r="28" spans="1:4" x14ac:dyDescent="0.25">
      <c r="A28" s="416">
        <v>39960</v>
      </c>
      <c r="B28" s="417">
        <v>0.72728927390612785</v>
      </c>
      <c r="C28" s="217">
        <v>30.183</v>
      </c>
      <c r="D28" s="418"/>
    </row>
    <row r="29" spans="1:4" x14ac:dyDescent="0.25">
      <c r="A29" s="416">
        <v>39961</v>
      </c>
      <c r="B29" s="417">
        <v>7.8056296587392993E-2</v>
      </c>
      <c r="C29" s="217">
        <v>28.61</v>
      </c>
      <c r="D29" s="418"/>
    </row>
    <row r="30" spans="1:4" x14ac:dyDescent="0.25">
      <c r="A30" s="416">
        <v>39962</v>
      </c>
      <c r="B30" s="417">
        <v>2.5721703530354967E-2</v>
      </c>
      <c r="C30" s="217">
        <v>41.81</v>
      </c>
      <c r="D30" s="418"/>
    </row>
    <row r="31" spans="1:4" x14ac:dyDescent="0.25">
      <c r="A31" s="416">
        <v>39963</v>
      </c>
      <c r="B31" s="417">
        <v>0.99817869066818865</v>
      </c>
      <c r="C31" s="217">
        <v>44.99</v>
      </c>
      <c r="D31" s="418"/>
    </row>
    <row r="32" spans="1:4" x14ac:dyDescent="0.25">
      <c r="A32" s="416">
        <v>39964</v>
      </c>
      <c r="B32" s="417">
        <v>1.0398453573348601</v>
      </c>
      <c r="C32" s="217">
        <v>45.99</v>
      </c>
      <c r="D32" s="418"/>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83">
    <tabColor theme="9" tint="-0.249977111117893"/>
  </sheetPr>
  <dimension ref="A1:L94"/>
  <sheetViews>
    <sheetView zoomScale="145" zoomScaleNormal="145" workbookViewId="0">
      <selection activeCell="A22" sqref="A1:XFD1048576"/>
    </sheetView>
  </sheetViews>
  <sheetFormatPr defaultRowHeight="15" x14ac:dyDescent="0.25"/>
  <cols>
    <col min="1" max="1" width="9.7109375" bestFit="1" customWidth="1"/>
    <col min="2" max="2" width="11.8554687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1556</v>
      </c>
      <c r="F1" s="45" t="s">
        <v>1614</v>
      </c>
      <c r="G1" s="203"/>
      <c r="H1" s="203"/>
      <c r="I1" s="203"/>
      <c r="J1" s="203"/>
      <c r="K1" s="203"/>
      <c r="L1" s="46"/>
    </row>
    <row r="2" spans="1:12" x14ac:dyDescent="0.25">
      <c r="A2" s="419">
        <v>39965</v>
      </c>
      <c r="B2" s="413">
        <v>0.71341097395105568</v>
      </c>
      <c r="C2">
        <v>42.92</v>
      </c>
    </row>
    <row r="3" spans="1:12" x14ac:dyDescent="0.25">
      <c r="A3" s="419">
        <v>39966</v>
      </c>
      <c r="B3" s="413">
        <v>0.99304123200145855</v>
      </c>
      <c r="C3">
        <v>42.61</v>
      </c>
    </row>
    <row r="4" spans="1:12" x14ac:dyDescent="0.25">
      <c r="A4" s="419">
        <v>39967</v>
      </c>
      <c r="B4" s="413">
        <v>0.49942940415227333</v>
      </c>
      <c r="C4">
        <v>49.69</v>
      </c>
    </row>
    <row r="5" spans="1:12" x14ac:dyDescent="0.25">
      <c r="A5" s="419">
        <v>39968</v>
      </c>
      <c r="B5" s="413">
        <v>0.94540784374630871</v>
      </c>
      <c r="C5">
        <v>44.58</v>
      </c>
    </row>
    <row r="6" spans="1:12" x14ac:dyDescent="0.25">
      <c r="A6" s="419">
        <v>39969</v>
      </c>
      <c r="B6" s="413">
        <v>1.3948238920765021E-2</v>
      </c>
      <c r="C6">
        <v>43.03</v>
      </c>
    </row>
    <row r="7" spans="1:12" x14ac:dyDescent="0.25">
      <c r="A7" s="419">
        <v>39970</v>
      </c>
      <c r="B7" s="413">
        <v>0.49261952139551646</v>
      </c>
      <c r="C7">
        <v>43.94</v>
      </c>
    </row>
    <row r="8" spans="1:12" x14ac:dyDescent="0.25">
      <c r="A8" s="419">
        <v>39971</v>
      </c>
      <c r="B8" s="413">
        <v>0.83507342224425618</v>
      </c>
      <c r="C8">
        <v>43.74</v>
      </c>
    </row>
    <row r="9" spans="1:12" x14ac:dyDescent="0.25">
      <c r="A9" s="419">
        <v>39972</v>
      </c>
      <c r="B9" s="413">
        <v>0.93304792675110204</v>
      </c>
      <c r="C9">
        <v>48.37</v>
      </c>
    </row>
    <row r="10" spans="1:12" x14ac:dyDescent="0.25">
      <c r="A10" s="419">
        <v>39973</v>
      </c>
      <c r="B10" s="413">
        <v>3.086387324874762E-2</v>
      </c>
      <c r="C10">
        <v>42.56</v>
      </c>
    </row>
    <row r="11" spans="1:12" x14ac:dyDescent="0.25">
      <c r="A11" s="419">
        <v>39974</v>
      </c>
      <c r="B11" s="413">
        <v>0.37076430936306948</v>
      </c>
      <c r="C11">
        <v>41.18</v>
      </c>
    </row>
    <row r="12" spans="1:12" x14ac:dyDescent="0.25">
      <c r="A12" s="419">
        <v>39975</v>
      </c>
      <c r="B12" s="413">
        <v>0.24418885120404754</v>
      </c>
      <c r="C12">
        <v>47.980000000000004</v>
      </c>
    </row>
    <row r="13" spans="1:12" x14ac:dyDescent="0.25">
      <c r="A13" s="419">
        <v>39976</v>
      </c>
      <c r="B13" s="413">
        <v>0.22160463272276409</v>
      </c>
      <c r="C13">
        <v>47.62</v>
      </c>
    </row>
    <row r="14" spans="1:12" x14ac:dyDescent="0.25">
      <c r="A14" s="419">
        <v>39977</v>
      </c>
      <c r="B14" s="413">
        <v>0.73260493511802394</v>
      </c>
      <c r="C14">
        <v>44.99</v>
      </c>
    </row>
    <row r="15" spans="1:12" x14ac:dyDescent="0.25">
      <c r="A15" s="419">
        <v>39978</v>
      </c>
      <c r="B15" s="413">
        <v>0.49052335369229239</v>
      </c>
      <c r="C15">
        <v>43.41</v>
      </c>
    </row>
    <row r="16" spans="1:12" x14ac:dyDescent="0.25">
      <c r="A16" s="419">
        <v>39979</v>
      </c>
      <c r="B16" s="413">
        <v>0.27050617814723843</v>
      </c>
      <c r="C16">
        <v>41.82</v>
      </c>
    </row>
    <row r="17" spans="1:3" x14ac:dyDescent="0.25">
      <c r="A17" s="419">
        <v>39980</v>
      </c>
      <c r="B17" s="413">
        <v>0.4950739118005747</v>
      </c>
      <c r="C17">
        <v>49.31</v>
      </c>
    </row>
    <row r="18" spans="1:3" x14ac:dyDescent="0.25">
      <c r="A18" s="419">
        <v>39981</v>
      </c>
      <c r="B18" s="413">
        <v>0.72728927390612785</v>
      </c>
      <c r="C18">
        <v>42.77</v>
      </c>
    </row>
    <row r="19" spans="1:3" x14ac:dyDescent="0.25">
      <c r="A19" s="419">
        <v>39982</v>
      </c>
      <c r="B19" s="413">
        <v>7.8056296587392993E-2</v>
      </c>
      <c r="C19">
        <v>45.769999999999996</v>
      </c>
    </row>
    <row r="20" spans="1:3" x14ac:dyDescent="0.25">
      <c r="A20" s="419">
        <v>39983</v>
      </c>
      <c r="B20" s="413">
        <v>2.5721703530354967E-2</v>
      </c>
      <c r="C20">
        <v>42.04</v>
      </c>
    </row>
    <row r="21" spans="1:3" x14ac:dyDescent="0.25">
      <c r="A21" s="419">
        <v>39984</v>
      </c>
      <c r="B21" s="413">
        <v>0.99817869066818865</v>
      </c>
      <c r="C21">
        <v>41.81</v>
      </c>
    </row>
    <row r="22" spans="1:3" x14ac:dyDescent="0.25">
      <c r="A22" s="419">
        <v>39985</v>
      </c>
      <c r="B22" s="413">
        <v>0.4950739118005747</v>
      </c>
      <c r="C22">
        <v>39.621000000000002</v>
      </c>
    </row>
    <row r="23" spans="1:3" x14ac:dyDescent="0.25">
      <c r="A23" s="419">
        <v>39986</v>
      </c>
      <c r="B23" s="413">
        <v>0.72728927390612785</v>
      </c>
      <c r="C23">
        <v>38.048000000000002</v>
      </c>
    </row>
    <row r="24" spans="1:3" x14ac:dyDescent="0.25">
      <c r="A24" s="419">
        <v>39987</v>
      </c>
      <c r="B24" s="413">
        <v>7.8056296587392993E-2</v>
      </c>
      <c r="C24">
        <v>36.475000000000001</v>
      </c>
    </row>
    <row r="25" spans="1:3" x14ac:dyDescent="0.25">
      <c r="A25" s="419">
        <v>39988</v>
      </c>
      <c r="B25" s="413">
        <v>2.5721703530354967E-2</v>
      </c>
      <c r="C25">
        <v>34.902000000000001</v>
      </c>
    </row>
    <row r="26" spans="1:3" x14ac:dyDescent="0.25">
      <c r="A26" s="419">
        <v>39989</v>
      </c>
      <c r="B26" s="413">
        <v>0.99817869066818865</v>
      </c>
      <c r="C26">
        <v>33.329000000000001</v>
      </c>
    </row>
    <row r="27" spans="1:3" x14ac:dyDescent="0.25">
      <c r="A27" s="419">
        <v>39990</v>
      </c>
      <c r="B27" s="413">
        <v>0.4950739118005747</v>
      </c>
      <c r="C27">
        <v>31.756</v>
      </c>
    </row>
    <row r="28" spans="1:3" x14ac:dyDescent="0.25">
      <c r="A28" s="419">
        <v>39991</v>
      </c>
      <c r="B28" s="413">
        <v>0.72728927390612785</v>
      </c>
      <c r="C28">
        <v>30.183</v>
      </c>
    </row>
    <row r="29" spans="1:3" x14ac:dyDescent="0.25">
      <c r="A29" s="419">
        <v>39992</v>
      </c>
      <c r="B29" s="413">
        <v>7.8056296587392993E-2</v>
      </c>
      <c r="C29">
        <v>28.61</v>
      </c>
    </row>
    <row r="30" spans="1:3" x14ac:dyDescent="0.25">
      <c r="A30" s="419">
        <v>39993</v>
      </c>
      <c r="B30" s="413">
        <v>0.11972296325406</v>
      </c>
      <c r="C30">
        <v>29.61</v>
      </c>
    </row>
    <row r="31" spans="1:3" x14ac:dyDescent="0.25">
      <c r="A31" s="419">
        <v>39994</v>
      </c>
      <c r="B31" s="413">
        <v>0.161389629920726</v>
      </c>
      <c r="C31">
        <v>30.61</v>
      </c>
    </row>
    <row r="32" spans="1:3" x14ac:dyDescent="0.25">
      <c r="A32" s="419">
        <v>39995</v>
      </c>
      <c r="B32" s="413">
        <v>0.20305629658739299</v>
      </c>
      <c r="C32">
        <v>31.61</v>
      </c>
    </row>
    <row r="33" spans="1:3" x14ac:dyDescent="0.25">
      <c r="A33" s="419">
        <v>39996</v>
      </c>
      <c r="B33" s="413">
        <v>0.24472296325406001</v>
      </c>
      <c r="C33">
        <v>32.61</v>
      </c>
    </row>
    <row r="34" spans="1:3" x14ac:dyDescent="0.25">
      <c r="A34" s="419">
        <v>39997</v>
      </c>
      <c r="B34" s="413">
        <v>0.28638962992072597</v>
      </c>
      <c r="C34">
        <v>33.61</v>
      </c>
    </row>
    <row r="35" spans="1:3" x14ac:dyDescent="0.25">
      <c r="A35" s="419">
        <v>39998</v>
      </c>
      <c r="B35" s="413">
        <v>0.32805629658739299</v>
      </c>
      <c r="C35">
        <v>34.61</v>
      </c>
    </row>
    <row r="36" spans="1:3" x14ac:dyDescent="0.25">
      <c r="A36" s="419">
        <v>39999</v>
      </c>
      <c r="B36" s="413">
        <v>0.36972296325406001</v>
      </c>
      <c r="C36">
        <v>35.61</v>
      </c>
    </row>
    <row r="37" spans="1:3" x14ac:dyDescent="0.25">
      <c r="A37" s="419">
        <v>40000</v>
      </c>
      <c r="B37" s="413">
        <v>0.41138962992072597</v>
      </c>
      <c r="C37">
        <v>36.61</v>
      </c>
    </row>
    <row r="38" spans="1:3" x14ac:dyDescent="0.25">
      <c r="A38" s="419">
        <v>40001</v>
      </c>
      <c r="B38" s="413">
        <v>0.45305629658739299</v>
      </c>
      <c r="C38">
        <v>37.61</v>
      </c>
    </row>
    <row r="39" spans="1:3" x14ac:dyDescent="0.25">
      <c r="A39" s="419">
        <v>40002</v>
      </c>
      <c r="B39" s="413">
        <v>0.49472296325406001</v>
      </c>
      <c r="C39">
        <v>38.61</v>
      </c>
    </row>
    <row r="40" spans="1:3" x14ac:dyDescent="0.25">
      <c r="A40" s="419">
        <v>40003</v>
      </c>
      <c r="B40" s="413">
        <v>0.53638962992072603</v>
      </c>
      <c r="C40">
        <v>39.61</v>
      </c>
    </row>
    <row r="41" spans="1:3" x14ac:dyDescent="0.25">
      <c r="A41" s="419">
        <v>40004</v>
      </c>
      <c r="B41" s="413">
        <v>0.57805629658739299</v>
      </c>
      <c r="C41">
        <v>40.61</v>
      </c>
    </row>
    <row r="42" spans="1:3" x14ac:dyDescent="0.25">
      <c r="A42" s="419">
        <v>40005</v>
      </c>
      <c r="B42" s="413">
        <v>0.61972296325405996</v>
      </c>
      <c r="C42">
        <v>41.61</v>
      </c>
    </row>
    <row r="43" spans="1:3" x14ac:dyDescent="0.25">
      <c r="A43" s="419">
        <v>40006</v>
      </c>
      <c r="B43" s="413">
        <v>0.66138962992072603</v>
      </c>
      <c r="C43">
        <v>42.61</v>
      </c>
    </row>
    <row r="44" spans="1:3" x14ac:dyDescent="0.25">
      <c r="A44" s="419">
        <v>40007</v>
      </c>
      <c r="B44" s="413">
        <v>0.70305629658739299</v>
      </c>
      <c r="C44">
        <v>43.61</v>
      </c>
    </row>
    <row r="45" spans="1:3" x14ac:dyDescent="0.25">
      <c r="A45" s="419">
        <v>40008</v>
      </c>
      <c r="B45" s="413">
        <v>0.74472296325405996</v>
      </c>
      <c r="C45">
        <v>44.61</v>
      </c>
    </row>
    <row r="46" spans="1:3" x14ac:dyDescent="0.25">
      <c r="A46" s="419">
        <v>40009</v>
      </c>
      <c r="B46" s="413">
        <v>0.78638962992072603</v>
      </c>
      <c r="C46">
        <v>45.61</v>
      </c>
    </row>
    <row r="47" spans="1:3" x14ac:dyDescent="0.25">
      <c r="A47" s="419">
        <v>40010</v>
      </c>
      <c r="B47" s="413">
        <v>0.82805629658739299</v>
      </c>
      <c r="C47">
        <v>46.61</v>
      </c>
    </row>
    <row r="48" spans="1:3" x14ac:dyDescent="0.25">
      <c r="A48" s="419">
        <v>40011</v>
      </c>
      <c r="B48" s="413">
        <v>0.86972296325405996</v>
      </c>
      <c r="C48">
        <v>47.61</v>
      </c>
    </row>
    <row r="49" spans="1:3" x14ac:dyDescent="0.25">
      <c r="A49" s="419">
        <v>40012</v>
      </c>
      <c r="B49" s="413">
        <v>0.91138962992072603</v>
      </c>
      <c r="C49">
        <v>48.61</v>
      </c>
    </row>
    <row r="50" spans="1:3" x14ac:dyDescent="0.25">
      <c r="A50" s="419">
        <v>40013</v>
      </c>
      <c r="B50" s="413">
        <v>0.95305629658739299</v>
      </c>
      <c r="C50">
        <v>49.61</v>
      </c>
    </row>
    <row r="51" spans="1:3" x14ac:dyDescent="0.25">
      <c r="A51" s="419">
        <v>40014</v>
      </c>
      <c r="B51" s="413">
        <v>0.99472296325405996</v>
      </c>
      <c r="C51">
        <v>50.61</v>
      </c>
    </row>
    <row r="52" spans="1:3" x14ac:dyDescent="0.25">
      <c r="A52" s="419">
        <v>40015</v>
      </c>
      <c r="B52" s="413">
        <v>1.03638962992073</v>
      </c>
      <c r="C52">
        <v>51.61</v>
      </c>
    </row>
    <row r="53" spans="1:3" x14ac:dyDescent="0.25">
      <c r="A53" s="419">
        <v>40016</v>
      </c>
      <c r="B53" s="413">
        <v>1.0780562965873901</v>
      </c>
      <c r="C53">
        <v>52.61</v>
      </c>
    </row>
    <row r="54" spans="1:3" x14ac:dyDescent="0.25">
      <c r="A54" s="419">
        <v>40017</v>
      </c>
      <c r="B54" s="413">
        <v>1.11972296325406</v>
      </c>
      <c r="C54">
        <v>53.61</v>
      </c>
    </row>
    <row r="55" spans="1:3" x14ac:dyDescent="0.25">
      <c r="A55" s="419">
        <v>40018</v>
      </c>
      <c r="B55" s="413">
        <v>1.16138962992073</v>
      </c>
      <c r="C55">
        <v>54.61</v>
      </c>
    </row>
    <row r="56" spans="1:3" x14ac:dyDescent="0.25">
      <c r="A56" s="419">
        <v>40019</v>
      </c>
      <c r="B56" s="413">
        <v>1.2030562965873901</v>
      </c>
      <c r="C56">
        <v>55.61</v>
      </c>
    </row>
    <row r="57" spans="1:3" x14ac:dyDescent="0.25">
      <c r="A57" s="419">
        <v>40020</v>
      </c>
      <c r="B57" s="413">
        <v>1.24472296325406</v>
      </c>
      <c r="C57">
        <v>56.61</v>
      </c>
    </row>
    <row r="58" spans="1:3" x14ac:dyDescent="0.25">
      <c r="A58" s="419">
        <v>40021</v>
      </c>
      <c r="B58" s="413">
        <v>1.28638962992073</v>
      </c>
      <c r="C58">
        <v>57.61</v>
      </c>
    </row>
    <row r="59" spans="1:3" x14ac:dyDescent="0.25">
      <c r="A59" s="419">
        <v>40022</v>
      </c>
      <c r="B59" s="413">
        <v>1.3280562965873901</v>
      </c>
      <c r="C59">
        <v>58.61</v>
      </c>
    </row>
    <row r="60" spans="1:3" x14ac:dyDescent="0.25">
      <c r="A60" s="419">
        <v>40023</v>
      </c>
      <c r="B60" s="413">
        <v>1.36972296325406</v>
      </c>
      <c r="C60">
        <v>59.61</v>
      </c>
    </row>
    <row r="61" spans="1:3" x14ac:dyDescent="0.25">
      <c r="A61" s="419">
        <v>40024</v>
      </c>
      <c r="B61" s="413">
        <v>1.41138962992073</v>
      </c>
      <c r="C61">
        <v>60.61</v>
      </c>
    </row>
    <row r="62" spans="1:3" x14ac:dyDescent="0.25">
      <c r="A62" s="419">
        <v>40025</v>
      </c>
      <c r="B62" s="413">
        <v>1.4530562965873901</v>
      </c>
      <c r="C62">
        <v>61.61</v>
      </c>
    </row>
    <row r="63" spans="1:3" x14ac:dyDescent="0.25">
      <c r="A63" s="419">
        <v>40026</v>
      </c>
      <c r="B63" s="413">
        <v>1.49472296325406</v>
      </c>
      <c r="C63">
        <v>62.61</v>
      </c>
    </row>
    <row r="64" spans="1:3" x14ac:dyDescent="0.25">
      <c r="A64" s="419">
        <v>40027</v>
      </c>
      <c r="B64" s="413">
        <v>1.53638962992073</v>
      </c>
      <c r="C64">
        <v>63.61</v>
      </c>
    </row>
    <row r="65" spans="1:3" x14ac:dyDescent="0.25">
      <c r="A65" s="419">
        <v>40028</v>
      </c>
      <c r="B65" s="413">
        <v>1.5780562965873901</v>
      </c>
      <c r="C65">
        <v>64.61</v>
      </c>
    </row>
    <row r="66" spans="1:3" x14ac:dyDescent="0.25">
      <c r="A66" s="419">
        <v>40029</v>
      </c>
      <c r="B66" s="413">
        <v>1.61972296325406</v>
      </c>
      <c r="C66">
        <v>65.61</v>
      </c>
    </row>
    <row r="67" spans="1:3" x14ac:dyDescent="0.25">
      <c r="A67" s="419">
        <v>40030</v>
      </c>
      <c r="B67" s="413">
        <v>1.66138962992073</v>
      </c>
      <c r="C67">
        <v>66.61</v>
      </c>
    </row>
    <row r="68" spans="1:3" x14ac:dyDescent="0.25">
      <c r="A68" s="419">
        <v>40031</v>
      </c>
      <c r="B68" s="413">
        <v>1.7030562965873901</v>
      </c>
      <c r="C68">
        <v>67.61</v>
      </c>
    </row>
    <row r="69" spans="1:3" x14ac:dyDescent="0.25">
      <c r="A69" s="419">
        <v>40032</v>
      </c>
      <c r="B69" s="413">
        <v>1.74472296325406</v>
      </c>
      <c r="C69">
        <v>68.61</v>
      </c>
    </row>
    <row r="70" spans="1:3" x14ac:dyDescent="0.25">
      <c r="A70" s="419">
        <v>40033</v>
      </c>
      <c r="B70" s="413">
        <v>1.78638962992073</v>
      </c>
      <c r="C70">
        <v>69.61</v>
      </c>
    </row>
    <row r="71" spans="1:3" x14ac:dyDescent="0.25">
      <c r="A71" s="419">
        <v>40034</v>
      </c>
      <c r="B71" s="413">
        <v>1.8280562965873901</v>
      </c>
      <c r="C71">
        <v>70.61</v>
      </c>
    </row>
    <row r="72" spans="1:3" x14ac:dyDescent="0.25">
      <c r="A72" s="419">
        <v>40035</v>
      </c>
      <c r="B72" s="413">
        <v>1.86972296325406</v>
      </c>
      <c r="C72">
        <v>71.61</v>
      </c>
    </row>
    <row r="73" spans="1:3" x14ac:dyDescent="0.25">
      <c r="A73" s="419">
        <v>40036</v>
      </c>
      <c r="B73" s="413">
        <v>1.91138962992073</v>
      </c>
      <c r="C73">
        <v>72.61</v>
      </c>
    </row>
    <row r="74" spans="1:3" x14ac:dyDescent="0.25">
      <c r="A74" s="419">
        <v>40037</v>
      </c>
      <c r="B74" s="413">
        <v>1.9530562965873901</v>
      </c>
      <c r="C74">
        <v>73.61</v>
      </c>
    </row>
    <row r="75" spans="1:3" x14ac:dyDescent="0.25">
      <c r="A75" s="419">
        <v>40038</v>
      </c>
      <c r="B75" s="413">
        <v>1.99472296325406</v>
      </c>
      <c r="C75">
        <v>74.61</v>
      </c>
    </row>
    <row r="76" spans="1:3" x14ac:dyDescent="0.25">
      <c r="A76" s="419">
        <v>40039</v>
      </c>
      <c r="B76" s="413">
        <v>2.03638962992073</v>
      </c>
      <c r="C76">
        <v>75.61</v>
      </c>
    </row>
    <row r="77" spans="1:3" x14ac:dyDescent="0.25">
      <c r="A77" s="419">
        <v>40040</v>
      </c>
      <c r="B77" s="413">
        <v>2.0780562965873899</v>
      </c>
      <c r="C77">
        <v>76.61</v>
      </c>
    </row>
    <row r="78" spans="1:3" x14ac:dyDescent="0.25">
      <c r="A78" s="419">
        <v>40041</v>
      </c>
      <c r="B78" s="413">
        <v>2.11972296325406</v>
      </c>
      <c r="C78">
        <v>77.61</v>
      </c>
    </row>
    <row r="79" spans="1:3" x14ac:dyDescent="0.25">
      <c r="A79" s="419">
        <v>40042</v>
      </c>
      <c r="B79" s="413">
        <v>2.16138962992073</v>
      </c>
      <c r="C79">
        <v>78.61</v>
      </c>
    </row>
    <row r="80" spans="1:3" x14ac:dyDescent="0.25">
      <c r="A80" s="419">
        <v>40043</v>
      </c>
      <c r="B80" s="413">
        <v>2.2030562965873899</v>
      </c>
      <c r="C80">
        <v>79.61</v>
      </c>
    </row>
    <row r="81" spans="1:3" x14ac:dyDescent="0.25">
      <c r="A81" s="419">
        <v>40044</v>
      </c>
      <c r="B81" s="413">
        <v>2.24472296325406</v>
      </c>
      <c r="C81">
        <v>80.61</v>
      </c>
    </row>
    <row r="82" spans="1:3" x14ac:dyDescent="0.25">
      <c r="A82" s="419">
        <v>40045</v>
      </c>
      <c r="B82" s="413">
        <v>2.28638962992073</v>
      </c>
      <c r="C82">
        <v>81.61</v>
      </c>
    </row>
    <row r="83" spans="1:3" x14ac:dyDescent="0.25">
      <c r="A83" s="419">
        <v>40046</v>
      </c>
      <c r="B83" s="413">
        <v>2.3280562965873899</v>
      </c>
      <c r="C83">
        <v>82.61</v>
      </c>
    </row>
    <row r="84" spans="1:3" x14ac:dyDescent="0.25">
      <c r="A84" s="419">
        <v>40047</v>
      </c>
      <c r="B84" s="413">
        <v>2.36972296325406</v>
      </c>
      <c r="C84">
        <v>83.61</v>
      </c>
    </row>
    <row r="85" spans="1:3" x14ac:dyDescent="0.25">
      <c r="A85" s="419">
        <v>40048</v>
      </c>
      <c r="B85" s="413">
        <v>2.41138962992073</v>
      </c>
      <c r="C85">
        <v>84.61</v>
      </c>
    </row>
    <row r="86" spans="1:3" x14ac:dyDescent="0.25">
      <c r="A86" s="419">
        <v>40049</v>
      </c>
      <c r="B86" s="413">
        <v>2.4530562965873899</v>
      </c>
      <c r="C86">
        <v>85.61</v>
      </c>
    </row>
    <row r="87" spans="1:3" x14ac:dyDescent="0.25">
      <c r="A87" s="419">
        <v>40050</v>
      </c>
      <c r="B87" s="413">
        <v>2.49472296325406</v>
      </c>
      <c r="C87">
        <v>86.61</v>
      </c>
    </row>
    <row r="88" spans="1:3" x14ac:dyDescent="0.25">
      <c r="A88" s="419">
        <v>40051</v>
      </c>
      <c r="B88" s="413">
        <v>2.53638962992073</v>
      </c>
      <c r="C88">
        <v>87.61</v>
      </c>
    </row>
    <row r="89" spans="1:3" x14ac:dyDescent="0.25">
      <c r="A89" s="419">
        <v>40052</v>
      </c>
      <c r="B89" s="413">
        <v>2.5780562965873899</v>
      </c>
      <c r="C89">
        <v>88.61</v>
      </c>
    </row>
    <row r="90" spans="1:3" x14ac:dyDescent="0.25">
      <c r="A90" s="419">
        <v>40053</v>
      </c>
      <c r="B90" s="413">
        <v>2.61972296325406</v>
      </c>
      <c r="C90">
        <v>89.61</v>
      </c>
    </row>
    <row r="91" spans="1:3" x14ac:dyDescent="0.25">
      <c r="A91" s="419">
        <v>40054</v>
      </c>
      <c r="B91" s="413">
        <v>2.66138962992073</v>
      </c>
      <c r="C91">
        <v>90.61</v>
      </c>
    </row>
    <row r="92" spans="1:3" x14ac:dyDescent="0.25">
      <c r="A92" s="419">
        <v>40055</v>
      </c>
      <c r="B92" s="413">
        <v>2.7030562965873899</v>
      </c>
      <c r="C92">
        <v>91.61</v>
      </c>
    </row>
    <row r="93" spans="1:3" x14ac:dyDescent="0.25">
      <c r="A93" s="419">
        <v>40056</v>
      </c>
      <c r="B93" s="413">
        <v>2.74472296325406</v>
      </c>
      <c r="C93">
        <v>92.61</v>
      </c>
    </row>
    <row r="94" spans="1:3" x14ac:dyDescent="0.25">
      <c r="A94" s="419">
        <v>40057</v>
      </c>
      <c r="B94" s="413">
        <v>2.78638962992073</v>
      </c>
      <c r="C94">
        <v>93.61</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03">
    <tabColor rgb="FF002060"/>
  </sheetPr>
  <dimension ref="A1:I14"/>
  <sheetViews>
    <sheetView zoomScale="145" zoomScaleNormal="145" workbookViewId="0">
      <selection activeCell="I3" sqref="I3"/>
    </sheetView>
  </sheetViews>
  <sheetFormatPr defaultRowHeight="15" x14ac:dyDescent="0.25"/>
  <cols>
    <col min="1" max="1" width="11" bestFit="1" customWidth="1"/>
    <col min="4" max="4" width="10.140625" bestFit="1" customWidth="1"/>
    <col min="5" max="5" width="1.5703125" customWidth="1"/>
  </cols>
  <sheetData>
    <row r="1" spans="1:9" x14ac:dyDescent="0.25">
      <c r="A1" s="134" t="s">
        <v>0</v>
      </c>
      <c r="B1" s="134" t="s">
        <v>302</v>
      </c>
      <c r="C1" s="134" t="s">
        <v>1</v>
      </c>
      <c r="D1" s="134" t="s">
        <v>37</v>
      </c>
      <c r="F1" s="421" t="s">
        <v>1619</v>
      </c>
      <c r="G1" s="97"/>
      <c r="H1" s="422" t="s">
        <v>1620</v>
      </c>
    </row>
    <row r="2" spans="1:9" x14ac:dyDescent="0.25">
      <c r="A2" s="7">
        <v>40583</v>
      </c>
      <c r="B2" s="8" t="s">
        <v>317</v>
      </c>
      <c r="C2" s="8" t="s">
        <v>7</v>
      </c>
      <c r="D2" s="22">
        <v>504</v>
      </c>
      <c r="F2" s="134" t="s">
        <v>302</v>
      </c>
      <c r="G2" s="134" t="s">
        <v>302</v>
      </c>
      <c r="H2" s="134" t="s">
        <v>1615</v>
      </c>
      <c r="I2" s="420" t="s">
        <v>820</v>
      </c>
    </row>
    <row r="3" spans="1:9" x14ac:dyDescent="0.25">
      <c r="A3" s="7">
        <v>40785</v>
      </c>
      <c r="B3" s="8" t="s">
        <v>317</v>
      </c>
      <c r="C3" s="8" t="s">
        <v>328</v>
      </c>
      <c r="D3" s="22">
        <v>1239</v>
      </c>
      <c r="F3" s="8" t="s">
        <v>317</v>
      </c>
      <c r="G3" s="8" t="s">
        <v>319</v>
      </c>
      <c r="H3" s="8">
        <v>2011</v>
      </c>
      <c r="I3" s="10"/>
    </row>
    <row r="4" spans="1:9" x14ac:dyDescent="0.25">
      <c r="A4" s="7">
        <v>40807</v>
      </c>
      <c r="B4" s="8" t="s">
        <v>319</v>
      </c>
      <c r="C4" s="8" t="s">
        <v>3</v>
      </c>
      <c r="D4" s="22">
        <v>621</v>
      </c>
    </row>
    <row r="5" spans="1:9" x14ac:dyDescent="0.25">
      <c r="A5" s="7">
        <v>40999</v>
      </c>
      <c r="B5" s="8" t="s">
        <v>315</v>
      </c>
      <c r="C5" s="8" t="s">
        <v>132</v>
      </c>
      <c r="D5" s="22">
        <v>966</v>
      </c>
      <c r="F5" t="s">
        <v>1621</v>
      </c>
    </row>
    <row r="6" spans="1:9" x14ac:dyDescent="0.25">
      <c r="A6" s="7">
        <v>41046</v>
      </c>
      <c r="B6" s="8" t="s">
        <v>319</v>
      </c>
      <c r="C6" s="8" t="s">
        <v>3</v>
      </c>
      <c r="D6" s="22">
        <v>1323</v>
      </c>
      <c r="F6" s="134" t="s">
        <v>0</v>
      </c>
      <c r="G6" s="134" t="s">
        <v>302</v>
      </c>
      <c r="H6" s="134" t="s">
        <v>1</v>
      </c>
      <c r="I6" s="134" t="s">
        <v>37</v>
      </c>
    </row>
    <row r="7" spans="1:9" x14ac:dyDescent="0.25">
      <c r="A7" s="7">
        <v>41106</v>
      </c>
      <c r="B7" s="8" t="s">
        <v>311</v>
      </c>
      <c r="C7" s="8" t="s">
        <v>3</v>
      </c>
      <c r="D7" s="22">
        <v>988</v>
      </c>
      <c r="F7" s="10"/>
      <c r="G7" s="10"/>
      <c r="H7" s="10"/>
      <c r="I7" s="10"/>
    </row>
    <row r="8" spans="1:9" x14ac:dyDescent="0.25">
      <c r="A8" s="7">
        <v>41140</v>
      </c>
      <c r="B8" s="8" t="s">
        <v>321</v>
      </c>
      <c r="C8" s="8" t="s">
        <v>136</v>
      </c>
      <c r="D8" s="22">
        <v>682</v>
      </c>
      <c r="F8" s="10"/>
      <c r="G8" s="10"/>
      <c r="H8" s="10"/>
      <c r="I8" s="10"/>
    </row>
    <row r="9" spans="1:9" x14ac:dyDescent="0.25">
      <c r="A9" s="7">
        <v>41176</v>
      </c>
      <c r="B9" s="8" t="s">
        <v>317</v>
      </c>
      <c r="C9" s="8" t="s">
        <v>328</v>
      </c>
      <c r="D9" s="22">
        <v>315</v>
      </c>
      <c r="F9" s="10"/>
      <c r="G9" s="10"/>
      <c r="H9" s="10"/>
      <c r="I9" s="10"/>
    </row>
    <row r="10" spans="1:9" x14ac:dyDescent="0.25">
      <c r="A10" s="7">
        <v>41242</v>
      </c>
      <c r="B10" s="8" t="s">
        <v>321</v>
      </c>
      <c r="C10" s="8" t="s">
        <v>7</v>
      </c>
      <c r="D10" s="22">
        <v>1188</v>
      </c>
      <c r="F10" s="10"/>
      <c r="G10" s="10"/>
      <c r="H10" s="10"/>
      <c r="I10" s="10"/>
    </row>
    <row r="11" spans="1:9" x14ac:dyDescent="0.25">
      <c r="A11" s="8"/>
      <c r="B11" s="8"/>
      <c r="C11" s="8"/>
      <c r="D11" s="8"/>
      <c r="F11" s="10"/>
      <c r="G11" s="10"/>
      <c r="H11" s="10"/>
      <c r="I11" s="10"/>
    </row>
    <row r="12" spans="1:9" x14ac:dyDescent="0.25">
      <c r="A12" s="8"/>
      <c r="B12" s="8"/>
      <c r="C12" s="8"/>
      <c r="D12" s="8"/>
      <c r="F12" s="10"/>
      <c r="G12" s="10"/>
      <c r="H12" s="10"/>
      <c r="I12" s="10"/>
    </row>
    <row r="13" spans="1:9" x14ac:dyDescent="0.25">
      <c r="F13" s="10"/>
      <c r="G13" s="10"/>
      <c r="H13" s="10"/>
      <c r="I13" s="10"/>
    </row>
    <row r="14" spans="1:9" x14ac:dyDescent="0.25">
      <c r="F14" s="10"/>
      <c r="G14" s="10"/>
      <c r="H14" s="10"/>
      <c r="I14" s="10"/>
    </row>
  </sheetData>
  <sortState xmlns:xlrd2="http://schemas.microsoft.com/office/spreadsheetml/2017/richdata2" ref="A2:D10">
    <sortCondition ref="A3"/>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169</vt:i4>
      </vt:variant>
    </vt:vector>
  </HeadingPairs>
  <TitlesOfParts>
    <vt:vector size="169" baseType="lpstr">
      <vt:lpstr>INDEX for Book</vt:lpstr>
      <vt:lpstr>Setup</vt:lpstr>
      <vt:lpstr>CopiedTable</vt:lpstr>
      <vt:lpstr>KeyB</vt:lpstr>
      <vt:lpstr>KeyB(2)</vt:lpstr>
      <vt:lpstr>KeyB(3)</vt:lpstr>
      <vt:lpstr>SUMIFS</vt:lpstr>
      <vt:lpstr>PT2</vt:lpstr>
      <vt:lpstr>PT</vt:lpstr>
      <vt:lpstr>Tables</vt:lpstr>
      <vt:lpstr>Decimals</vt:lpstr>
      <vt:lpstr>DateMath</vt:lpstr>
      <vt:lpstr>TimeMath</vt:lpstr>
      <vt:lpstr>Percentage(1)</vt:lpstr>
      <vt:lpstr>Percentage(2)</vt:lpstr>
      <vt:lpstr>Align(1)</vt:lpstr>
      <vt:lpstr>Align(2)</vt:lpstr>
      <vt:lpstr>Align(3)</vt:lpstr>
      <vt:lpstr>Store 1</vt:lpstr>
      <vt:lpstr>Store 2</vt:lpstr>
      <vt:lpstr>Jones - Amortization Table</vt:lpstr>
      <vt:lpstr>Styles(1)</vt:lpstr>
      <vt:lpstr>Styles(2)</vt:lpstr>
      <vt:lpstr>Formula(1)</vt:lpstr>
      <vt:lpstr>Formula(2)</vt:lpstr>
      <vt:lpstr>MathOperators</vt:lpstr>
      <vt:lpstr>OrderOfOperations</vt:lpstr>
      <vt:lpstr>OOO</vt:lpstr>
      <vt:lpstr>3WaysToGetCR</vt:lpstr>
      <vt:lpstr>CR(1)</vt:lpstr>
      <vt:lpstr>CR(2)</vt:lpstr>
      <vt:lpstr>CR(3)</vt:lpstr>
      <vt:lpstr>CR(4)</vt:lpstr>
      <vt:lpstr>CR(5)</vt:lpstr>
      <vt:lpstr>CR(6)</vt:lpstr>
      <vt:lpstr>CR(7)</vt:lpstr>
      <vt:lpstr>Assumption</vt:lpstr>
      <vt:lpstr>Scenarios</vt:lpstr>
      <vt:lpstr>CR(8)</vt:lpstr>
      <vt:lpstr>CAR</vt:lpstr>
      <vt:lpstr>CR(9)</vt:lpstr>
      <vt:lpstr>Corp</vt:lpstr>
      <vt:lpstr>Oak</vt:lpstr>
      <vt:lpstr>Sea</vt:lpstr>
      <vt:lpstr>Tac</vt:lpstr>
      <vt:lpstr>Ranges</vt:lpstr>
      <vt:lpstr>Functions(1)</vt:lpstr>
      <vt:lpstr>Functions(2)</vt:lpstr>
      <vt:lpstr>SUMPRODUCT</vt:lpstr>
      <vt:lpstr>SP(2)</vt:lpstr>
      <vt:lpstr>IF(1)</vt:lpstr>
      <vt:lpstr>IF(2)</vt:lpstr>
      <vt:lpstr>IF(3)</vt:lpstr>
      <vt:lpstr>IF(4)</vt:lpstr>
      <vt:lpstr>IF(5)</vt:lpstr>
      <vt:lpstr>IF(6)</vt:lpstr>
      <vt:lpstr>IF(7)</vt:lpstr>
      <vt:lpstr>VLOOKUP(1)</vt:lpstr>
      <vt:lpstr>VLOOKUP(2)</vt:lpstr>
      <vt:lpstr>V(3)</vt:lpstr>
      <vt:lpstr>V(4)</vt:lpstr>
      <vt:lpstr>V(5)</vt:lpstr>
      <vt:lpstr>CTable</vt:lpstr>
      <vt:lpstr>2wl</vt:lpstr>
      <vt:lpstr>MasterList</vt:lpstr>
      <vt:lpstr>I(1)</vt:lpstr>
      <vt:lpstr>I(2)</vt:lpstr>
      <vt:lpstr>I(3)</vt:lpstr>
      <vt:lpstr>ROUND</vt:lpstr>
      <vt:lpstr>ROUND information</vt:lpstr>
      <vt:lpstr>AVE</vt:lpstr>
      <vt:lpstr>MED</vt:lpstr>
      <vt:lpstr>MODE</vt:lpstr>
      <vt:lpstr>RANK</vt:lpstr>
      <vt:lpstr>GS</vt:lpstr>
      <vt:lpstr>Array(1)</vt:lpstr>
      <vt:lpstr>Array(2)</vt:lpstr>
      <vt:lpstr>Array(3)</vt:lpstr>
      <vt:lpstr>Array(4)</vt:lpstr>
      <vt:lpstr>CNF(notes)</vt:lpstr>
      <vt:lpstr>CNF(1)</vt:lpstr>
      <vt:lpstr>Errors</vt:lpstr>
      <vt:lpstr>S(1)</vt:lpstr>
      <vt:lpstr>S(2)</vt:lpstr>
      <vt:lpstr>S(3)</vt:lpstr>
      <vt:lpstr>S(4)</vt:lpstr>
      <vt:lpstr>S(5)</vt:lpstr>
      <vt:lpstr>S(6)</vt:lpstr>
      <vt:lpstr>S(7)</vt:lpstr>
      <vt:lpstr>S(8)</vt:lpstr>
      <vt:lpstr>S(9)</vt:lpstr>
      <vt:lpstr>S(10)</vt:lpstr>
      <vt:lpstr>S(11)</vt:lpstr>
      <vt:lpstr>ST(1)</vt:lpstr>
      <vt:lpstr>STpaste</vt:lpstr>
      <vt:lpstr>ST(2)</vt:lpstr>
      <vt:lpstr>ST PT C</vt:lpstr>
      <vt:lpstr>PTData</vt:lpstr>
      <vt:lpstr>FormulaS</vt:lpstr>
      <vt:lpstr>PTData (2)</vt:lpstr>
      <vt:lpstr>PTData (3)</vt:lpstr>
      <vt:lpstr>PTData (4)</vt:lpstr>
      <vt:lpstr>Visualize</vt:lpstr>
      <vt:lpstr>PT(5)</vt:lpstr>
      <vt:lpstr>PTData (5)</vt:lpstr>
      <vt:lpstr>PTData (6)</vt:lpstr>
      <vt:lpstr>PTData (7)</vt:lpstr>
      <vt:lpstr>PTData (8)</vt:lpstr>
      <vt:lpstr>PT(11)</vt:lpstr>
      <vt:lpstr>PTData (9)</vt:lpstr>
      <vt:lpstr>Filter</vt:lpstr>
      <vt:lpstr>PFilter</vt:lpstr>
      <vt:lpstr>FilterC</vt:lpstr>
      <vt:lpstr>FilterT</vt:lpstr>
      <vt:lpstr>FilterD</vt:lpstr>
      <vt:lpstr>FilterSales</vt:lpstr>
      <vt:lpstr>AF(1)</vt:lpstr>
      <vt:lpstr>AF(2)</vt:lpstr>
      <vt:lpstr>AF(3)</vt:lpstr>
      <vt:lpstr>AF(4)</vt:lpstr>
      <vt:lpstr>AF(5)</vt:lpstr>
      <vt:lpstr>AF(6)</vt:lpstr>
      <vt:lpstr>AF(7)</vt:lpstr>
      <vt:lpstr>Extract</vt:lpstr>
      <vt:lpstr>AF(8)</vt:lpstr>
      <vt:lpstr>TTC(1)</vt:lpstr>
      <vt:lpstr>TTC2</vt:lpstr>
      <vt:lpstr>ID(1)</vt:lpstr>
      <vt:lpstr>ID(2)</vt:lpstr>
      <vt:lpstr>ID(3)</vt:lpstr>
      <vt:lpstr>Ct(1)</vt:lpstr>
      <vt:lpstr>Ct(3)</vt:lpstr>
      <vt:lpstr>C(1)</vt:lpstr>
      <vt:lpstr>C(2)</vt:lpstr>
      <vt:lpstr>C(3)</vt:lpstr>
      <vt:lpstr>C(4)</vt:lpstr>
      <vt:lpstr>C(5)</vt:lpstr>
      <vt:lpstr>C(6)</vt:lpstr>
      <vt:lpstr>C(7)</vt:lpstr>
      <vt:lpstr>C(8)</vt:lpstr>
      <vt:lpstr>C(9)</vt:lpstr>
      <vt:lpstr>CF(1)</vt:lpstr>
      <vt:lpstr>CF(2)</vt:lpstr>
      <vt:lpstr>Logical</vt:lpstr>
      <vt:lpstr>CF(3)</vt:lpstr>
      <vt:lpstr>CF(4)</vt:lpstr>
      <vt:lpstr>CF(5)</vt:lpstr>
      <vt:lpstr>CF(6)</vt:lpstr>
      <vt:lpstr>F&amp;R&amp;GotTo</vt:lpstr>
      <vt:lpstr>Notes(52)</vt:lpstr>
      <vt:lpstr>Notes</vt:lpstr>
      <vt:lpstr>M(1)</vt:lpstr>
      <vt:lpstr>M(1.1)</vt:lpstr>
      <vt:lpstr>M(1.2)</vt:lpstr>
      <vt:lpstr>M(1.3)</vt:lpstr>
      <vt:lpstr>M(1.4)</vt:lpstr>
      <vt:lpstr>M(2)</vt:lpstr>
      <vt:lpstr>M(2.1)</vt:lpstr>
      <vt:lpstr>M(2.2)</vt:lpstr>
      <vt:lpstr>M(2.3)</vt:lpstr>
      <vt:lpstr>M(2.4)</vt:lpstr>
      <vt:lpstr>M(2.5)</vt:lpstr>
      <vt:lpstr>M(3.1)</vt:lpstr>
      <vt:lpstr>M(3.2)</vt:lpstr>
      <vt:lpstr>M(3.3)</vt:lpstr>
      <vt:lpstr>M(4.1)</vt:lpstr>
      <vt:lpstr>M(4.2)</vt:lpstr>
      <vt:lpstr>M(4.3)</vt:lpstr>
      <vt:lpstr>LastVideo</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Girvin</dc:creator>
  <cp:lastModifiedBy>zuma67z - viaguy</cp:lastModifiedBy>
  <cp:lastPrinted>2025-05-17T20:27:24Z</cp:lastPrinted>
  <dcterms:created xsi:type="dcterms:W3CDTF">2010-06-24T18:51:39Z</dcterms:created>
  <dcterms:modified xsi:type="dcterms:W3CDTF">2025-05-17T22:14:37Z</dcterms:modified>
</cp:coreProperties>
</file>